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lzb\Documents\IIHS Research\Acceleration\Analysis\"/>
    </mc:Choice>
  </mc:AlternateContent>
  <xr:revisionPtr revIDLastSave="0" documentId="13_ncr:1_{53B10AB4-B19B-488C-9634-F25458715503}" xr6:coauthVersionLast="47" xr6:coauthVersionMax="47" xr10:uidLastSave="{00000000-0000-0000-0000-000000000000}"/>
  <bookViews>
    <workbookView xWindow="1464" yWindow="1464" windowWidth="21576" windowHeight="8772" firstSheet="4" activeTab="6" xr2:uid="{00000000-000D-0000-FFFF-FFFF00000000}"/>
  </bookViews>
  <sheets>
    <sheet name="Avg Factors Summary" sheetId="10" r:id="rId1"/>
    <sheet name="Plots" sheetId="16" r:id="rId2"/>
    <sheet name="Car" sheetId="17" r:id="rId3"/>
    <sheet name="SUV" sheetId="18" r:id="rId4"/>
    <sheet name="Minivan" sheetId="19" r:id="rId5"/>
    <sheet name="Pickup" sheetId="20" r:id="rId6"/>
    <sheet name="All Data" sheetId="8" r:id="rId7"/>
    <sheet name="Year rang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5" i="16" l="1"/>
  <c r="R12" i="10"/>
  <c r="M4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B13" i="10"/>
  <c r="B6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S12" i="10"/>
  <c r="T12" i="10"/>
  <c r="U12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B12" i="10"/>
  <c r="B5" i="10"/>
  <c r="E4" i="10"/>
  <c r="Q4" i="10"/>
  <c r="J11" i="10"/>
  <c r="B11" i="10"/>
  <c r="N10" i="10"/>
  <c r="AR273" i="8"/>
  <c r="AU2" i="8"/>
  <c r="AQ2" i="8"/>
  <c r="AP2" i="8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AP54" i="20"/>
  <c r="AP53" i="20"/>
  <c r="AQ24" i="19"/>
  <c r="AR24" i="19"/>
  <c r="AS24" i="19"/>
  <c r="AT24" i="19"/>
  <c r="AU24" i="19"/>
  <c r="AV24" i="19"/>
  <c r="AW24" i="19"/>
  <c r="AX24" i="19"/>
  <c r="AY24" i="19"/>
  <c r="AZ24" i="19"/>
  <c r="BA24" i="19"/>
  <c r="BB24" i="19"/>
  <c r="BC24" i="19"/>
  <c r="BD24" i="19"/>
  <c r="BE24" i="19"/>
  <c r="BF24" i="19"/>
  <c r="BG24" i="19"/>
  <c r="BH24" i="19"/>
  <c r="BI24" i="19"/>
  <c r="AQ25" i="19"/>
  <c r="AR25" i="19"/>
  <c r="AS25" i="19"/>
  <c r="AT25" i="19"/>
  <c r="AU25" i="19"/>
  <c r="AV25" i="19"/>
  <c r="AW25" i="19"/>
  <c r="AX25" i="19"/>
  <c r="AY25" i="19"/>
  <c r="AZ25" i="19"/>
  <c r="BA25" i="19"/>
  <c r="BB25" i="19"/>
  <c r="BC25" i="19"/>
  <c r="BD25" i="19"/>
  <c r="BE25" i="19"/>
  <c r="BF25" i="19"/>
  <c r="BG25" i="19"/>
  <c r="BH25" i="19"/>
  <c r="BI25" i="19"/>
  <c r="AP24" i="19"/>
  <c r="AP25" i="19"/>
  <c r="AQ243" i="18"/>
  <c r="C4" i="10" s="1"/>
  <c r="AR243" i="18"/>
  <c r="D4" i="10" s="1"/>
  <c r="AS243" i="18"/>
  <c r="AT243" i="18"/>
  <c r="F4" i="10" s="1"/>
  <c r="AU243" i="18"/>
  <c r="G4" i="10" s="1"/>
  <c r="AV243" i="18"/>
  <c r="H4" i="10" s="1"/>
  <c r="AW243" i="18"/>
  <c r="I4" i="10" s="1"/>
  <c r="AX243" i="18"/>
  <c r="J4" i="10" s="1"/>
  <c r="AY243" i="18"/>
  <c r="K4" i="10" s="1"/>
  <c r="AZ243" i="18"/>
  <c r="L4" i="10" s="1"/>
  <c r="BA243" i="18"/>
  <c r="BB243" i="18"/>
  <c r="N4" i="10" s="1"/>
  <c r="BC243" i="18"/>
  <c r="O4" i="10" s="1"/>
  <c r="BD243" i="18"/>
  <c r="P4" i="10" s="1"/>
  <c r="BE243" i="18"/>
  <c r="BF243" i="18"/>
  <c r="R4" i="10" s="1"/>
  <c r="BG243" i="18"/>
  <c r="S4" i="10" s="1"/>
  <c r="BH243" i="18"/>
  <c r="T4" i="10" s="1"/>
  <c r="BI243" i="18"/>
  <c r="U4" i="10" s="1"/>
  <c r="AQ244" i="18"/>
  <c r="C11" i="10" s="1"/>
  <c r="AR244" i="18"/>
  <c r="D11" i="10" s="1"/>
  <c r="AS244" i="18"/>
  <c r="E11" i="10" s="1"/>
  <c r="AT244" i="18"/>
  <c r="F11" i="10" s="1"/>
  <c r="AU244" i="18"/>
  <c r="G11" i="10" s="1"/>
  <c r="AV244" i="18"/>
  <c r="H11" i="10" s="1"/>
  <c r="AW244" i="18"/>
  <c r="I11" i="10" s="1"/>
  <c r="AX244" i="18"/>
  <c r="AY244" i="18"/>
  <c r="K11" i="10" s="1"/>
  <c r="AZ244" i="18"/>
  <c r="L11" i="10" s="1"/>
  <c r="BA244" i="18"/>
  <c r="M11" i="10" s="1"/>
  <c r="BB244" i="18"/>
  <c r="N11" i="10" s="1"/>
  <c r="BC244" i="18"/>
  <c r="O11" i="10" s="1"/>
  <c r="BD244" i="18"/>
  <c r="P11" i="10" s="1"/>
  <c r="BE244" i="18"/>
  <c r="Q11" i="10" s="1"/>
  <c r="BF244" i="18"/>
  <c r="R11" i="10" s="1"/>
  <c r="BG244" i="18"/>
  <c r="S11" i="10" s="1"/>
  <c r="BH244" i="18"/>
  <c r="T11" i="10" s="1"/>
  <c r="BI244" i="18"/>
  <c r="U11" i="10" s="1"/>
  <c r="AP244" i="18"/>
  <c r="AP243" i="18"/>
  <c r="B4" i="10" s="1"/>
  <c r="BI256" i="17"/>
  <c r="U3" i="10" s="1"/>
  <c r="AR256" i="17"/>
  <c r="D3" i="10" s="1"/>
  <c r="AS256" i="17"/>
  <c r="E3" i="10" s="1"/>
  <c r="AT256" i="17"/>
  <c r="F3" i="10" s="1"/>
  <c r="AU256" i="17"/>
  <c r="G3" i="10" s="1"/>
  <c r="AV256" i="17"/>
  <c r="H3" i="10" s="1"/>
  <c r="AW256" i="17"/>
  <c r="I3" i="10" s="1"/>
  <c r="AX256" i="17"/>
  <c r="J3" i="10" s="1"/>
  <c r="AY256" i="17"/>
  <c r="K3" i="10" s="1"/>
  <c r="AZ256" i="17"/>
  <c r="L3" i="10" s="1"/>
  <c r="BA256" i="17"/>
  <c r="M3" i="10" s="1"/>
  <c r="BB256" i="17"/>
  <c r="N3" i="10" s="1"/>
  <c r="BC256" i="17"/>
  <c r="O3" i="10" s="1"/>
  <c r="BD256" i="17"/>
  <c r="P3" i="10" s="1"/>
  <c r="BE256" i="17"/>
  <c r="Q3" i="10" s="1"/>
  <c r="BF256" i="17"/>
  <c r="R3" i="10" s="1"/>
  <c r="BG256" i="17"/>
  <c r="S3" i="10" s="1"/>
  <c r="BH256" i="17"/>
  <c r="T3" i="10" s="1"/>
  <c r="AR257" i="17"/>
  <c r="D10" i="10" s="1"/>
  <c r="AS257" i="17"/>
  <c r="E10" i="10" s="1"/>
  <c r="AT257" i="17"/>
  <c r="F10" i="10" s="1"/>
  <c r="AU257" i="17"/>
  <c r="G10" i="10" s="1"/>
  <c r="AV257" i="17"/>
  <c r="H10" i="10" s="1"/>
  <c r="AW257" i="17"/>
  <c r="I10" i="10" s="1"/>
  <c r="AX257" i="17"/>
  <c r="J10" i="10" s="1"/>
  <c r="AY257" i="17"/>
  <c r="K10" i="10" s="1"/>
  <c r="AZ257" i="17"/>
  <c r="L10" i="10" s="1"/>
  <c r="BA257" i="17"/>
  <c r="M10" i="10" s="1"/>
  <c r="BB257" i="17"/>
  <c r="BC257" i="17"/>
  <c r="O10" i="10" s="1"/>
  <c r="BD257" i="17"/>
  <c r="P10" i="10" s="1"/>
  <c r="BE257" i="17"/>
  <c r="Q10" i="10" s="1"/>
  <c r="BF257" i="17"/>
  <c r="R10" i="10" s="1"/>
  <c r="BG257" i="17"/>
  <c r="S10" i="10" s="1"/>
  <c r="BH257" i="17"/>
  <c r="T10" i="10" s="1"/>
  <c r="BI257" i="17"/>
  <c r="U10" i="10" s="1"/>
  <c r="AQ257" i="17"/>
  <c r="C10" i="10" s="1"/>
  <c r="AQ256" i="17"/>
  <c r="C3" i="10" s="1"/>
  <c r="AP257" i="17"/>
  <c r="B10" i="10" s="1"/>
  <c r="AP256" i="17"/>
  <c r="B3" i="10" s="1"/>
  <c r="H236" i="8"/>
  <c r="H235" i="8"/>
  <c r="H229" i="8"/>
  <c r="H159" i="8"/>
  <c r="H47" i="8"/>
  <c r="F314" i="16"/>
  <c r="E314" i="16"/>
  <c r="D314" i="16"/>
  <c r="C314" i="16"/>
  <c r="B314" i="16"/>
  <c r="F313" i="16"/>
  <c r="E313" i="16"/>
  <c r="D313" i="16"/>
  <c r="C313" i="16"/>
  <c r="B313" i="16"/>
  <c r="F312" i="16"/>
  <c r="E312" i="16"/>
  <c r="D312" i="16"/>
  <c r="C312" i="16"/>
  <c r="B312" i="16"/>
  <c r="F295" i="16"/>
  <c r="E295" i="16"/>
  <c r="D295" i="16"/>
  <c r="C295" i="16"/>
  <c r="B295" i="16"/>
  <c r="F294" i="16"/>
  <c r="E294" i="16"/>
  <c r="D294" i="16"/>
  <c r="C294" i="16"/>
  <c r="B294" i="16"/>
  <c r="F293" i="16"/>
  <c r="E293" i="16"/>
  <c r="D293" i="16"/>
  <c r="C293" i="16"/>
  <c r="B293" i="16"/>
  <c r="F274" i="16"/>
  <c r="E274" i="16"/>
  <c r="D274" i="16"/>
  <c r="C274" i="16"/>
  <c r="B274" i="16"/>
  <c r="F273" i="16"/>
  <c r="E273" i="16"/>
  <c r="D273" i="16"/>
  <c r="C273" i="16"/>
  <c r="B273" i="16"/>
  <c r="F272" i="16"/>
  <c r="E272" i="16"/>
  <c r="D272" i="16"/>
  <c r="C272" i="16"/>
  <c r="B272" i="16"/>
  <c r="F255" i="16"/>
  <c r="E255" i="16"/>
  <c r="D255" i="16"/>
  <c r="C255" i="16"/>
  <c r="B255" i="16"/>
  <c r="F254" i="16"/>
  <c r="E254" i="16"/>
  <c r="D254" i="16"/>
  <c r="C254" i="16"/>
  <c r="B254" i="16"/>
  <c r="F253" i="16"/>
  <c r="E253" i="16"/>
  <c r="D253" i="16"/>
  <c r="C253" i="16"/>
  <c r="B253" i="16"/>
  <c r="F234" i="16"/>
  <c r="E234" i="16"/>
  <c r="D234" i="16"/>
  <c r="C234" i="16"/>
  <c r="B234" i="16"/>
  <c r="F233" i="16"/>
  <c r="E233" i="16"/>
  <c r="D233" i="16"/>
  <c r="C233" i="16"/>
  <c r="B233" i="16"/>
  <c r="F232" i="16"/>
  <c r="E232" i="16"/>
  <c r="D232" i="16"/>
  <c r="C232" i="16"/>
  <c r="B232" i="16"/>
  <c r="F215" i="16"/>
  <c r="E215" i="16"/>
  <c r="D215" i="16"/>
  <c r="C215" i="16"/>
  <c r="B215" i="16"/>
  <c r="F214" i="16"/>
  <c r="E214" i="16"/>
  <c r="D214" i="16"/>
  <c r="C214" i="16"/>
  <c r="B214" i="16"/>
  <c r="F213" i="16"/>
  <c r="E213" i="16"/>
  <c r="D213" i="16"/>
  <c r="C213" i="16"/>
  <c r="B213" i="16"/>
  <c r="F196" i="16"/>
  <c r="E196" i="16"/>
  <c r="D196" i="16"/>
  <c r="C196" i="16"/>
  <c r="B196" i="16"/>
  <c r="F195" i="16"/>
  <c r="E195" i="16"/>
  <c r="D195" i="16"/>
  <c r="C195" i="16"/>
  <c r="C180" i="16"/>
  <c r="B180" i="16"/>
  <c r="C179" i="16"/>
  <c r="B179" i="16"/>
  <c r="C178" i="16"/>
  <c r="B178" i="16"/>
  <c r="C161" i="16"/>
  <c r="B161" i="16"/>
  <c r="C160" i="16"/>
  <c r="B160" i="16"/>
  <c r="C159" i="16"/>
  <c r="B159" i="16"/>
  <c r="D142" i="16"/>
  <c r="C142" i="16"/>
  <c r="B142" i="16"/>
  <c r="D141" i="16"/>
  <c r="C141" i="16"/>
  <c r="B141" i="16"/>
  <c r="D140" i="16"/>
  <c r="C140" i="16"/>
  <c r="B140" i="16"/>
  <c r="C123" i="16"/>
  <c r="B123" i="16"/>
  <c r="C122" i="16"/>
  <c r="B122" i="16"/>
  <c r="C121" i="16"/>
  <c r="B121" i="16"/>
  <c r="F104" i="16"/>
  <c r="E104" i="16"/>
  <c r="D104" i="16"/>
  <c r="C104" i="16"/>
  <c r="B104" i="16"/>
  <c r="F103" i="16"/>
  <c r="E103" i="16"/>
  <c r="D103" i="16"/>
  <c r="C103" i="16"/>
  <c r="B103" i="16"/>
  <c r="F102" i="16"/>
  <c r="E102" i="16"/>
  <c r="D102" i="16"/>
  <c r="C102" i="16"/>
  <c r="B102" i="16"/>
  <c r="F85" i="16"/>
  <c r="E85" i="16"/>
  <c r="D85" i="16"/>
  <c r="C85" i="16"/>
  <c r="B85" i="16"/>
  <c r="F84" i="16"/>
  <c r="E84" i="16"/>
  <c r="D84" i="16"/>
  <c r="C84" i="16"/>
  <c r="B84" i="16"/>
  <c r="F69" i="16"/>
  <c r="E69" i="16"/>
  <c r="D69" i="16"/>
  <c r="C69" i="16"/>
  <c r="B69" i="16"/>
  <c r="F68" i="16"/>
  <c r="E68" i="16"/>
  <c r="D68" i="16"/>
  <c r="C68" i="16"/>
  <c r="B68" i="16"/>
  <c r="F67" i="16"/>
  <c r="E67" i="16"/>
  <c r="D67" i="16"/>
  <c r="C67" i="16"/>
  <c r="B67" i="16"/>
  <c r="F50" i="16"/>
  <c r="E50" i="16"/>
  <c r="D50" i="16"/>
  <c r="C50" i="16"/>
  <c r="B50" i="16"/>
  <c r="F49" i="16"/>
  <c r="E49" i="16"/>
  <c r="D49" i="16"/>
  <c r="C49" i="16"/>
  <c r="B49" i="16"/>
  <c r="F34" i="16"/>
  <c r="E34" i="16"/>
  <c r="D34" i="16"/>
  <c r="C34" i="16"/>
  <c r="B34" i="16"/>
  <c r="F33" i="16"/>
  <c r="E33" i="16"/>
  <c r="D33" i="16"/>
  <c r="C33" i="16"/>
  <c r="B33" i="16"/>
  <c r="F32" i="16"/>
  <c r="E32" i="16"/>
  <c r="D32" i="16"/>
  <c r="C32" i="16"/>
  <c r="B32" i="16"/>
  <c r="F15" i="16"/>
  <c r="E15" i="16"/>
  <c r="D15" i="16"/>
  <c r="C15" i="16"/>
  <c r="B15" i="16"/>
  <c r="F14" i="16"/>
  <c r="E14" i="16"/>
  <c r="D14" i="16"/>
  <c r="C14" i="16"/>
  <c r="B14" i="16"/>
  <c r="AZ565" i="8"/>
  <c r="AY565" i="8"/>
  <c r="AX565" i="8"/>
  <c r="AW565" i="8"/>
  <c r="AV565" i="8"/>
  <c r="AU565" i="8"/>
  <c r="AQ565" i="8"/>
  <c r="AP565" i="8"/>
  <c r="H565" i="8"/>
  <c r="AZ564" i="8"/>
  <c r="AY564" i="8"/>
  <c r="AX564" i="8"/>
  <c r="AW564" i="8"/>
  <c r="AV564" i="8"/>
  <c r="AU564" i="8"/>
  <c r="AQ564" i="8"/>
  <c r="AP564" i="8"/>
  <c r="H564" i="8"/>
  <c r="AZ563" i="8"/>
  <c r="AY563" i="8"/>
  <c r="AX563" i="8"/>
  <c r="AW563" i="8"/>
  <c r="AV563" i="8"/>
  <c r="AU563" i="8"/>
  <c r="AQ563" i="8"/>
  <c r="AP563" i="8"/>
  <c r="H563" i="8"/>
  <c r="AZ562" i="8"/>
  <c r="AY562" i="8"/>
  <c r="AX562" i="8"/>
  <c r="AW562" i="8"/>
  <c r="AV562" i="8"/>
  <c r="AU562" i="8"/>
  <c r="AQ562" i="8"/>
  <c r="AP562" i="8"/>
  <c r="H562" i="8"/>
  <c r="AZ561" i="8"/>
  <c r="AY561" i="8"/>
  <c r="AX561" i="8"/>
  <c r="AW561" i="8"/>
  <c r="AV561" i="8"/>
  <c r="AU561" i="8"/>
  <c r="AQ561" i="8"/>
  <c r="AP561" i="8"/>
  <c r="H561" i="8"/>
  <c r="AZ560" i="8"/>
  <c r="AY560" i="8"/>
  <c r="AX560" i="8"/>
  <c r="AW560" i="8"/>
  <c r="AV560" i="8"/>
  <c r="AU560" i="8"/>
  <c r="AQ560" i="8"/>
  <c r="AP560" i="8"/>
  <c r="H560" i="8"/>
  <c r="AZ559" i="8"/>
  <c r="AY559" i="8"/>
  <c r="AX559" i="8"/>
  <c r="AW559" i="8"/>
  <c r="AV559" i="8"/>
  <c r="AU559" i="8"/>
  <c r="AQ559" i="8"/>
  <c r="AP559" i="8"/>
  <c r="H559" i="8"/>
  <c r="AZ558" i="8"/>
  <c r="AY558" i="8"/>
  <c r="AX558" i="8"/>
  <c r="AW558" i="8"/>
  <c r="AV558" i="8"/>
  <c r="AU558" i="8"/>
  <c r="AQ558" i="8"/>
  <c r="AP558" i="8"/>
  <c r="H558" i="8"/>
  <c r="AZ557" i="8"/>
  <c r="AY557" i="8"/>
  <c r="AX557" i="8"/>
  <c r="AW557" i="8"/>
  <c r="AV557" i="8"/>
  <c r="AU557" i="8"/>
  <c r="AQ557" i="8"/>
  <c r="AP557" i="8"/>
  <c r="H557" i="8"/>
  <c r="AZ556" i="8"/>
  <c r="AY556" i="8"/>
  <c r="AX556" i="8"/>
  <c r="AW556" i="8"/>
  <c r="AV556" i="8"/>
  <c r="AU556" i="8"/>
  <c r="AQ556" i="8"/>
  <c r="AP556" i="8"/>
  <c r="H556" i="8"/>
  <c r="AZ555" i="8"/>
  <c r="AY555" i="8"/>
  <c r="AX555" i="8"/>
  <c r="AW555" i="8"/>
  <c r="AV555" i="8"/>
  <c r="AU555" i="8"/>
  <c r="AQ555" i="8"/>
  <c r="AP555" i="8"/>
  <c r="H555" i="8"/>
  <c r="AZ554" i="8"/>
  <c r="AY554" i="8"/>
  <c r="AX554" i="8"/>
  <c r="AW554" i="8"/>
  <c r="AV554" i="8"/>
  <c r="AU554" i="8"/>
  <c r="AQ554" i="8"/>
  <c r="AP554" i="8"/>
  <c r="H554" i="8"/>
  <c r="AZ553" i="8"/>
  <c r="AY553" i="8"/>
  <c r="AX553" i="8"/>
  <c r="AW553" i="8"/>
  <c r="AV553" i="8"/>
  <c r="AU553" i="8"/>
  <c r="AQ553" i="8"/>
  <c r="AP553" i="8"/>
  <c r="H553" i="8"/>
  <c r="AZ552" i="8"/>
  <c r="AY552" i="8"/>
  <c r="AX552" i="8"/>
  <c r="AW552" i="8"/>
  <c r="AV552" i="8"/>
  <c r="AU552" i="8"/>
  <c r="AQ552" i="8"/>
  <c r="AP552" i="8"/>
  <c r="H552" i="8"/>
  <c r="AZ551" i="8"/>
  <c r="AY551" i="8"/>
  <c r="AX551" i="8"/>
  <c r="AW551" i="8"/>
  <c r="AV551" i="8"/>
  <c r="AU551" i="8"/>
  <c r="AQ551" i="8"/>
  <c r="AP551" i="8"/>
  <c r="H551" i="8"/>
  <c r="AZ550" i="8"/>
  <c r="AY550" i="8"/>
  <c r="AX550" i="8"/>
  <c r="AW550" i="8"/>
  <c r="AV550" i="8"/>
  <c r="AU550" i="8"/>
  <c r="AQ550" i="8"/>
  <c r="AP550" i="8"/>
  <c r="H550" i="8"/>
  <c r="AZ549" i="8"/>
  <c r="AY549" i="8"/>
  <c r="AX549" i="8"/>
  <c r="AW549" i="8"/>
  <c r="AV549" i="8"/>
  <c r="AU549" i="8"/>
  <c r="AQ549" i="8"/>
  <c r="AP549" i="8"/>
  <c r="H549" i="8"/>
  <c r="AZ548" i="8"/>
  <c r="AY548" i="8"/>
  <c r="AX548" i="8"/>
  <c r="AW548" i="8"/>
  <c r="AV548" i="8"/>
  <c r="AU548" i="8"/>
  <c r="AQ548" i="8"/>
  <c r="AP548" i="8"/>
  <c r="H548" i="8"/>
  <c r="AZ547" i="8"/>
  <c r="AY547" i="8"/>
  <c r="AX547" i="8"/>
  <c r="AW547" i="8"/>
  <c r="AV547" i="8"/>
  <c r="AU547" i="8"/>
  <c r="AQ547" i="8"/>
  <c r="AP547" i="8"/>
  <c r="H547" i="8"/>
  <c r="AZ546" i="8"/>
  <c r="AY546" i="8"/>
  <c r="AX546" i="8"/>
  <c r="AW546" i="8"/>
  <c r="AV546" i="8"/>
  <c r="AU546" i="8"/>
  <c r="AQ546" i="8"/>
  <c r="AP546" i="8"/>
  <c r="H546" i="8"/>
  <c r="AZ545" i="8"/>
  <c r="AY545" i="8"/>
  <c r="AX545" i="8"/>
  <c r="AW545" i="8"/>
  <c r="AV545" i="8"/>
  <c r="AU545" i="8"/>
  <c r="AQ545" i="8"/>
  <c r="AP545" i="8"/>
  <c r="H545" i="8"/>
  <c r="AZ544" i="8"/>
  <c r="AY544" i="8"/>
  <c r="AX544" i="8"/>
  <c r="AW544" i="8"/>
  <c r="AV544" i="8"/>
  <c r="AU544" i="8"/>
  <c r="AQ544" i="8"/>
  <c r="AP544" i="8"/>
  <c r="H544" i="8"/>
  <c r="AZ543" i="8"/>
  <c r="AY543" i="8"/>
  <c r="AX543" i="8"/>
  <c r="AW543" i="8"/>
  <c r="AV543" i="8"/>
  <c r="AU543" i="8"/>
  <c r="AQ543" i="8"/>
  <c r="AP543" i="8"/>
  <c r="H543" i="8"/>
  <c r="AZ542" i="8"/>
  <c r="AY542" i="8"/>
  <c r="AX542" i="8"/>
  <c r="AW542" i="8"/>
  <c r="AV542" i="8"/>
  <c r="AU542" i="8"/>
  <c r="AQ542" i="8"/>
  <c r="AP542" i="8"/>
  <c r="H542" i="8"/>
  <c r="AZ541" i="8"/>
  <c r="AY541" i="8"/>
  <c r="AX541" i="8"/>
  <c r="AW541" i="8"/>
  <c r="AV541" i="8"/>
  <c r="AU541" i="8"/>
  <c r="AQ541" i="8"/>
  <c r="AP541" i="8"/>
  <c r="H541" i="8"/>
  <c r="AZ540" i="8"/>
  <c r="AY540" i="8"/>
  <c r="AX540" i="8"/>
  <c r="AW540" i="8"/>
  <c r="AV540" i="8"/>
  <c r="AU540" i="8"/>
  <c r="AQ540" i="8"/>
  <c r="AP540" i="8"/>
  <c r="H540" i="8"/>
  <c r="AZ539" i="8"/>
  <c r="AY539" i="8"/>
  <c r="AX539" i="8"/>
  <c r="AW539" i="8"/>
  <c r="AV539" i="8"/>
  <c r="AU539" i="8"/>
  <c r="AQ539" i="8"/>
  <c r="AP539" i="8"/>
  <c r="H539" i="8"/>
  <c r="AZ538" i="8"/>
  <c r="AY538" i="8"/>
  <c r="AX538" i="8"/>
  <c r="AW538" i="8"/>
  <c r="AV538" i="8"/>
  <c r="AU538" i="8"/>
  <c r="AQ538" i="8"/>
  <c r="AP538" i="8"/>
  <c r="H538" i="8"/>
  <c r="AZ537" i="8"/>
  <c r="AY537" i="8"/>
  <c r="AX537" i="8"/>
  <c r="AW537" i="8"/>
  <c r="AV537" i="8"/>
  <c r="AU537" i="8"/>
  <c r="AQ537" i="8"/>
  <c r="AP537" i="8"/>
  <c r="H537" i="8"/>
  <c r="AZ536" i="8"/>
  <c r="AY536" i="8"/>
  <c r="AX536" i="8"/>
  <c r="AW536" i="8"/>
  <c r="AV536" i="8"/>
  <c r="AU536" i="8"/>
  <c r="AQ536" i="8"/>
  <c r="AP536" i="8"/>
  <c r="H536" i="8"/>
  <c r="AZ535" i="8"/>
  <c r="AY535" i="8"/>
  <c r="AX535" i="8"/>
  <c r="AW535" i="8"/>
  <c r="AV535" i="8"/>
  <c r="AU535" i="8"/>
  <c r="AQ535" i="8"/>
  <c r="AP535" i="8"/>
  <c r="H535" i="8"/>
  <c r="AZ534" i="8"/>
  <c r="AY534" i="8"/>
  <c r="AX534" i="8"/>
  <c r="AW534" i="8"/>
  <c r="AV534" i="8"/>
  <c r="AU534" i="8"/>
  <c r="AQ534" i="8"/>
  <c r="AP534" i="8"/>
  <c r="H534" i="8"/>
  <c r="AZ533" i="8"/>
  <c r="AY533" i="8"/>
  <c r="AX533" i="8"/>
  <c r="AW533" i="8"/>
  <c r="AV533" i="8"/>
  <c r="AU533" i="8"/>
  <c r="AQ533" i="8"/>
  <c r="AP533" i="8"/>
  <c r="H533" i="8"/>
  <c r="AZ532" i="8"/>
  <c r="AY532" i="8"/>
  <c r="AX532" i="8"/>
  <c r="AW532" i="8"/>
  <c r="AV532" i="8"/>
  <c r="AU532" i="8"/>
  <c r="AQ532" i="8"/>
  <c r="AP532" i="8"/>
  <c r="H532" i="8"/>
  <c r="AZ531" i="8"/>
  <c r="AY531" i="8"/>
  <c r="AX531" i="8"/>
  <c r="AW531" i="8"/>
  <c r="AV531" i="8"/>
  <c r="AU531" i="8"/>
  <c r="AQ531" i="8"/>
  <c r="AP531" i="8"/>
  <c r="H531" i="8"/>
  <c r="AZ530" i="8"/>
  <c r="AY530" i="8"/>
  <c r="AX530" i="8"/>
  <c r="AW530" i="8"/>
  <c r="AV530" i="8"/>
  <c r="AU530" i="8"/>
  <c r="AQ530" i="8"/>
  <c r="AP530" i="8"/>
  <c r="H530" i="8"/>
  <c r="AZ529" i="8"/>
  <c r="AY529" i="8"/>
  <c r="AX529" i="8"/>
  <c r="AW529" i="8"/>
  <c r="AV529" i="8"/>
  <c r="AU529" i="8"/>
  <c r="AQ529" i="8"/>
  <c r="AP529" i="8"/>
  <c r="H529" i="8"/>
  <c r="AZ528" i="8"/>
  <c r="AY528" i="8"/>
  <c r="AX528" i="8"/>
  <c r="AW528" i="8"/>
  <c r="AV528" i="8"/>
  <c r="AU528" i="8"/>
  <c r="AQ528" i="8"/>
  <c r="AP528" i="8"/>
  <c r="H528" i="8"/>
  <c r="AZ527" i="8"/>
  <c r="AY527" i="8"/>
  <c r="AX527" i="8"/>
  <c r="AW527" i="8"/>
  <c r="AV527" i="8"/>
  <c r="AU527" i="8"/>
  <c r="AQ527" i="8"/>
  <c r="AP527" i="8"/>
  <c r="H527" i="8"/>
  <c r="AZ526" i="8"/>
  <c r="AY526" i="8"/>
  <c r="AX526" i="8"/>
  <c r="AW526" i="8"/>
  <c r="AV526" i="8"/>
  <c r="AU526" i="8"/>
  <c r="AQ526" i="8"/>
  <c r="AP526" i="8"/>
  <c r="H526" i="8"/>
  <c r="AZ525" i="8"/>
  <c r="AY525" i="8"/>
  <c r="AX525" i="8"/>
  <c r="AW525" i="8"/>
  <c r="AV525" i="8"/>
  <c r="AU525" i="8"/>
  <c r="AQ525" i="8"/>
  <c r="AP525" i="8"/>
  <c r="H525" i="8"/>
  <c r="AZ524" i="8"/>
  <c r="AY524" i="8"/>
  <c r="AX524" i="8"/>
  <c r="AW524" i="8"/>
  <c r="AV524" i="8"/>
  <c r="AU524" i="8"/>
  <c r="AQ524" i="8"/>
  <c r="AP524" i="8"/>
  <c r="H524" i="8"/>
  <c r="AZ523" i="8"/>
  <c r="AY523" i="8"/>
  <c r="AX523" i="8"/>
  <c r="AW523" i="8"/>
  <c r="AV523" i="8"/>
  <c r="AU523" i="8"/>
  <c r="AQ523" i="8"/>
  <c r="AP523" i="8"/>
  <c r="H523" i="8"/>
  <c r="AZ522" i="8"/>
  <c r="AY522" i="8"/>
  <c r="AX522" i="8"/>
  <c r="AW522" i="8"/>
  <c r="AV522" i="8"/>
  <c r="AU522" i="8"/>
  <c r="AQ522" i="8"/>
  <c r="AP522" i="8"/>
  <c r="H522" i="8"/>
  <c r="AZ521" i="8"/>
  <c r="AY521" i="8"/>
  <c r="AX521" i="8"/>
  <c r="AW521" i="8"/>
  <c r="AV521" i="8"/>
  <c r="AU521" i="8"/>
  <c r="AQ521" i="8"/>
  <c r="AP521" i="8"/>
  <c r="H521" i="8"/>
  <c r="AZ520" i="8"/>
  <c r="AY520" i="8"/>
  <c r="AX520" i="8"/>
  <c r="AW520" i="8"/>
  <c r="AV520" i="8"/>
  <c r="AU520" i="8"/>
  <c r="AQ520" i="8"/>
  <c r="AP520" i="8"/>
  <c r="H520" i="8"/>
  <c r="AY519" i="8"/>
  <c r="AX519" i="8"/>
  <c r="AW519" i="8"/>
  <c r="AV519" i="8"/>
  <c r="AU519" i="8"/>
  <c r="AQ519" i="8"/>
  <c r="AP519" i="8"/>
  <c r="H519" i="8"/>
  <c r="AZ518" i="8"/>
  <c r="AY518" i="8"/>
  <c r="AX518" i="8"/>
  <c r="AW518" i="8"/>
  <c r="AV518" i="8"/>
  <c r="AU518" i="8"/>
  <c r="AQ518" i="8"/>
  <c r="AP518" i="8"/>
  <c r="H518" i="8"/>
  <c r="AZ517" i="8"/>
  <c r="AY517" i="8"/>
  <c r="AX517" i="8"/>
  <c r="AW517" i="8"/>
  <c r="AV517" i="8"/>
  <c r="AU517" i="8"/>
  <c r="AQ517" i="8"/>
  <c r="AP517" i="8"/>
  <c r="H517" i="8"/>
  <c r="AZ516" i="8"/>
  <c r="AY516" i="8"/>
  <c r="AX516" i="8"/>
  <c r="AW516" i="8"/>
  <c r="AV516" i="8"/>
  <c r="AU516" i="8"/>
  <c r="AQ516" i="8"/>
  <c r="AP516" i="8"/>
  <c r="H516" i="8"/>
  <c r="AZ515" i="8"/>
  <c r="AY515" i="8"/>
  <c r="AX515" i="8"/>
  <c r="AW515" i="8"/>
  <c r="AV515" i="8"/>
  <c r="AU515" i="8"/>
  <c r="AQ515" i="8"/>
  <c r="AP515" i="8"/>
  <c r="H515" i="8"/>
  <c r="AZ514" i="8"/>
  <c r="AY514" i="8"/>
  <c r="AX514" i="8"/>
  <c r="AW514" i="8"/>
  <c r="AV514" i="8"/>
  <c r="AU514" i="8"/>
  <c r="AQ514" i="8"/>
  <c r="AP514" i="8"/>
  <c r="H514" i="8"/>
  <c r="AZ513" i="8"/>
  <c r="AY513" i="8"/>
  <c r="AX513" i="8"/>
  <c r="AW513" i="8"/>
  <c r="AV513" i="8"/>
  <c r="AU513" i="8"/>
  <c r="AQ513" i="8"/>
  <c r="AP513" i="8"/>
  <c r="H513" i="8"/>
  <c r="AZ512" i="8"/>
  <c r="AY512" i="8"/>
  <c r="AX512" i="8"/>
  <c r="AW512" i="8"/>
  <c r="AV512" i="8"/>
  <c r="AU512" i="8"/>
  <c r="AQ512" i="8"/>
  <c r="AP512" i="8"/>
  <c r="H512" i="8"/>
  <c r="AZ511" i="8"/>
  <c r="AY511" i="8"/>
  <c r="AX511" i="8"/>
  <c r="AW511" i="8"/>
  <c r="AV511" i="8"/>
  <c r="AU511" i="8"/>
  <c r="AQ511" i="8"/>
  <c r="AP511" i="8"/>
  <c r="H511" i="8"/>
  <c r="AZ510" i="8"/>
  <c r="AY510" i="8"/>
  <c r="AX510" i="8"/>
  <c r="AW510" i="8"/>
  <c r="AV510" i="8"/>
  <c r="AU510" i="8"/>
  <c r="AQ510" i="8"/>
  <c r="AP510" i="8"/>
  <c r="H510" i="8"/>
  <c r="AZ509" i="8"/>
  <c r="AY509" i="8"/>
  <c r="AX509" i="8"/>
  <c r="AW509" i="8"/>
  <c r="AV509" i="8"/>
  <c r="AU509" i="8"/>
  <c r="AQ509" i="8"/>
  <c r="AP509" i="8"/>
  <c r="H509" i="8"/>
  <c r="AZ508" i="8"/>
  <c r="AY508" i="8"/>
  <c r="AX508" i="8"/>
  <c r="AW508" i="8"/>
  <c r="AV508" i="8"/>
  <c r="AU508" i="8"/>
  <c r="AQ508" i="8"/>
  <c r="AP508" i="8"/>
  <c r="H508" i="8"/>
  <c r="AZ507" i="8"/>
  <c r="AY507" i="8"/>
  <c r="AX507" i="8"/>
  <c r="AW507" i="8"/>
  <c r="AV507" i="8"/>
  <c r="AU507" i="8"/>
  <c r="AQ507" i="8"/>
  <c r="AP507" i="8"/>
  <c r="H507" i="8"/>
  <c r="AZ506" i="8"/>
  <c r="AY506" i="8"/>
  <c r="AX506" i="8"/>
  <c r="AW506" i="8"/>
  <c r="AV506" i="8"/>
  <c r="AU506" i="8"/>
  <c r="AQ506" i="8"/>
  <c r="AP506" i="8"/>
  <c r="H506" i="8"/>
  <c r="AZ505" i="8"/>
  <c r="AY505" i="8"/>
  <c r="AX505" i="8"/>
  <c r="AW505" i="8"/>
  <c r="AV505" i="8"/>
  <c r="AU505" i="8"/>
  <c r="AQ505" i="8"/>
  <c r="AP505" i="8"/>
  <c r="H505" i="8"/>
  <c r="AZ504" i="8"/>
  <c r="AY504" i="8"/>
  <c r="AX504" i="8"/>
  <c r="AW504" i="8"/>
  <c r="AV504" i="8"/>
  <c r="AU504" i="8"/>
  <c r="AQ504" i="8"/>
  <c r="AP504" i="8"/>
  <c r="H504" i="8"/>
  <c r="AZ503" i="8"/>
  <c r="AY503" i="8"/>
  <c r="AX503" i="8"/>
  <c r="AW503" i="8"/>
  <c r="AV503" i="8"/>
  <c r="AU503" i="8"/>
  <c r="AQ503" i="8"/>
  <c r="AP503" i="8"/>
  <c r="H503" i="8"/>
  <c r="AZ502" i="8"/>
  <c r="AY502" i="8"/>
  <c r="AX502" i="8"/>
  <c r="AW502" i="8"/>
  <c r="AV502" i="8"/>
  <c r="AU502" i="8"/>
  <c r="AQ502" i="8"/>
  <c r="AP502" i="8"/>
  <c r="H502" i="8"/>
  <c r="AZ501" i="8"/>
  <c r="AY501" i="8"/>
  <c r="AX501" i="8"/>
  <c r="AW501" i="8"/>
  <c r="AV501" i="8"/>
  <c r="AU501" i="8"/>
  <c r="AQ501" i="8"/>
  <c r="AP501" i="8"/>
  <c r="H501" i="8"/>
  <c r="AZ500" i="8"/>
  <c r="AY500" i="8"/>
  <c r="AX500" i="8"/>
  <c r="AW500" i="8"/>
  <c r="AV500" i="8"/>
  <c r="AU500" i="8"/>
  <c r="AQ500" i="8"/>
  <c r="AP500" i="8"/>
  <c r="H500" i="8"/>
  <c r="AZ499" i="8"/>
  <c r="AY499" i="8"/>
  <c r="AX499" i="8"/>
  <c r="AW499" i="8"/>
  <c r="AV499" i="8"/>
  <c r="AU499" i="8"/>
  <c r="AQ499" i="8"/>
  <c r="AP499" i="8"/>
  <c r="H499" i="8"/>
  <c r="AZ498" i="8"/>
  <c r="AY498" i="8"/>
  <c r="AX498" i="8"/>
  <c r="AW498" i="8"/>
  <c r="AV498" i="8"/>
  <c r="AU498" i="8"/>
  <c r="AQ498" i="8"/>
  <c r="AP498" i="8"/>
  <c r="H498" i="8"/>
  <c r="AZ497" i="8"/>
  <c r="AY497" i="8"/>
  <c r="AX497" i="8"/>
  <c r="AW497" i="8"/>
  <c r="AV497" i="8"/>
  <c r="AU497" i="8"/>
  <c r="AQ497" i="8"/>
  <c r="AP497" i="8"/>
  <c r="H497" i="8"/>
  <c r="AZ496" i="8"/>
  <c r="AY496" i="8"/>
  <c r="AX496" i="8"/>
  <c r="AW496" i="8"/>
  <c r="AV496" i="8"/>
  <c r="AU496" i="8"/>
  <c r="AQ496" i="8"/>
  <c r="AP496" i="8"/>
  <c r="H496" i="8"/>
  <c r="BI495" i="8"/>
  <c r="BH495" i="8"/>
  <c r="BG495" i="8"/>
  <c r="BF495" i="8"/>
  <c r="BE495" i="8"/>
  <c r="BD495" i="8"/>
  <c r="BC495" i="8"/>
  <c r="BB495" i="8"/>
  <c r="BA495" i="8"/>
  <c r="AZ495" i="8"/>
  <c r="AY495" i="8"/>
  <c r="AX495" i="8"/>
  <c r="AW495" i="8"/>
  <c r="AV495" i="8"/>
  <c r="AU495" i="8"/>
  <c r="AT495" i="8"/>
  <c r="AS495" i="8"/>
  <c r="AR495" i="8"/>
  <c r="AQ495" i="8"/>
  <c r="AP495" i="8"/>
  <c r="H495" i="8"/>
  <c r="BI494" i="8"/>
  <c r="BH494" i="8"/>
  <c r="BG494" i="8"/>
  <c r="BF494" i="8"/>
  <c r="BE494" i="8"/>
  <c r="BD494" i="8"/>
  <c r="BC494" i="8"/>
  <c r="BB494" i="8"/>
  <c r="BA494" i="8"/>
  <c r="AZ494" i="8"/>
  <c r="AY494" i="8"/>
  <c r="AX494" i="8"/>
  <c r="AW494" i="8"/>
  <c r="AV494" i="8"/>
  <c r="AU494" i="8"/>
  <c r="AT494" i="8"/>
  <c r="AS494" i="8"/>
  <c r="AR494" i="8"/>
  <c r="AQ494" i="8"/>
  <c r="AP494" i="8"/>
  <c r="H494" i="8"/>
  <c r="BI493" i="8"/>
  <c r="BH493" i="8"/>
  <c r="BG493" i="8"/>
  <c r="BF493" i="8"/>
  <c r="BE493" i="8"/>
  <c r="BD493" i="8"/>
  <c r="BC493" i="8"/>
  <c r="BB493" i="8"/>
  <c r="BA493" i="8"/>
  <c r="AZ493" i="8"/>
  <c r="AY493" i="8"/>
  <c r="AX493" i="8"/>
  <c r="AW493" i="8"/>
  <c r="AV493" i="8"/>
  <c r="AU493" i="8"/>
  <c r="AT493" i="8"/>
  <c r="AS493" i="8"/>
  <c r="AR493" i="8"/>
  <c r="AQ493" i="8"/>
  <c r="AP493" i="8"/>
  <c r="H493" i="8"/>
  <c r="BI492" i="8"/>
  <c r="BH492" i="8"/>
  <c r="BG492" i="8"/>
  <c r="BF492" i="8"/>
  <c r="BE492" i="8"/>
  <c r="BD492" i="8"/>
  <c r="BC492" i="8"/>
  <c r="BB492" i="8"/>
  <c r="BA492" i="8"/>
  <c r="AZ492" i="8"/>
  <c r="AY492" i="8"/>
  <c r="AX492" i="8"/>
  <c r="AW492" i="8"/>
  <c r="AV492" i="8"/>
  <c r="AU492" i="8"/>
  <c r="AT492" i="8"/>
  <c r="AS492" i="8"/>
  <c r="AR492" i="8"/>
  <c r="AQ492" i="8"/>
  <c r="AP492" i="8"/>
  <c r="H492" i="8"/>
  <c r="BI491" i="8"/>
  <c r="BH491" i="8"/>
  <c r="BG491" i="8"/>
  <c r="BF491" i="8"/>
  <c r="BE491" i="8"/>
  <c r="BD491" i="8"/>
  <c r="BC491" i="8"/>
  <c r="BB491" i="8"/>
  <c r="BA491" i="8"/>
  <c r="AZ491" i="8"/>
  <c r="AY491" i="8"/>
  <c r="AX491" i="8"/>
  <c r="AW491" i="8"/>
  <c r="AV491" i="8"/>
  <c r="AU491" i="8"/>
  <c r="AT491" i="8"/>
  <c r="AS491" i="8"/>
  <c r="AR491" i="8"/>
  <c r="AQ491" i="8"/>
  <c r="AP491" i="8"/>
  <c r="H491" i="8"/>
  <c r="BI490" i="8"/>
  <c r="BH490" i="8"/>
  <c r="BG490" i="8"/>
  <c r="BF490" i="8"/>
  <c r="BE490" i="8"/>
  <c r="BD490" i="8"/>
  <c r="BC490" i="8"/>
  <c r="BB490" i="8"/>
  <c r="BA490" i="8"/>
  <c r="AZ490" i="8"/>
  <c r="AY490" i="8"/>
  <c r="AX490" i="8"/>
  <c r="AW490" i="8"/>
  <c r="AV490" i="8"/>
  <c r="AU490" i="8"/>
  <c r="AT490" i="8"/>
  <c r="AS490" i="8"/>
  <c r="AR490" i="8"/>
  <c r="AQ490" i="8"/>
  <c r="AP490" i="8"/>
  <c r="H490" i="8"/>
  <c r="BI489" i="8"/>
  <c r="BH489" i="8"/>
  <c r="BG489" i="8"/>
  <c r="BF489" i="8"/>
  <c r="BE489" i="8"/>
  <c r="BD489" i="8"/>
  <c r="BC489" i="8"/>
  <c r="BB489" i="8"/>
  <c r="BA489" i="8"/>
  <c r="AZ489" i="8"/>
  <c r="AY489" i="8"/>
  <c r="AX489" i="8"/>
  <c r="AW489" i="8"/>
  <c r="AV489" i="8"/>
  <c r="AU489" i="8"/>
  <c r="AT489" i="8"/>
  <c r="AS489" i="8"/>
  <c r="AR489" i="8"/>
  <c r="AQ489" i="8"/>
  <c r="AP489" i="8"/>
  <c r="H489" i="8"/>
  <c r="BI488" i="8"/>
  <c r="BH488" i="8"/>
  <c r="BG488" i="8"/>
  <c r="BF488" i="8"/>
  <c r="BE488" i="8"/>
  <c r="BD488" i="8"/>
  <c r="BC488" i="8"/>
  <c r="BB488" i="8"/>
  <c r="BA488" i="8"/>
  <c r="AZ488" i="8"/>
  <c r="AY488" i="8"/>
  <c r="AX488" i="8"/>
  <c r="AW488" i="8"/>
  <c r="AV488" i="8"/>
  <c r="AU488" i="8"/>
  <c r="AT488" i="8"/>
  <c r="AS488" i="8"/>
  <c r="AR488" i="8"/>
  <c r="AQ488" i="8"/>
  <c r="AP488" i="8"/>
  <c r="H488" i="8"/>
  <c r="BI487" i="8"/>
  <c r="BH487" i="8"/>
  <c r="BG487" i="8"/>
  <c r="BF487" i="8"/>
  <c r="BE487" i="8"/>
  <c r="BD487" i="8"/>
  <c r="BC487" i="8"/>
  <c r="BB487" i="8"/>
  <c r="BA487" i="8"/>
  <c r="AZ487" i="8"/>
  <c r="AY487" i="8"/>
  <c r="AX487" i="8"/>
  <c r="AW487" i="8"/>
  <c r="AV487" i="8"/>
  <c r="AU487" i="8"/>
  <c r="AT487" i="8"/>
  <c r="AS487" i="8"/>
  <c r="AR487" i="8"/>
  <c r="AQ487" i="8"/>
  <c r="AP487" i="8"/>
  <c r="H487" i="8"/>
  <c r="BI486" i="8"/>
  <c r="BH486" i="8"/>
  <c r="BG486" i="8"/>
  <c r="BF486" i="8"/>
  <c r="BE486" i="8"/>
  <c r="BD486" i="8"/>
  <c r="BC486" i="8"/>
  <c r="BB486" i="8"/>
  <c r="BA486" i="8"/>
  <c r="AZ486" i="8"/>
  <c r="AY486" i="8"/>
  <c r="AX486" i="8"/>
  <c r="AW486" i="8"/>
  <c r="AV486" i="8"/>
  <c r="AU486" i="8"/>
  <c r="AT486" i="8"/>
  <c r="AS486" i="8"/>
  <c r="AR486" i="8"/>
  <c r="AQ486" i="8"/>
  <c r="AP486" i="8"/>
  <c r="H486" i="8"/>
  <c r="BI485" i="8"/>
  <c r="BH485" i="8"/>
  <c r="BG485" i="8"/>
  <c r="BF485" i="8"/>
  <c r="BE485" i="8"/>
  <c r="BD485" i="8"/>
  <c r="BC485" i="8"/>
  <c r="BB485" i="8"/>
  <c r="BA485" i="8"/>
  <c r="AZ485" i="8"/>
  <c r="AY485" i="8"/>
  <c r="AX485" i="8"/>
  <c r="AW485" i="8"/>
  <c r="AV485" i="8"/>
  <c r="AU485" i="8"/>
  <c r="AT485" i="8"/>
  <c r="AS485" i="8"/>
  <c r="AR485" i="8"/>
  <c r="AQ485" i="8"/>
  <c r="AP485" i="8"/>
  <c r="H485" i="8"/>
  <c r="BI484" i="8"/>
  <c r="BH484" i="8"/>
  <c r="BG484" i="8"/>
  <c r="BF484" i="8"/>
  <c r="BE484" i="8"/>
  <c r="BD484" i="8"/>
  <c r="BC484" i="8"/>
  <c r="BB484" i="8"/>
  <c r="BA484" i="8"/>
  <c r="AZ484" i="8"/>
  <c r="AY484" i="8"/>
  <c r="AX484" i="8"/>
  <c r="AW484" i="8"/>
  <c r="AV484" i="8"/>
  <c r="AU484" i="8"/>
  <c r="AT484" i="8"/>
  <c r="AS484" i="8"/>
  <c r="AR484" i="8"/>
  <c r="AQ484" i="8"/>
  <c r="AP484" i="8"/>
  <c r="H484" i="8"/>
  <c r="BI483" i="8"/>
  <c r="BH483" i="8"/>
  <c r="BG483" i="8"/>
  <c r="BF483" i="8"/>
  <c r="BE483" i="8"/>
  <c r="BD483" i="8"/>
  <c r="BC483" i="8"/>
  <c r="BB483" i="8"/>
  <c r="BA483" i="8"/>
  <c r="AZ483" i="8"/>
  <c r="AY483" i="8"/>
  <c r="AX483" i="8"/>
  <c r="AW483" i="8"/>
  <c r="AV483" i="8"/>
  <c r="AU483" i="8"/>
  <c r="AT483" i="8"/>
  <c r="AS483" i="8"/>
  <c r="AR483" i="8"/>
  <c r="AQ483" i="8"/>
  <c r="AP483" i="8"/>
  <c r="H483" i="8"/>
  <c r="BI482" i="8"/>
  <c r="BH482" i="8"/>
  <c r="BG482" i="8"/>
  <c r="BF482" i="8"/>
  <c r="BE482" i="8"/>
  <c r="BD482" i="8"/>
  <c r="BC482" i="8"/>
  <c r="BB482" i="8"/>
  <c r="BA482" i="8"/>
  <c r="AZ482" i="8"/>
  <c r="AY482" i="8"/>
  <c r="AX482" i="8"/>
  <c r="AW482" i="8"/>
  <c r="AV482" i="8"/>
  <c r="AU482" i="8"/>
  <c r="AT482" i="8"/>
  <c r="AS482" i="8"/>
  <c r="AR482" i="8"/>
  <c r="AQ482" i="8"/>
  <c r="AP482" i="8"/>
  <c r="H482" i="8"/>
  <c r="BI481" i="8"/>
  <c r="BH481" i="8"/>
  <c r="BG481" i="8"/>
  <c r="BF481" i="8"/>
  <c r="BE481" i="8"/>
  <c r="BD481" i="8"/>
  <c r="BC481" i="8"/>
  <c r="BB481" i="8"/>
  <c r="BA481" i="8"/>
  <c r="AZ481" i="8"/>
  <c r="AY481" i="8"/>
  <c r="AX481" i="8"/>
  <c r="AW481" i="8"/>
  <c r="AV481" i="8"/>
  <c r="AU481" i="8"/>
  <c r="AT481" i="8"/>
  <c r="AS481" i="8"/>
  <c r="AR481" i="8"/>
  <c r="AQ481" i="8"/>
  <c r="AP481" i="8"/>
  <c r="H481" i="8"/>
  <c r="BI480" i="8"/>
  <c r="BH480" i="8"/>
  <c r="BG480" i="8"/>
  <c r="BF480" i="8"/>
  <c r="BE480" i="8"/>
  <c r="BD480" i="8"/>
  <c r="BC480" i="8"/>
  <c r="BB480" i="8"/>
  <c r="BA480" i="8"/>
  <c r="AZ480" i="8"/>
  <c r="AY480" i="8"/>
  <c r="AX480" i="8"/>
  <c r="AW480" i="8"/>
  <c r="AV480" i="8"/>
  <c r="AU480" i="8"/>
  <c r="AT480" i="8"/>
  <c r="AS480" i="8"/>
  <c r="AR480" i="8"/>
  <c r="AQ480" i="8"/>
  <c r="AP480" i="8"/>
  <c r="H480" i="8"/>
  <c r="BI479" i="8"/>
  <c r="BH479" i="8"/>
  <c r="BG479" i="8"/>
  <c r="BF479" i="8"/>
  <c r="BE479" i="8"/>
  <c r="BD479" i="8"/>
  <c r="BC479" i="8"/>
  <c r="BB479" i="8"/>
  <c r="BA479" i="8"/>
  <c r="AZ479" i="8"/>
  <c r="AY479" i="8"/>
  <c r="AX479" i="8"/>
  <c r="AW479" i="8"/>
  <c r="AV479" i="8"/>
  <c r="AU479" i="8"/>
  <c r="AT479" i="8"/>
  <c r="AS479" i="8"/>
  <c r="AR479" i="8"/>
  <c r="AQ479" i="8"/>
  <c r="AP479" i="8"/>
  <c r="H479" i="8"/>
  <c r="BI478" i="8"/>
  <c r="BH478" i="8"/>
  <c r="BG478" i="8"/>
  <c r="BF478" i="8"/>
  <c r="BE478" i="8"/>
  <c r="BD478" i="8"/>
  <c r="BC478" i="8"/>
  <c r="BB478" i="8"/>
  <c r="BA478" i="8"/>
  <c r="AZ478" i="8"/>
  <c r="AY478" i="8"/>
  <c r="AX478" i="8"/>
  <c r="AW478" i="8"/>
  <c r="AV478" i="8"/>
  <c r="AU478" i="8"/>
  <c r="AT478" i="8"/>
  <c r="AS478" i="8"/>
  <c r="AR478" i="8"/>
  <c r="AQ478" i="8"/>
  <c r="AP478" i="8"/>
  <c r="H478" i="8"/>
  <c r="BI477" i="8"/>
  <c r="BH477" i="8"/>
  <c r="BG477" i="8"/>
  <c r="BF477" i="8"/>
  <c r="BE477" i="8"/>
  <c r="BD477" i="8"/>
  <c r="BC477" i="8"/>
  <c r="BB477" i="8"/>
  <c r="BA477" i="8"/>
  <c r="AZ477" i="8"/>
  <c r="AY477" i="8"/>
  <c r="AX477" i="8"/>
  <c r="AW477" i="8"/>
  <c r="AV477" i="8"/>
  <c r="AU477" i="8"/>
  <c r="AT477" i="8"/>
  <c r="AS477" i="8"/>
  <c r="AR477" i="8"/>
  <c r="AQ477" i="8"/>
  <c r="AP477" i="8"/>
  <c r="H477" i="8"/>
  <c r="BI476" i="8"/>
  <c r="BH476" i="8"/>
  <c r="BG476" i="8"/>
  <c r="BF476" i="8"/>
  <c r="BE476" i="8"/>
  <c r="BD476" i="8"/>
  <c r="BC476" i="8"/>
  <c r="BB476" i="8"/>
  <c r="BA476" i="8"/>
  <c r="AZ476" i="8"/>
  <c r="AY476" i="8"/>
  <c r="AX476" i="8"/>
  <c r="AW476" i="8"/>
  <c r="AV476" i="8"/>
  <c r="AU476" i="8"/>
  <c r="AT476" i="8"/>
  <c r="AS476" i="8"/>
  <c r="AR476" i="8"/>
  <c r="AQ476" i="8"/>
  <c r="AP476" i="8"/>
  <c r="H476" i="8"/>
  <c r="BI475" i="8"/>
  <c r="BH475" i="8"/>
  <c r="BG475" i="8"/>
  <c r="BF475" i="8"/>
  <c r="BE475" i="8"/>
  <c r="BD475" i="8"/>
  <c r="BC475" i="8"/>
  <c r="BB475" i="8"/>
  <c r="BA475" i="8"/>
  <c r="AZ475" i="8"/>
  <c r="AY475" i="8"/>
  <c r="AX475" i="8"/>
  <c r="AW475" i="8"/>
  <c r="AV475" i="8"/>
  <c r="AU475" i="8"/>
  <c r="AT475" i="8"/>
  <c r="AS475" i="8"/>
  <c r="AR475" i="8"/>
  <c r="AQ475" i="8"/>
  <c r="AP475" i="8"/>
  <c r="H475" i="8"/>
  <c r="BI474" i="8"/>
  <c r="BH474" i="8"/>
  <c r="BG474" i="8"/>
  <c r="BF474" i="8"/>
  <c r="BE474" i="8"/>
  <c r="BD474" i="8"/>
  <c r="BC474" i="8"/>
  <c r="BB474" i="8"/>
  <c r="BA474" i="8"/>
  <c r="AZ474" i="8"/>
  <c r="AY474" i="8"/>
  <c r="AX474" i="8"/>
  <c r="AW474" i="8"/>
  <c r="AV474" i="8"/>
  <c r="AU474" i="8"/>
  <c r="AT474" i="8"/>
  <c r="AS474" i="8"/>
  <c r="AR474" i="8"/>
  <c r="AQ474" i="8"/>
  <c r="AP474" i="8"/>
  <c r="H474" i="8"/>
  <c r="BI473" i="8"/>
  <c r="BH473" i="8"/>
  <c r="BG473" i="8"/>
  <c r="BF473" i="8"/>
  <c r="BE473" i="8"/>
  <c r="BD473" i="8"/>
  <c r="BC473" i="8"/>
  <c r="BB473" i="8"/>
  <c r="BA473" i="8"/>
  <c r="AZ473" i="8"/>
  <c r="AY473" i="8"/>
  <c r="AX473" i="8"/>
  <c r="AW473" i="8"/>
  <c r="AV473" i="8"/>
  <c r="AU473" i="8"/>
  <c r="AT473" i="8"/>
  <c r="AS473" i="8"/>
  <c r="AR473" i="8"/>
  <c r="AQ473" i="8"/>
  <c r="AP473" i="8"/>
  <c r="H473" i="8"/>
  <c r="BI472" i="8"/>
  <c r="BH472" i="8"/>
  <c r="BG472" i="8"/>
  <c r="BF472" i="8"/>
  <c r="BE472" i="8"/>
  <c r="BD472" i="8"/>
  <c r="BC472" i="8"/>
  <c r="BB472" i="8"/>
  <c r="BA472" i="8"/>
  <c r="AZ472" i="8"/>
  <c r="AY472" i="8"/>
  <c r="AX472" i="8"/>
  <c r="AW472" i="8"/>
  <c r="AV472" i="8"/>
  <c r="AU472" i="8"/>
  <c r="AT472" i="8"/>
  <c r="AS472" i="8"/>
  <c r="AR472" i="8"/>
  <c r="AQ472" i="8"/>
  <c r="AP472" i="8"/>
  <c r="H472" i="8"/>
  <c r="BI471" i="8"/>
  <c r="BH471" i="8"/>
  <c r="BG471" i="8"/>
  <c r="BF471" i="8"/>
  <c r="BE471" i="8"/>
  <c r="BD471" i="8"/>
  <c r="BC471" i="8"/>
  <c r="BB471" i="8"/>
  <c r="BA471" i="8"/>
  <c r="AZ471" i="8"/>
  <c r="AY471" i="8"/>
  <c r="AX471" i="8"/>
  <c r="AW471" i="8"/>
  <c r="AV471" i="8"/>
  <c r="AU471" i="8"/>
  <c r="AT471" i="8"/>
  <c r="AS471" i="8"/>
  <c r="AR471" i="8"/>
  <c r="AQ471" i="8"/>
  <c r="AP471" i="8"/>
  <c r="H471" i="8"/>
  <c r="BI470" i="8"/>
  <c r="BH470" i="8"/>
  <c r="BG470" i="8"/>
  <c r="BF470" i="8"/>
  <c r="BE470" i="8"/>
  <c r="BD470" i="8"/>
  <c r="BC470" i="8"/>
  <c r="BB470" i="8"/>
  <c r="BA470" i="8"/>
  <c r="AZ470" i="8"/>
  <c r="AY470" i="8"/>
  <c r="AX470" i="8"/>
  <c r="AW470" i="8"/>
  <c r="AV470" i="8"/>
  <c r="AU470" i="8"/>
  <c r="AT470" i="8"/>
  <c r="AS470" i="8"/>
  <c r="AR470" i="8"/>
  <c r="AQ470" i="8"/>
  <c r="AP470" i="8"/>
  <c r="H470" i="8"/>
  <c r="BI469" i="8"/>
  <c r="BH469" i="8"/>
  <c r="BG469" i="8"/>
  <c r="BF469" i="8"/>
  <c r="BE469" i="8"/>
  <c r="BD469" i="8"/>
  <c r="BC469" i="8"/>
  <c r="BB469" i="8"/>
  <c r="BA469" i="8"/>
  <c r="AZ469" i="8"/>
  <c r="AY469" i="8"/>
  <c r="AX469" i="8"/>
  <c r="AW469" i="8"/>
  <c r="AV469" i="8"/>
  <c r="AU469" i="8"/>
  <c r="AT469" i="8"/>
  <c r="AS469" i="8"/>
  <c r="AR469" i="8"/>
  <c r="AQ469" i="8"/>
  <c r="AP469" i="8"/>
  <c r="H469" i="8"/>
  <c r="BI468" i="8"/>
  <c r="BH468" i="8"/>
  <c r="BG468" i="8"/>
  <c r="BF468" i="8"/>
  <c r="BE468" i="8"/>
  <c r="BD468" i="8"/>
  <c r="BC468" i="8"/>
  <c r="BB468" i="8"/>
  <c r="BA468" i="8"/>
  <c r="AZ468" i="8"/>
  <c r="AY468" i="8"/>
  <c r="AX468" i="8"/>
  <c r="AW468" i="8"/>
  <c r="AV468" i="8"/>
  <c r="AU468" i="8"/>
  <c r="AT468" i="8"/>
  <c r="AS468" i="8"/>
  <c r="AR468" i="8"/>
  <c r="AQ468" i="8"/>
  <c r="AP468" i="8"/>
  <c r="H468" i="8"/>
  <c r="BI467" i="8"/>
  <c r="BH467" i="8"/>
  <c r="BG467" i="8"/>
  <c r="BF467" i="8"/>
  <c r="BE467" i="8"/>
  <c r="BD467" i="8"/>
  <c r="BC467" i="8"/>
  <c r="BB467" i="8"/>
  <c r="BA467" i="8"/>
  <c r="AZ467" i="8"/>
  <c r="AY467" i="8"/>
  <c r="AX467" i="8"/>
  <c r="AW467" i="8"/>
  <c r="AV467" i="8"/>
  <c r="AU467" i="8"/>
  <c r="AT467" i="8"/>
  <c r="AS467" i="8"/>
  <c r="AR467" i="8"/>
  <c r="AQ467" i="8"/>
  <c r="AP467" i="8"/>
  <c r="H467" i="8"/>
  <c r="BI466" i="8"/>
  <c r="BH466" i="8"/>
  <c r="BG466" i="8"/>
  <c r="BF466" i="8"/>
  <c r="BE466" i="8"/>
  <c r="BD466" i="8"/>
  <c r="BC466" i="8"/>
  <c r="BB466" i="8"/>
  <c r="BA466" i="8"/>
  <c r="AZ466" i="8"/>
  <c r="AY466" i="8"/>
  <c r="AX466" i="8"/>
  <c r="AW466" i="8"/>
  <c r="AV466" i="8"/>
  <c r="AU466" i="8"/>
  <c r="AT466" i="8"/>
  <c r="AS466" i="8"/>
  <c r="AR466" i="8"/>
  <c r="AQ466" i="8"/>
  <c r="AP466" i="8"/>
  <c r="H466" i="8"/>
  <c r="BI465" i="8"/>
  <c r="BH465" i="8"/>
  <c r="BG465" i="8"/>
  <c r="BF465" i="8"/>
  <c r="BE465" i="8"/>
  <c r="BD465" i="8"/>
  <c r="BC465" i="8"/>
  <c r="BB465" i="8"/>
  <c r="BA465" i="8"/>
  <c r="AZ465" i="8"/>
  <c r="AY465" i="8"/>
  <c r="AX465" i="8"/>
  <c r="AW465" i="8"/>
  <c r="AV465" i="8"/>
  <c r="AU465" i="8"/>
  <c r="AT465" i="8"/>
  <c r="AS465" i="8"/>
  <c r="AR465" i="8"/>
  <c r="AQ465" i="8"/>
  <c r="AP465" i="8"/>
  <c r="H465" i="8"/>
  <c r="BI464" i="8"/>
  <c r="BH464" i="8"/>
  <c r="BG464" i="8"/>
  <c r="BF464" i="8"/>
  <c r="BE464" i="8"/>
  <c r="BD464" i="8"/>
  <c r="BC464" i="8"/>
  <c r="BB464" i="8"/>
  <c r="BA464" i="8"/>
  <c r="AZ464" i="8"/>
  <c r="AY464" i="8"/>
  <c r="AX464" i="8"/>
  <c r="AW464" i="8"/>
  <c r="AV464" i="8"/>
  <c r="AU464" i="8"/>
  <c r="AT464" i="8"/>
  <c r="AS464" i="8"/>
  <c r="AR464" i="8"/>
  <c r="AQ464" i="8"/>
  <c r="AP464" i="8"/>
  <c r="H464" i="8"/>
  <c r="BI463" i="8"/>
  <c r="BH463" i="8"/>
  <c r="BG463" i="8"/>
  <c r="BF463" i="8"/>
  <c r="BE463" i="8"/>
  <c r="BD463" i="8"/>
  <c r="BC463" i="8"/>
  <c r="BB463" i="8"/>
  <c r="BA463" i="8"/>
  <c r="AZ463" i="8"/>
  <c r="AY463" i="8"/>
  <c r="AX463" i="8"/>
  <c r="AW463" i="8"/>
  <c r="AV463" i="8"/>
  <c r="AU463" i="8"/>
  <c r="AT463" i="8"/>
  <c r="AS463" i="8"/>
  <c r="AR463" i="8"/>
  <c r="AQ463" i="8"/>
  <c r="AP463" i="8"/>
  <c r="H463" i="8"/>
  <c r="BI462" i="8"/>
  <c r="BH462" i="8"/>
  <c r="BG462" i="8"/>
  <c r="BF462" i="8"/>
  <c r="BE462" i="8"/>
  <c r="BD462" i="8"/>
  <c r="BC462" i="8"/>
  <c r="BB462" i="8"/>
  <c r="BA462" i="8"/>
  <c r="AZ462" i="8"/>
  <c r="AY462" i="8"/>
  <c r="AX462" i="8"/>
  <c r="AW462" i="8"/>
  <c r="AV462" i="8"/>
  <c r="AU462" i="8"/>
  <c r="AT462" i="8"/>
  <c r="AS462" i="8"/>
  <c r="AR462" i="8"/>
  <c r="AQ462" i="8"/>
  <c r="AP462" i="8"/>
  <c r="H462" i="8"/>
  <c r="BI461" i="8"/>
  <c r="BH461" i="8"/>
  <c r="BG461" i="8"/>
  <c r="BF461" i="8"/>
  <c r="BE461" i="8"/>
  <c r="BD461" i="8"/>
  <c r="BC461" i="8"/>
  <c r="BB461" i="8"/>
  <c r="BA461" i="8"/>
  <c r="AZ461" i="8"/>
  <c r="AY461" i="8"/>
  <c r="AX461" i="8"/>
  <c r="AW461" i="8"/>
  <c r="AV461" i="8"/>
  <c r="AU461" i="8"/>
  <c r="AT461" i="8"/>
  <c r="AS461" i="8"/>
  <c r="AR461" i="8"/>
  <c r="AQ461" i="8"/>
  <c r="AP461" i="8"/>
  <c r="H461" i="8"/>
  <c r="BI460" i="8"/>
  <c r="BH460" i="8"/>
  <c r="BG460" i="8"/>
  <c r="BF460" i="8"/>
  <c r="BE460" i="8"/>
  <c r="BD460" i="8"/>
  <c r="BC460" i="8"/>
  <c r="BB460" i="8"/>
  <c r="BA460" i="8"/>
  <c r="AZ460" i="8"/>
  <c r="AY460" i="8"/>
  <c r="AX460" i="8"/>
  <c r="AW460" i="8"/>
  <c r="AV460" i="8"/>
  <c r="AU460" i="8"/>
  <c r="AT460" i="8"/>
  <c r="AS460" i="8"/>
  <c r="AR460" i="8"/>
  <c r="AQ460" i="8"/>
  <c r="AP460" i="8"/>
  <c r="H460" i="8"/>
  <c r="BI459" i="8"/>
  <c r="BH459" i="8"/>
  <c r="BG459" i="8"/>
  <c r="BF459" i="8"/>
  <c r="BE459" i="8"/>
  <c r="BD459" i="8"/>
  <c r="BC459" i="8"/>
  <c r="BB459" i="8"/>
  <c r="BA459" i="8"/>
  <c r="AZ459" i="8"/>
  <c r="AY459" i="8"/>
  <c r="AX459" i="8"/>
  <c r="AW459" i="8"/>
  <c r="AV459" i="8"/>
  <c r="AU459" i="8"/>
  <c r="AT459" i="8"/>
  <c r="AS459" i="8"/>
  <c r="AR459" i="8"/>
  <c r="AQ459" i="8"/>
  <c r="AP459" i="8"/>
  <c r="H459" i="8"/>
  <c r="BI458" i="8"/>
  <c r="BH458" i="8"/>
  <c r="BG458" i="8"/>
  <c r="BF458" i="8"/>
  <c r="BE458" i="8"/>
  <c r="BD458" i="8"/>
  <c r="BC458" i="8"/>
  <c r="BB458" i="8"/>
  <c r="BA458" i="8"/>
  <c r="AZ458" i="8"/>
  <c r="AY458" i="8"/>
  <c r="AX458" i="8"/>
  <c r="AW458" i="8"/>
  <c r="AV458" i="8"/>
  <c r="AU458" i="8"/>
  <c r="AT458" i="8"/>
  <c r="AS458" i="8"/>
  <c r="AR458" i="8"/>
  <c r="AQ458" i="8"/>
  <c r="AP458" i="8"/>
  <c r="H458" i="8"/>
  <c r="BI457" i="8"/>
  <c r="BH457" i="8"/>
  <c r="BG457" i="8"/>
  <c r="BF457" i="8"/>
  <c r="BE457" i="8"/>
  <c r="BD457" i="8"/>
  <c r="BC457" i="8"/>
  <c r="BB457" i="8"/>
  <c r="BA457" i="8"/>
  <c r="AZ457" i="8"/>
  <c r="AY457" i="8"/>
  <c r="AX457" i="8"/>
  <c r="AW457" i="8"/>
  <c r="AV457" i="8"/>
  <c r="AU457" i="8"/>
  <c r="AT457" i="8"/>
  <c r="AS457" i="8"/>
  <c r="AR457" i="8"/>
  <c r="AQ457" i="8"/>
  <c r="AP457" i="8"/>
  <c r="H457" i="8"/>
  <c r="BI456" i="8"/>
  <c r="BH456" i="8"/>
  <c r="BG456" i="8"/>
  <c r="BF456" i="8"/>
  <c r="BE456" i="8"/>
  <c r="BD456" i="8"/>
  <c r="BC456" i="8"/>
  <c r="BB456" i="8"/>
  <c r="BA456" i="8"/>
  <c r="AZ456" i="8"/>
  <c r="AY456" i="8"/>
  <c r="AX456" i="8"/>
  <c r="AW456" i="8"/>
  <c r="AV456" i="8"/>
  <c r="AU456" i="8"/>
  <c r="AT456" i="8"/>
  <c r="AS456" i="8"/>
  <c r="AR456" i="8"/>
  <c r="AQ456" i="8"/>
  <c r="AP456" i="8"/>
  <c r="H456" i="8"/>
  <c r="BI455" i="8"/>
  <c r="BH455" i="8"/>
  <c r="BG455" i="8"/>
  <c r="BF455" i="8"/>
  <c r="BE455" i="8"/>
  <c r="BD455" i="8"/>
  <c r="BC455" i="8"/>
  <c r="BB455" i="8"/>
  <c r="BA455" i="8"/>
  <c r="AZ455" i="8"/>
  <c r="AY455" i="8"/>
  <c r="AX455" i="8"/>
  <c r="AW455" i="8"/>
  <c r="AV455" i="8"/>
  <c r="AU455" i="8"/>
  <c r="AT455" i="8"/>
  <c r="AS455" i="8"/>
  <c r="AR455" i="8"/>
  <c r="AQ455" i="8"/>
  <c r="AP455" i="8"/>
  <c r="H455" i="8"/>
  <c r="BI454" i="8"/>
  <c r="BH454" i="8"/>
  <c r="BG454" i="8"/>
  <c r="BF454" i="8"/>
  <c r="BE454" i="8"/>
  <c r="BD454" i="8"/>
  <c r="BC454" i="8"/>
  <c r="BB454" i="8"/>
  <c r="BA454" i="8"/>
  <c r="AZ454" i="8"/>
  <c r="AY454" i="8"/>
  <c r="AX454" i="8"/>
  <c r="AW454" i="8"/>
  <c r="AV454" i="8"/>
  <c r="AU454" i="8"/>
  <c r="AT454" i="8"/>
  <c r="AS454" i="8"/>
  <c r="AR454" i="8"/>
  <c r="AQ454" i="8"/>
  <c r="AP454" i="8"/>
  <c r="H454" i="8"/>
  <c r="BI453" i="8"/>
  <c r="BH453" i="8"/>
  <c r="BG453" i="8"/>
  <c r="BF453" i="8"/>
  <c r="BE453" i="8"/>
  <c r="BD453" i="8"/>
  <c r="BC453" i="8"/>
  <c r="BB453" i="8"/>
  <c r="BA453" i="8"/>
  <c r="AZ453" i="8"/>
  <c r="AY453" i="8"/>
  <c r="AX453" i="8"/>
  <c r="AW453" i="8"/>
  <c r="AV453" i="8"/>
  <c r="AU453" i="8"/>
  <c r="AT453" i="8"/>
  <c r="AS453" i="8"/>
  <c r="AR453" i="8"/>
  <c r="AQ453" i="8"/>
  <c r="AP453" i="8"/>
  <c r="H453" i="8"/>
  <c r="BI452" i="8"/>
  <c r="BH452" i="8"/>
  <c r="BG452" i="8"/>
  <c r="BF452" i="8"/>
  <c r="BE452" i="8"/>
  <c r="BD452" i="8"/>
  <c r="BC452" i="8"/>
  <c r="BB452" i="8"/>
  <c r="BA452" i="8"/>
  <c r="AZ452" i="8"/>
  <c r="AY452" i="8"/>
  <c r="AX452" i="8"/>
  <c r="AW452" i="8"/>
  <c r="AV452" i="8"/>
  <c r="AU452" i="8"/>
  <c r="AT452" i="8"/>
  <c r="AS452" i="8"/>
  <c r="AR452" i="8"/>
  <c r="AQ452" i="8"/>
  <c r="AP452" i="8"/>
  <c r="H452" i="8"/>
  <c r="BI451" i="8"/>
  <c r="BH451" i="8"/>
  <c r="BG451" i="8"/>
  <c r="BF451" i="8"/>
  <c r="BE451" i="8"/>
  <c r="BD451" i="8"/>
  <c r="BC451" i="8"/>
  <c r="BB451" i="8"/>
  <c r="BA451" i="8"/>
  <c r="AZ451" i="8"/>
  <c r="AY451" i="8"/>
  <c r="AX451" i="8"/>
  <c r="AW451" i="8"/>
  <c r="AV451" i="8"/>
  <c r="AU451" i="8"/>
  <c r="AT451" i="8"/>
  <c r="AS451" i="8"/>
  <c r="AR451" i="8"/>
  <c r="AQ451" i="8"/>
  <c r="AP451" i="8"/>
  <c r="H451" i="8"/>
  <c r="BI450" i="8"/>
  <c r="BH450" i="8"/>
  <c r="BG450" i="8"/>
  <c r="BF450" i="8"/>
  <c r="BE450" i="8"/>
  <c r="BD450" i="8"/>
  <c r="BC450" i="8"/>
  <c r="BB450" i="8"/>
  <c r="BA450" i="8"/>
  <c r="AZ450" i="8"/>
  <c r="AY450" i="8"/>
  <c r="AX450" i="8"/>
  <c r="AW450" i="8"/>
  <c r="AV450" i="8"/>
  <c r="AU450" i="8"/>
  <c r="AT450" i="8"/>
  <c r="AS450" i="8"/>
  <c r="AR450" i="8"/>
  <c r="AQ450" i="8"/>
  <c r="AP450" i="8"/>
  <c r="H450" i="8"/>
  <c r="BI449" i="8"/>
  <c r="BH449" i="8"/>
  <c r="BG449" i="8"/>
  <c r="BF449" i="8"/>
  <c r="BE449" i="8"/>
  <c r="BD449" i="8"/>
  <c r="BC449" i="8"/>
  <c r="BB449" i="8"/>
  <c r="BA449" i="8"/>
  <c r="AZ449" i="8"/>
  <c r="AY449" i="8"/>
  <c r="AX449" i="8"/>
  <c r="AW449" i="8"/>
  <c r="AV449" i="8"/>
  <c r="AU449" i="8"/>
  <c r="AT449" i="8"/>
  <c r="AS449" i="8"/>
  <c r="AR449" i="8"/>
  <c r="AQ449" i="8"/>
  <c r="AP449" i="8"/>
  <c r="H449" i="8"/>
  <c r="BI448" i="8"/>
  <c r="BH448" i="8"/>
  <c r="BG448" i="8"/>
  <c r="BF448" i="8"/>
  <c r="BE448" i="8"/>
  <c r="BD448" i="8"/>
  <c r="BC448" i="8"/>
  <c r="BB448" i="8"/>
  <c r="BA448" i="8"/>
  <c r="AZ448" i="8"/>
  <c r="AY448" i="8"/>
  <c r="AX448" i="8"/>
  <c r="AW448" i="8"/>
  <c r="AV448" i="8"/>
  <c r="AU448" i="8"/>
  <c r="AT448" i="8"/>
  <c r="AS448" i="8"/>
  <c r="AR448" i="8"/>
  <c r="AQ448" i="8"/>
  <c r="AP448" i="8"/>
  <c r="H448" i="8"/>
  <c r="BI447" i="8"/>
  <c r="BH447" i="8"/>
  <c r="BG447" i="8"/>
  <c r="BF447" i="8"/>
  <c r="BE447" i="8"/>
  <c r="BD447" i="8"/>
  <c r="BC447" i="8"/>
  <c r="BB447" i="8"/>
  <c r="BA447" i="8"/>
  <c r="AZ447" i="8"/>
  <c r="AY447" i="8"/>
  <c r="AX447" i="8"/>
  <c r="AW447" i="8"/>
  <c r="AV447" i="8"/>
  <c r="AU447" i="8"/>
  <c r="AT447" i="8"/>
  <c r="AS447" i="8"/>
  <c r="AR447" i="8"/>
  <c r="AQ447" i="8"/>
  <c r="AP447" i="8"/>
  <c r="H447" i="8"/>
  <c r="BI446" i="8"/>
  <c r="BH446" i="8"/>
  <c r="BG446" i="8"/>
  <c r="BF446" i="8"/>
  <c r="BE446" i="8"/>
  <c r="BD446" i="8"/>
  <c r="BC446" i="8"/>
  <c r="BB446" i="8"/>
  <c r="BA446" i="8"/>
  <c r="AZ446" i="8"/>
  <c r="AY446" i="8"/>
  <c r="AX446" i="8"/>
  <c r="AW446" i="8"/>
  <c r="AV446" i="8"/>
  <c r="AU446" i="8"/>
  <c r="AT446" i="8"/>
  <c r="AS446" i="8"/>
  <c r="AR446" i="8"/>
  <c r="AQ446" i="8"/>
  <c r="AP446" i="8"/>
  <c r="H446" i="8"/>
  <c r="BI445" i="8"/>
  <c r="BH445" i="8"/>
  <c r="BG445" i="8"/>
  <c r="BF445" i="8"/>
  <c r="BE445" i="8"/>
  <c r="BD445" i="8"/>
  <c r="BC445" i="8"/>
  <c r="BB445" i="8"/>
  <c r="BA445" i="8"/>
  <c r="AZ445" i="8"/>
  <c r="AY445" i="8"/>
  <c r="AX445" i="8"/>
  <c r="AW445" i="8"/>
  <c r="AV445" i="8"/>
  <c r="AU445" i="8"/>
  <c r="AT445" i="8"/>
  <c r="AS445" i="8"/>
  <c r="AR445" i="8"/>
  <c r="AQ445" i="8"/>
  <c r="AP445" i="8"/>
  <c r="H445" i="8"/>
  <c r="BI444" i="8"/>
  <c r="BH444" i="8"/>
  <c r="BG444" i="8"/>
  <c r="BF444" i="8"/>
  <c r="BE444" i="8"/>
  <c r="BD444" i="8"/>
  <c r="BC444" i="8"/>
  <c r="BB444" i="8"/>
  <c r="BA444" i="8"/>
  <c r="AZ444" i="8"/>
  <c r="AY444" i="8"/>
  <c r="AX444" i="8"/>
  <c r="AW444" i="8"/>
  <c r="AV444" i="8"/>
  <c r="AU444" i="8"/>
  <c r="AT444" i="8"/>
  <c r="AS444" i="8"/>
  <c r="AR444" i="8"/>
  <c r="AQ444" i="8"/>
  <c r="AP444" i="8"/>
  <c r="H444" i="8"/>
  <c r="BI443" i="8"/>
  <c r="BH443" i="8"/>
  <c r="BG443" i="8"/>
  <c r="BF443" i="8"/>
  <c r="BE443" i="8"/>
  <c r="BD443" i="8"/>
  <c r="BC443" i="8"/>
  <c r="BB443" i="8"/>
  <c r="BA443" i="8"/>
  <c r="AZ443" i="8"/>
  <c r="AY443" i="8"/>
  <c r="AX443" i="8"/>
  <c r="AW443" i="8"/>
  <c r="AV443" i="8"/>
  <c r="AU443" i="8"/>
  <c r="AT443" i="8"/>
  <c r="AS443" i="8"/>
  <c r="AR443" i="8"/>
  <c r="AQ443" i="8"/>
  <c r="AP443" i="8"/>
  <c r="H443" i="8"/>
  <c r="BI442" i="8"/>
  <c r="BH442" i="8"/>
  <c r="BG442" i="8"/>
  <c r="BF442" i="8"/>
  <c r="BE442" i="8"/>
  <c r="BD442" i="8"/>
  <c r="BC442" i="8"/>
  <c r="BB442" i="8"/>
  <c r="BA442" i="8"/>
  <c r="AZ442" i="8"/>
  <c r="AY442" i="8"/>
  <c r="AX442" i="8"/>
  <c r="AW442" i="8"/>
  <c r="AV442" i="8"/>
  <c r="AU442" i="8"/>
  <c r="AT442" i="8"/>
  <c r="AS442" i="8"/>
  <c r="AR442" i="8"/>
  <c r="AQ442" i="8"/>
  <c r="AP442" i="8"/>
  <c r="H442" i="8"/>
  <c r="BI441" i="8"/>
  <c r="BH441" i="8"/>
  <c r="BG441" i="8"/>
  <c r="BF441" i="8"/>
  <c r="BE441" i="8"/>
  <c r="BD441" i="8"/>
  <c r="BC441" i="8"/>
  <c r="BB441" i="8"/>
  <c r="BA441" i="8"/>
  <c r="AZ441" i="8"/>
  <c r="AY441" i="8"/>
  <c r="AX441" i="8"/>
  <c r="AW441" i="8"/>
  <c r="AV441" i="8"/>
  <c r="AU441" i="8"/>
  <c r="AT441" i="8"/>
  <c r="AS441" i="8"/>
  <c r="AR441" i="8"/>
  <c r="AQ441" i="8"/>
  <c r="AP441" i="8"/>
  <c r="H441" i="8"/>
  <c r="BI440" i="8"/>
  <c r="BH440" i="8"/>
  <c r="BG440" i="8"/>
  <c r="BF440" i="8"/>
  <c r="BE440" i="8"/>
  <c r="BD440" i="8"/>
  <c r="BC440" i="8"/>
  <c r="BB440" i="8"/>
  <c r="BA440" i="8"/>
  <c r="AZ440" i="8"/>
  <c r="AY440" i="8"/>
  <c r="AX440" i="8"/>
  <c r="AW440" i="8"/>
  <c r="AV440" i="8"/>
  <c r="AU440" i="8"/>
  <c r="AT440" i="8"/>
  <c r="AS440" i="8"/>
  <c r="AR440" i="8"/>
  <c r="AQ440" i="8"/>
  <c r="AP440" i="8"/>
  <c r="H440" i="8"/>
  <c r="BI439" i="8"/>
  <c r="BH439" i="8"/>
  <c r="BG439" i="8"/>
  <c r="BF439" i="8"/>
  <c r="BE439" i="8"/>
  <c r="BD439" i="8"/>
  <c r="BC439" i="8"/>
  <c r="BB439" i="8"/>
  <c r="BA439" i="8"/>
  <c r="AZ439" i="8"/>
  <c r="AY439" i="8"/>
  <c r="AX439" i="8"/>
  <c r="AW439" i="8"/>
  <c r="AV439" i="8"/>
  <c r="AU439" i="8"/>
  <c r="AT439" i="8"/>
  <c r="AS439" i="8"/>
  <c r="AR439" i="8"/>
  <c r="AQ439" i="8"/>
  <c r="AP439" i="8"/>
  <c r="H439" i="8"/>
  <c r="BI438" i="8"/>
  <c r="BH438" i="8"/>
  <c r="BG438" i="8"/>
  <c r="BF438" i="8"/>
  <c r="BE438" i="8"/>
  <c r="BD438" i="8"/>
  <c r="BC438" i="8"/>
  <c r="BB438" i="8"/>
  <c r="BA438" i="8"/>
  <c r="AZ438" i="8"/>
  <c r="AY438" i="8"/>
  <c r="AX438" i="8"/>
  <c r="AW438" i="8"/>
  <c r="AV438" i="8"/>
  <c r="AU438" i="8"/>
  <c r="AT438" i="8"/>
  <c r="AS438" i="8"/>
  <c r="AR438" i="8"/>
  <c r="AQ438" i="8"/>
  <c r="AP438" i="8"/>
  <c r="H438" i="8"/>
  <c r="BI437" i="8"/>
  <c r="BH437" i="8"/>
  <c r="BG437" i="8"/>
  <c r="BF437" i="8"/>
  <c r="BE437" i="8"/>
  <c r="BD437" i="8"/>
  <c r="BC437" i="8"/>
  <c r="BB437" i="8"/>
  <c r="BA437" i="8"/>
  <c r="AZ437" i="8"/>
  <c r="AY437" i="8"/>
  <c r="AX437" i="8"/>
  <c r="AW437" i="8"/>
  <c r="AV437" i="8"/>
  <c r="AU437" i="8"/>
  <c r="AT437" i="8"/>
  <c r="AS437" i="8"/>
  <c r="AR437" i="8"/>
  <c r="AQ437" i="8"/>
  <c r="AP437" i="8"/>
  <c r="H437" i="8"/>
  <c r="BI436" i="8"/>
  <c r="BH436" i="8"/>
  <c r="BG436" i="8"/>
  <c r="BF436" i="8"/>
  <c r="BE436" i="8"/>
  <c r="BD436" i="8"/>
  <c r="BC436" i="8"/>
  <c r="BB436" i="8"/>
  <c r="BA436" i="8"/>
  <c r="AZ436" i="8"/>
  <c r="AY436" i="8"/>
  <c r="AX436" i="8"/>
  <c r="AW436" i="8"/>
  <c r="AV436" i="8"/>
  <c r="AU436" i="8"/>
  <c r="AT436" i="8"/>
  <c r="AS436" i="8"/>
  <c r="AR436" i="8"/>
  <c r="AQ436" i="8"/>
  <c r="AP436" i="8"/>
  <c r="H436" i="8"/>
  <c r="BI435" i="8"/>
  <c r="BH435" i="8"/>
  <c r="BG435" i="8"/>
  <c r="BF435" i="8"/>
  <c r="BE435" i="8"/>
  <c r="BD435" i="8"/>
  <c r="BC435" i="8"/>
  <c r="BB435" i="8"/>
  <c r="BA435" i="8"/>
  <c r="AZ435" i="8"/>
  <c r="AY435" i="8"/>
  <c r="AX435" i="8"/>
  <c r="AW435" i="8"/>
  <c r="AV435" i="8"/>
  <c r="AU435" i="8"/>
  <c r="AT435" i="8"/>
  <c r="AS435" i="8"/>
  <c r="AR435" i="8"/>
  <c r="AQ435" i="8"/>
  <c r="AP435" i="8"/>
  <c r="H435" i="8"/>
  <c r="BI434" i="8"/>
  <c r="BH434" i="8"/>
  <c r="BG434" i="8"/>
  <c r="BF434" i="8"/>
  <c r="BE434" i="8"/>
  <c r="BD434" i="8"/>
  <c r="BC434" i="8"/>
  <c r="BB434" i="8"/>
  <c r="BA434" i="8"/>
  <c r="AZ434" i="8"/>
  <c r="AY434" i="8"/>
  <c r="AX434" i="8"/>
  <c r="AW434" i="8"/>
  <c r="AV434" i="8"/>
  <c r="AU434" i="8"/>
  <c r="AT434" i="8"/>
  <c r="AS434" i="8"/>
  <c r="AR434" i="8"/>
  <c r="AQ434" i="8"/>
  <c r="AP434" i="8"/>
  <c r="H434" i="8"/>
  <c r="BI433" i="8"/>
  <c r="BH433" i="8"/>
  <c r="BG433" i="8"/>
  <c r="BF433" i="8"/>
  <c r="BE433" i="8"/>
  <c r="BD433" i="8"/>
  <c r="BC433" i="8"/>
  <c r="BB433" i="8"/>
  <c r="BA433" i="8"/>
  <c r="AZ433" i="8"/>
  <c r="AY433" i="8"/>
  <c r="AX433" i="8"/>
  <c r="AW433" i="8"/>
  <c r="AV433" i="8"/>
  <c r="AU433" i="8"/>
  <c r="AT433" i="8"/>
  <c r="AS433" i="8"/>
  <c r="AR433" i="8"/>
  <c r="AQ433" i="8"/>
  <c r="AP433" i="8"/>
  <c r="H433" i="8"/>
  <c r="BI432" i="8"/>
  <c r="BH432" i="8"/>
  <c r="BG432" i="8"/>
  <c r="BF432" i="8"/>
  <c r="BE432" i="8"/>
  <c r="BD432" i="8"/>
  <c r="BC432" i="8"/>
  <c r="BB432" i="8"/>
  <c r="BA432" i="8"/>
  <c r="AZ432" i="8"/>
  <c r="AY432" i="8"/>
  <c r="AX432" i="8"/>
  <c r="AW432" i="8"/>
  <c r="AV432" i="8"/>
  <c r="AU432" i="8"/>
  <c r="AT432" i="8"/>
  <c r="AS432" i="8"/>
  <c r="AR432" i="8"/>
  <c r="AQ432" i="8"/>
  <c r="AP432" i="8"/>
  <c r="H432" i="8"/>
  <c r="BI431" i="8"/>
  <c r="BH431" i="8"/>
  <c r="BG431" i="8"/>
  <c r="BF431" i="8"/>
  <c r="BE431" i="8"/>
  <c r="BD431" i="8"/>
  <c r="BC431" i="8"/>
  <c r="BB431" i="8"/>
  <c r="BA431" i="8"/>
  <c r="AZ431" i="8"/>
  <c r="AY431" i="8"/>
  <c r="AX431" i="8"/>
  <c r="AW431" i="8"/>
  <c r="AV431" i="8"/>
  <c r="AU431" i="8"/>
  <c r="AT431" i="8"/>
  <c r="AS431" i="8"/>
  <c r="AR431" i="8"/>
  <c r="AQ431" i="8"/>
  <c r="AP431" i="8"/>
  <c r="H431" i="8"/>
  <c r="BI430" i="8"/>
  <c r="BH430" i="8"/>
  <c r="BG430" i="8"/>
  <c r="BF430" i="8"/>
  <c r="BE430" i="8"/>
  <c r="BD430" i="8"/>
  <c r="BC430" i="8"/>
  <c r="BB430" i="8"/>
  <c r="BA430" i="8"/>
  <c r="AZ430" i="8"/>
  <c r="AY430" i="8"/>
  <c r="AX430" i="8"/>
  <c r="AW430" i="8"/>
  <c r="AV430" i="8"/>
  <c r="AU430" i="8"/>
  <c r="AT430" i="8"/>
  <c r="AS430" i="8"/>
  <c r="AR430" i="8"/>
  <c r="AQ430" i="8"/>
  <c r="AP430" i="8"/>
  <c r="H430" i="8"/>
  <c r="BI429" i="8"/>
  <c r="BH429" i="8"/>
  <c r="BG429" i="8"/>
  <c r="BF429" i="8"/>
  <c r="BE429" i="8"/>
  <c r="BD429" i="8"/>
  <c r="BC429" i="8"/>
  <c r="BB429" i="8"/>
  <c r="BA429" i="8"/>
  <c r="AZ429" i="8"/>
  <c r="AY429" i="8"/>
  <c r="AX429" i="8"/>
  <c r="AW429" i="8"/>
  <c r="AV429" i="8"/>
  <c r="AU429" i="8"/>
  <c r="AT429" i="8"/>
  <c r="AS429" i="8"/>
  <c r="AR429" i="8"/>
  <c r="AQ429" i="8"/>
  <c r="AP429" i="8"/>
  <c r="H429" i="8"/>
  <c r="BI428" i="8"/>
  <c r="BH428" i="8"/>
  <c r="BG428" i="8"/>
  <c r="BF428" i="8"/>
  <c r="BE428" i="8"/>
  <c r="BD428" i="8"/>
  <c r="BC428" i="8"/>
  <c r="BB428" i="8"/>
  <c r="BA428" i="8"/>
  <c r="AZ428" i="8"/>
  <c r="AY428" i="8"/>
  <c r="AX428" i="8"/>
  <c r="AW428" i="8"/>
  <c r="AV428" i="8"/>
  <c r="AU428" i="8"/>
  <c r="AT428" i="8"/>
  <c r="AS428" i="8"/>
  <c r="AR428" i="8"/>
  <c r="AQ428" i="8"/>
  <c r="AP428" i="8"/>
  <c r="H428" i="8"/>
  <c r="BI427" i="8"/>
  <c r="BH427" i="8"/>
  <c r="BG427" i="8"/>
  <c r="BF427" i="8"/>
  <c r="BE427" i="8"/>
  <c r="BD427" i="8"/>
  <c r="BC427" i="8"/>
  <c r="BB427" i="8"/>
  <c r="BA427" i="8"/>
  <c r="AZ427" i="8"/>
  <c r="AY427" i="8"/>
  <c r="AX427" i="8"/>
  <c r="AW427" i="8"/>
  <c r="AV427" i="8"/>
  <c r="AU427" i="8"/>
  <c r="AT427" i="8"/>
  <c r="AS427" i="8"/>
  <c r="AR427" i="8"/>
  <c r="AQ427" i="8"/>
  <c r="AP427" i="8"/>
  <c r="H427" i="8"/>
  <c r="BI426" i="8"/>
  <c r="BH426" i="8"/>
  <c r="BG426" i="8"/>
  <c r="BF426" i="8"/>
  <c r="BE426" i="8"/>
  <c r="BD426" i="8"/>
  <c r="BC426" i="8"/>
  <c r="BB426" i="8"/>
  <c r="BA426" i="8"/>
  <c r="AZ426" i="8"/>
  <c r="AY426" i="8"/>
  <c r="AX426" i="8"/>
  <c r="AW426" i="8"/>
  <c r="AV426" i="8"/>
  <c r="AU426" i="8"/>
  <c r="AT426" i="8"/>
  <c r="AS426" i="8"/>
  <c r="AR426" i="8"/>
  <c r="AQ426" i="8"/>
  <c r="AP426" i="8"/>
  <c r="H426" i="8"/>
  <c r="BI425" i="8"/>
  <c r="BH425" i="8"/>
  <c r="BG425" i="8"/>
  <c r="BF425" i="8"/>
  <c r="BE425" i="8"/>
  <c r="BD425" i="8"/>
  <c r="BC425" i="8"/>
  <c r="BB425" i="8"/>
  <c r="BA425" i="8"/>
  <c r="AZ425" i="8"/>
  <c r="AY425" i="8"/>
  <c r="AX425" i="8"/>
  <c r="AW425" i="8"/>
  <c r="AV425" i="8"/>
  <c r="AU425" i="8"/>
  <c r="AT425" i="8"/>
  <c r="AS425" i="8"/>
  <c r="AR425" i="8"/>
  <c r="AQ425" i="8"/>
  <c r="AP425" i="8"/>
  <c r="H425" i="8"/>
  <c r="BI424" i="8"/>
  <c r="BH424" i="8"/>
  <c r="BG424" i="8"/>
  <c r="BF424" i="8"/>
  <c r="BE424" i="8"/>
  <c r="BD424" i="8"/>
  <c r="BC424" i="8"/>
  <c r="BB424" i="8"/>
  <c r="BA424" i="8"/>
  <c r="AZ424" i="8"/>
  <c r="AY424" i="8"/>
  <c r="AX424" i="8"/>
  <c r="AW424" i="8"/>
  <c r="AV424" i="8"/>
  <c r="AU424" i="8"/>
  <c r="AT424" i="8"/>
  <c r="AS424" i="8"/>
  <c r="AR424" i="8"/>
  <c r="AQ424" i="8"/>
  <c r="AP424" i="8"/>
  <c r="H424" i="8"/>
  <c r="BI423" i="8"/>
  <c r="BH423" i="8"/>
  <c r="BG423" i="8"/>
  <c r="BF423" i="8"/>
  <c r="BE423" i="8"/>
  <c r="BD423" i="8"/>
  <c r="BC423" i="8"/>
  <c r="BB423" i="8"/>
  <c r="BA423" i="8"/>
  <c r="AZ423" i="8"/>
  <c r="AY423" i="8"/>
  <c r="AX423" i="8"/>
  <c r="AW423" i="8"/>
  <c r="AV423" i="8"/>
  <c r="AU423" i="8"/>
  <c r="AT423" i="8"/>
  <c r="AS423" i="8"/>
  <c r="AR423" i="8"/>
  <c r="AQ423" i="8"/>
  <c r="AP423" i="8"/>
  <c r="H423" i="8"/>
  <c r="BI422" i="8"/>
  <c r="BH422" i="8"/>
  <c r="BG422" i="8"/>
  <c r="BF422" i="8"/>
  <c r="BE422" i="8"/>
  <c r="BD422" i="8"/>
  <c r="BC422" i="8"/>
  <c r="BB422" i="8"/>
  <c r="BA422" i="8"/>
  <c r="AZ422" i="8"/>
  <c r="AY422" i="8"/>
  <c r="AX422" i="8"/>
  <c r="AW422" i="8"/>
  <c r="AV422" i="8"/>
  <c r="AU422" i="8"/>
  <c r="AT422" i="8"/>
  <c r="AS422" i="8"/>
  <c r="AR422" i="8"/>
  <c r="AQ422" i="8"/>
  <c r="AP422" i="8"/>
  <c r="H422" i="8"/>
  <c r="BI421" i="8"/>
  <c r="BH421" i="8"/>
  <c r="BG421" i="8"/>
  <c r="BF421" i="8"/>
  <c r="BE421" i="8"/>
  <c r="BD421" i="8"/>
  <c r="BC421" i="8"/>
  <c r="BB421" i="8"/>
  <c r="BA421" i="8"/>
  <c r="AZ421" i="8"/>
  <c r="AY421" i="8"/>
  <c r="AX421" i="8"/>
  <c r="AW421" i="8"/>
  <c r="AV421" i="8"/>
  <c r="AU421" i="8"/>
  <c r="AT421" i="8"/>
  <c r="AS421" i="8"/>
  <c r="AR421" i="8"/>
  <c r="AQ421" i="8"/>
  <c r="AP421" i="8"/>
  <c r="H421" i="8"/>
  <c r="BI420" i="8"/>
  <c r="BH420" i="8"/>
  <c r="BG420" i="8"/>
  <c r="BF420" i="8"/>
  <c r="BE420" i="8"/>
  <c r="BD420" i="8"/>
  <c r="BC420" i="8"/>
  <c r="BB420" i="8"/>
  <c r="BA420" i="8"/>
  <c r="AZ420" i="8"/>
  <c r="AY420" i="8"/>
  <c r="AX420" i="8"/>
  <c r="AW420" i="8"/>
  <c r="AV420" i="8"/>
  <c r="AU420" i="8"/>
  <c r="AT420" i="8"/>
  <c r="AS420" i="8"/>
  <c r="AR420" i="8"/>
  <c r="AQ420" i="8"/>
  <c r="AP420" i="8"/>
  <c r="H420" i="8"/>
  <c r="BI419" i="8"/>
  <c r="BH419" i="8"/>
  <c r="BG419" i="8"/>
  <c r="BF419" i="8"/>
  <c r="BE419" i="8"/>
  <c r="BD419" i="8"/>
  <c r="BC419" i="8"/>
  <c r="BB419" i="8"/>
  <c r="BA419" i="8"/>
  <c r="AZ419" i="8"/>
  <c r="AY419" i="8"/>
  <c r="AX419" i="8"/>
  <c r="AW419" i="8"/>
  <c r="AV419" i="8"/>
  <c r="AU419" i="8"/>
  <c r="AT419" i="8"/>
  <c r="AS419" i="8"/>
  <c r="AR419" i="8"/>
  <c r="AQ419" i="8"/>
  <c r="AP419" i="8"/>
  <c r="H419" i="8"/>
  <c r="BI418" i="8"/>
  <c r="BH418" i="8"/>
  <c r="BG418" i="8"/>
  <c r="BF418" i="8"/>
  <c r="BE418" i="8"/>
  <c r="BD418" i="8"/>
  <c r="BC418" i="8"/>
  <c r="BB418" i="8"/>
  <c r="BA418" i="8"/>
  <c r="AZ418" i="8"/>
  <c r="AY418" i="8"/>
  <c r="AX418" i="8"/>
  <c r="AW418" i="8"/>
  <c r="AV418" i="8"/>
  <c r="AU418" i="8"/>
  <c r="AT418" i="8"/>
  <c r="AS418" i="8"/>
  <c r="AR418" i="8"/>
  <c r="AQ418" i="8"/>
  <c r="AP418" i="8"/>
  <c r="H418" i="8"/>
  <c r="BI417" i="8"/>
  <c r="BH417" i="8"/>
  <c r="BG417" i="8"/>
  <c r="BF417" i="8"/>
  <c r="BE417" i="8"/>
  <c r="BD417" i="8"/>
  <c r="BC417" i="8"/>
  <c r="BB417" i="8"/>
  <c r="BA417" i="8"/>
  <c r="AZ417" i="8"/>
  <c r="AY417" i="8"/>
  <c r="AX417" i="8"/>
  <c r="AW417" i="8"/>
  <c r="AV417" i="8"/>
  <c r="AU417" i="8"/>
  <c r="AT417" i="8"/>
  <c r="AS417" i="8"/>
  <c r="AR417" i="8"/>
  <c r="AQ417" i="8"/>
  <c r="AP417" i="8"/>
  <c r="H417" i="8"/>
  <c r="BI416" i="8"/>
  <c r="BH416" i="8"/>
  <c r="BG416" i="8"/>
  <c r="BF416" i="8"/>
  <c r="BE416" i="8"/>
  <c r="BD416" i="8"/>
  <c r="BC416" i="8"/>
  <c r="BB416" i="8"/>
  <c r="BA416" i="8"/>
  <c r="AZ416" i="8"/>
  <c r="AY416" i="8"/>
  <c r="AX416" i="8"/>
  <c r="AW416" i="8"/>
  <c r="AV416" i="8"/>
  <c r="AU416" i="8"/>
  <c r="AT416" i="8"/>
  <c r="AS416" i="8"/>
  <c r="AR416" i="8"/>
  <c r="AQ416" i="8"/>
  <c r="AP416" i="8"/>
  <c r="H416" i="8"/>
  <c r="BI415" i="8"/>
  <c r="BH415" i="8"/>
  <c r="BG415" i="8"/>
  <c r="BF415" i="8"/>
  <c r="BE415" i="8"/>
  <c r="BD415" i="8"/>
  <c r="BC415" i="8"/>
  <c r="BB415" i="8"/>
  <c r="BA415" i="8"/>
  <c r="AZ415" i="8"/>
  <c r="AY415" i="8"/>
  <c r="AX415" i="8"/>
  <c r="AW415" i="8"/>
  <c r="AV415" i="8"/>
  <c r="AU415" i="8"/>
  <c r="AT415" i="8"/>
  <c r="AS415" i="8"/>
  <c r="AR415" i="8"/>
  <c r="AQ415" i="8"/>
  <c r="AP415" i="8"/>
  <c r="H415" i="8"/>
  <c r="BI414" i="8"/>
  <c r="BH414" i="8"/>
  <c r="BG414" i="8"/>
  <c r="BF414" i="8"/>
  <c r="BE414" i="8"/>
  <c r="BD414" i="8"/>
  <c r="BC414" i="8"/>
  <c r="BB414" i="8"/>
  <c r="BA414" i="8"/>
  <c r="AZ414" i="8"/>
  <c r="AY414" i="8"/>
  <c r="AX414" i="8"/>
  <c r="AW414" i="8"/>
  <c r="AV414" i="8"/>
  <c r="AU414" i="8"/>
  <c r="AT414" i="8"/>
  <c r="AS414" i="8"/>
  <c r="AR414" i="8"/>
  <c r="AQ414" i="8"/>
  <c r="AP414" i="8"/>
  <c r="H414" i="8"/>
  <c r="BI413" i="8"/>
  <c r="BH413" i="8"/>
  <c r="BG413" i="8"/>
  <c r="BF413" i="8"/>
  <c r="BE413" i="8"/>
  <c r="BD413" i="8"/>
  <c r="BC413" i="8"/>
  <c r="BB413" i="8"/>
  <c r="BA413" i="8"/>
  <c r="AZ413" i="8"/>
  <c r="AY413" i="8"/>
  <c r="AX413" i="8"/>
  <c r="AW413" i="8"/>
  <c r="AV413" i="8"/>
  <c r="AU413" i="8"/>
  <c r="AT413" i="8"/>
  <c r="AS413" i="8"/>
  <c r="AR413" i="8"/>
  <c r="AQ413" i="8"/>
  <c r="AP413" i="8"/>
  <c r="H413" i="8"/>
  <c r="BI412" i="8"/>
  <c r="BH412" i="8"/>
  <c r="BG412" i="8"/>
  <c r="BF412" i="8"/>
  <c r="BE412" i="8"/>
  <c r="BD412" i="8"/>
  <c r="BC412" i="8"/>
  <c r="BB412" i="8"/>
  <c r="BA412" i="8"/>
  <c r="AZ412" i="8"/>
  <c r="AY412" i="8"/>
  <c r="AX412" i="8"/>
  <c r="AW412" i="8"/>
  <c r="AV412" i="8"/>
  <c r="AU412" i="8"/>
  <c r="AT412" i="8"/>
  <c r="AS412" i="8"/>
  <c r="AR412" i="8"/>
  <c r="AQ412" i="8"/>
  <c r="AP412" i="8"/>
  <c r="H412" i="8"/>
  <c r="BI411" i="8"/>
  <c r="BH411" i="8"/>
  <c r="BG411" i="8"/>
  <c r="BF411" i="8"/>
  <c r="BE411" i="8"/>
  <c r="BD411" i="8"/>
  <c r="BC411" i="8"/>
  <c r="BB411" i="8"/>
  <c r="BA411" i="8"/>
  <c r="AZ411" i="8"/>
  <c r="AY411" i="8"/>
  <c r="AX411" i="8"/>
  <c r="AW411" i="8"/>
  <c r="AV411" i="8"/>
  <c r="AU411" i="8"/>
  <c r="AT411" i="8"/>
  <c r="AS411" i="8"/>
  <c r="AR411" i="8"/>
  <c r="AQ411" i="8"/>
  <c r="AP411" i="8"/>
  <c r="H411" i="8"/>
  <c r="BI410" i="8"/>
  <c r="BH410" i="8"/>
  <c r="BG410" i="8"/>
  <c r="BF410" i="8"/>
  <c r="BE410" i="8"/>
  <c r="BD410" i="8"/>
  <c r="BC410" i="8"/>
  <c r="BB410" i="8"/>
  <c r="BA410" i="8"/>
  <c r="AZ410" i="8"/>
  <c r="AY410" i="8"/>
  <c r="AX410" i="8"/>
  <c r="AW410" i="8"/>
  <c r="AV410" i="8"/>
  <c r="AU410" i="8"/>
  <c r="AT410" i="8"/>
  <c r="AS410" i="8"/>
  <c r="AR410" i="8"/>
  <c r="AQ410" i="8"/>
  <c r="AP410" i="8"/>
  <c r="H410" i="8"/>
  <c r="BI409" i="8"/>
  <c r="BH409" i="8"/>
  <c r="BG409" i="8"/>
  <c r="BF409" i="8"/>
  <c r="BE409" i="8"/>
  <c r="BD409" i="8"/>
  <c r="BC409" i="8"/>
  <c r="BB409" i="8"/>
  <c r="BA409" i="8"/>
  <c r="AZ409" i="8"/>
  <c r="AY409" i="8"/>
  <c r="AX409" i="8"/>
  <c r="AW409" i="8"/>
  <c r="AV409" i="8"/>
  <c r="AU409" i="8"/>
  <c r="AT409" i="8"/>
  <c r="AS409" i="8"/>
  <c r="AR409" i="8"/>
  <c r="AQ409" i="8"/>
  <c r="AP409" i="8"/>
  <c r="H409" i="8"/>
  <c r="BI408" i="8"/>
  <c r="BH408" i="8"/>
  <c r="BG408" i="8"/>
  <c r="BF408" i="8"/>
  <c r="BE408" i="8"/>
  <c r="BD408" i="8"/>
  <c r="BC408" i="8"/>
  <c r="BB408" i="8"/>
  <c r="BA408" i="8"/>
  <c r="AZ408" i="8"/>
  <c r="AY408" i="8"/>
  <c r="AX408" i="8"/>
  <c r="AW408" i="8"/>
  <c r="AV408" i="8"/>
  <c r="AU408" i="8"/>
  <c r="AT408" i="8"/>
  <c r="AS408" i="8"/>
  <c r="AR408" i="8"/>
  <c r="AQ408" i="8"/>
  <c r="AP408" i="8"/>
  <c r="H408" i="8"/>
  <c r="BI407" i="8"/>
  <c r="BH407" i="8"/>
  <c r="BG407" i="8"/>
  <c r="BF407" i="8"/>
  <c r="BE407" i="8"/>
  <c r="BD407" i="8"/>
  <c r="BC407" i="8"/>
  <c r="BB407" i="8"/>
  <c r="BA407" i="8"/>
  <c r="AZ407" i="8"/>
  <c r="AY407" i="8"/>
  <c r="AX407" i="8"/>
  <c r="AW407" i="8"/>
  <c r="AV407" i="8"/>
  <c r="AU407" i="8"/>
  <c r="AT407" i="8"/>
  <c r="AS407" i="8"/>
  <c r="AR407" i="8"/>
  <c r="AQ407" i="8"/>
  <c r="AP407" i="8"/>
  <c r="H407" i="8"/>
  <c r="BI406" i="8"/>
  <c r="BH406" i="8"/>
  <c r="BG406" i="8"/>
  <c r="BF406" i="8"/>
  <c r="BE406" i="8"/>
  <c r="BD406" i="8"/>
  <c r="BC406" i="8"/>
  <c r="BB406" i="8"/>
  <c r="BA406" i="8"/>
  <c r="AZ406" i="8"/>
  <c r="AY406" i="8"/>
  <c r="AX406" i="8"/>
  <c r="AW406" i="8"/>
  <c r="AV406" i="8"/>
  <c r="AU406" i="8"/>
  <c r="AT406" i="8"/>
  <c r="AS406" i="8"/>
  <c r="AR406" i="8"/>
  <c r="AQ406" i="8"/>
  <c r="AP406" i="8"/>
  <c r="H406" i="8"/>
  <c r="BI405" i="8"/>
  <c r="BH405" i="8"/>
  <c r="BG405" i="8"/>
  <c r="BF405" i="8"/>
  <c r="BE405" i="8"/>
  <c r="BD405" i="8"/>
  <c r="BC405" i="8"/>
  <c r="BB405" i="8"/>
  <c r="BA405" i="8"/>
  <c r="AZ405" i="8"/>
  <c r="AY405" i="8"/>
  <c r="AX405" i="8"/>
  <c r="AW405" i="8"/>
  <c r="AV405" i="8"/>
  <c r="AU405" i="8"/>
  <c r="AT405" i="8"/>
  <c r="AS405" i="8"/>
  <c r="AR405" i="8"/>
  <c r="AQ405" i="8"/>
  <c r="AP405" i="8"/>
  <c r="H405" i="8"/>
  <c r="BI404" i="8"/>
  <c r="BH404" i="8"/>
  <c r="BG404" i="8"/>
  <c r="BF404" i="8"/>
  <c r="BE404" i="8"/>
  <c r="BD404" i="8"/>
  <c r="BC404" i="8"/>
  <c r="BB404" i="8"/>
  <c r="BA404" i="8"/>
  <c r="AZ404" i="8"/>
  <c r="AY404" i="8"/>
  <c r="AX404" i="8"/>
  <c r="AW404" i="8"/>
  <c r="AV404" i="8"/>
  <c r="AU404" i="8"/>
  <c r="AT404" i="8"/>
  <c r="AS404" i="8"/>
  <c r="AR404" i="8"/>
  <c r="AQ404" i="8"/>
  <c r="AP404" i="8"/>
  <c r="H404" i="8"/>
  <c r="BI403" i="8"/>
  <c r="BH403" i="8"/>
  <c r="BG403" i="8"/>
  <c r="BF403" i="8"/>
  <c r="BE403" i="8"/>
  <c r="BD403" i="8"/>
  <c r="BC403" i="8"/>
  <c r="BB403" i="8"/>
  <c r="BA403" i="8"/>
  <c r="AZ403" i="8"/>
  <c r="AY403" i="8"/>
  <c r="AX403" i="8"/>
  <c r="AW403" i="8"/>
  <c r="AV403" i="8"/>
  <c r="AU403" i="8"/>
  <c r="AT403" i="8"/>
  <c r="AS403" i="8"/>
  <c r="AR403" i="8"/>
  <c r="AQ403" i="8"/>
  <c r="AP403" i="8"/>
  <c r="H403" i="8"/>
  <c r="BI402" i="8"/>
  <c r="BH402" i="8"/>
  <c r="BG402" i="8"/>
  <c r="BF402" i="8"/>
  <c r="BE402" i="8"/>
  <c r="BD402" i="8"/>
  <c r="BC402" i="8"/>
  <c r="BB402" i="8"/>
  <c r="BA402" i="8"/>
  <c r="AZ402" i="8"/>
  <c r="AY402" i="8"/>
  <c r="AX402" i="8"/>
  <c r="AW402" i="8"/>
  <c r="AV402" i="8"/>
  <c r="AU402" i="8"/>
  <c r="AT402" i="8"/>
  <c r="AS402" i="8"/>
  <c r="AR402" i="8"/>
  <c r="AQ402" i="8"/>
  <c r="AP402" i="8"/>
  <c r="H402" i="8"/>
  <c r="BI401" i="8"/>
  <c r="BH401" i="8"/>
  <c r="BG401" i="8"/>
  <c r="BF401" i="8"/>
  <c r="BE401" i="8"/>
  <c r="BD401" i="8"/>
  <c r="BC401" i="8"/>
  <c r="BB401" i="8"/>
  <c r="BA401" i="8"/>
  <c r="AZ401" i="8"/>
  <c r="AY401" i="8"/>
  <c r="AX401" i="8"/>
  <c r="AW401" i="8"/>
  <c r="AV401" i="8"/>
  <c r="AU401" i="8"/>
  <c r="AT401" i="8"/>
  <c r="AS401" i="8"/>
  <c r="AR401" i="8"/>
  <c r="AQ401" i="8"/>
  <c r="AP401" i="8"/>
  <c r="H401" i="8"/>
  <c r="BI400" i="8"/>
  <c r="BH400" i="8"/>
  <c r="BG400" i="8"/>
  <c r="BF400" i="8"/>
  <c r="BE400" i="8"/>
  <c r="BD400" i="8"/>
  <c r="BC400" i="8"/>
  <c r="BB400" i="8"/>
  <c r="BA400" i="8"/>
  <c r="AZ400" i="8"/>
  <c r="AY400" i="8"/>
  <c r="AX400" i="8"/>
  <c r="AW400" i="8"/>
  <c r="AV400" i="8"/>
  <c r="AU400" i="8"/>
  <c r="AT400" i="8"/>
  <c r="AS400" i="8"/>
  <c r="AR400" i="8"/>
  <c r="AQ400" i="8"/>
  <c r="AP400" i="8"/>
  <c r="H400" i="8"/>
  <c r="BI399" i="8"/>
  <c r="BH399" i="8"/>
  <c r="BG399" i="8"/>
  <c r="BF399" i="8"/>
  <c r="BE399" i="8"/>
  <c r="BD399" i="8"/>
  <c r="BC399" i="8"/>
  <c r="BB399" i="8"/>
  <c r="BA399" i="8"/>
  <c r="AZ399" i="8"/>
  <c r="AY399" i="8"/>
  <c r="AX399" i="8"/>
  <c r="AW399" i="8"/>
  <c r="AV399" i="8"/>
  <c r="AU399" i="8"/>
  <c r="AT399" i="8"/>
  <c r="AS399" i="8"/>
  <c r="AR399" i="8"/>
  <c r="AQ399" i="8"/>
  <c r="AP399" i="8"/>
  <c r="H399" i="8"/>
  <c r="BI398" i="8"/>
  <c r="BH398" i="8"/>
  <c r="BG398" i="8"/>
  <c r="BF398" i="8"/>
  <c r="BE398" i="8"/>
  <c r="BD398" i="8"/>
  <c r="BC398" i="8"/>
  <c r="BB398" i="8"/>
  <c r="BA398" i="8"/>
  <c r="AZ398" i="8"/>
  <c r="AY398" i="8"/>
  <c r="AX398" i="8"/>
  <c r="AW398" i="8"/>
  <c r="AV398" i="8"/>
  <c r="AU398" i="8"/>
  <c r="AT398" i="8"/>
  <c r="AS398" i="8"/>
  <c r="AR398" i="8"/>
  <c r="AQ398" i="8"/>
  <c r="AP398" i="8"/>
  <c r="H398" i="8"/>
  <c r="BI397" i="8"/>
  <c r="BH397" i="8"/>
  <c r="BG397" i="8"/>
  <c r="BF397" i="8"/>
  <c r="BE397" i="8"/>
  <c r="BD397" i="8"/>
  <c r="BC397" i="8"/>
  <c r="BB397" i="8"/>
  <c r="BA397" i="8"/>
  <c r="AZ397" i="8"/>
  <c r="AY397" i="8"/>
  <c r="AX397" i="8"/>
  <c r="AW397" i="8"/>
  <c r="AV397" i="8"/>
  <c r="AU397" i="8"/>
  <c r="AT397" i="8"/>
  <c r="AS397" i="8"/>
  <c r="AR397" i="8"/>
  <c r="AQ397" i="8"/>
  <c r="AP397" i="8"/>
  <c r="H397" i="8"/>
  <c r="BI396" i="8"/>
  <c r="BH396" i="8"/>
  <c r="BG396" i="8"/>
  <c r="BF396" i="8"/>
  <c r="BE396" i="8"/>
  <c r="BD396" i="8"/>
  <c r="BC396" i="8"/>
  <c r="BB396" i="8"/>
  <c r="BA396" i="8"/>
  <c r="AZ396" i="8"/>
  <c r="AY396" i="8"/>
  <c r="AX396" i="8"/>
  <c r="AW396" i="8"/>
  <c r="AV396" i="8"/>
  <c r="AU396" i="8"/>
  <c r="AT396" i="8"/>
  <c r="AS396" i="8"/>
  <c r="AR396" i="8"/>
  <c r="AQ396" i="8"/>
  <c r="AP396" i="8"/>
  <c r="H396" i="8"/>
  <c r="BI395" i="8"/>
  <c r="BH395" i="8"/>
  <c r="BG395" i="8"/>
  <c r="BF395" i="8"/>
  <c r="BE395" i="8"/>
  <c r="BD395" i="8"/>
  <c r="BC395" i="8"/>
  <c r="BB395" i="8"/>
  <c r="BA395" i="8"/>
  <c r="AZ395" i="8"/>
  <c r="AY395" i="8"/>
  <c r="AX395" i="8"/>
  <c r="AW395" i="8"/>
  <c r="AV395" i="8"/>
  <c r="AU395" i="8"/>
  <c r="AT395" i="8"/>
  <c r="AS395" i="8"/>
  <c r="AR395" i="8"/>
  <c r="AQ395" i="8"/>
  <c r="AP395" i="8"/>
  <c r="H395" i="8"/>
  <c r="BI394" i="8"/>
  <c r="BH394" i="8"/>
  <c r="BG394" i="8"/>
  <c r="BF394" i="8"/>
  <c r="BE394" i="8"/>
  <c r="BD394" i="8"/>
  <c r="BC394" i="8"/>
  <c r="BB394" i="8"/>
  <c r="BA394" i="8"/>
  <c r="AZ394" i="8"/>
  <c r="AY394" i="8"/>
  <c r="AX394" i="8"/>
  <c r="AW394" i="8"/>
  <c r="AV394" i="8"/>
  <c r="AU394" i="8"/>
  <c r="AT394" i="8"/>
  <c r="AS394" i="8"/>
  <c r="AR394" i="8"/>
  <c r="AQ394" i="8"/>
  <c r="AP394" i="8"/>
  <c r="H394" i="8"/>
  <c r="BI393" i="8"/>
  <c r="BH393" i="8"/>
  <c r="BG393" i="8"/>
  <c r="BF393" i="8"/>
  <c r="BE393" i="8"/>
  <c r="BD393" i="8"/>
  <c r="BC393" i="8"/>
  <c r="BB393" i="8"/>
  <c r="BA393" i="8"/>
  <c r="AZ393" i="8"/>
  <c r="AY393" i="8"/>
  <c r="AX393" i="8"/>
  <c r="AW393" i="8"/>
  <c r="AV393" i="8"/>
  <c r="AU393" i="8"/>
  <c r="AT393" i="8"/>
  <c r="AS393" i="8"/>
  <c r="AR393" i="8"/>
  <c r="AQ393" i="8"/>
  <c r="AP393" i="8"/>
  <c r="H393" i="8"/>
  <c r="BI392" i="8"/>
  <c r="BH392" i="8"/>
  <c r="BG392" i="8"/>
  <c r="BF392" i="8"/>
  <c r="BE392" i="8"/>
  <c r="BD392" i="8"/>
  <c r="BC392" i="8"/>
  <c r="BB392" i="8"/>
  <c r="BA392" i="8"/>
  <c r="AZ392" i="8"/>
  <c r="AY392" i="8"/>
  <c r="AX392" i="8"/>
  <c r="AW392" i="8"/>
  <c r="AV392" i="8"/>
  <c r="AU392" i="8"/>
  <c r="AT392" i="8"/>
  <c r="AS392" i="8"/>
  <c r="AR392" i="8"/>
  <c r="AQ392" i="8"/>
  <c r="AP392" i="8"/>
  <c r="H392" i="8"/>
  <c r="BI391" i="8"/>
  <c r="BH391" i="8"/>
  <c r="BG391" i="8"/>
  <c r="BF391" i="8"/>
  <c r="BE391" i="8"/>
  <c r="BD391" i="8"/>
  <c r="BC391" i="8"/>
  <c r="BB391" i="8"/>
  <c r="BA391" i="8"/>
  <c r="AZ391" i="8"/>
  <c r="AY391" i="8"/>
  <c r="AX391" i="8"/>
  <c r="AW391" i="8"/>
  <c r="AV391" i="8"/>
  <c r="AU391" i="8"/>
  <c r="AT391" i="8"/>
  <c r="AS391" i="8"/>
  <c r="AR391" i="8"/>
  <c r="AQ391" i="8"/>
  <c r="AP391" i="8"/>
  <c r="H391" i="8"/>
  <c r="BI390" i="8"/>
  <c r="BH390" i="8"/>
  <c r="BG390" i="8"/>
  <c r="BF390" i="8"/>
  <c r="BE390" i="8"/>
  <c r="BD390" i="8"/>
  <c r="BC390" i="8"/>
  <c r="BB390" i="8"/>
  <c r="BA390" i="8"/>
  <c r="AZ390" i="8"/>
  <c r="AY390" i="8"/>
  <c r="AX390" i="8"/>
  <c r="AW390" i="8"/>
  <c r="AV390" i="8"/>
  <c r="AU390" i="8"/>
  <c r="AT390" i="8"/>
  <c r="AS390" i="8"/>
  <c r="AR390" i="8"/>
  <c r="AQ390" i="8"/>
  <c r="AP390" i="8"/>
  <c r="H390" i="8"/>
  <c r="BI389" i="8"/>
  <c r="BH389" i="8"/>
  <c r="BG389" i="8"/>
  <c r="BF389" i="8"/>
  <c r="BE389" i="8"/>
  <c r="BD389" i="8"/>
  <c r="BC389" i="8"/>
  <c r="BB389" i="8"/>
  <c r="BA389" i="8"/>
  <c r="AZ389" i="8"/>
  <c r="AY389" i="8"/>
  <c r="AX389" i="8"/>
  <c r="AW389" i="8"/>
  <c r="AV389" i="8"/>
  <c r="AU389" i="8"/>
  <c r="AT389" i="8"/>
  <c r="AS389" i="8"/>
  <c r="AR389" i="8"/>
  <c r="AQ389" i="8"/>
  <c r="AP389" i="8"/>
  <c r="H389" i="8"/>
  <c r="BI388" i="8"/>
  <c r="BH388" i="8"/>
  <c r="BG388" i="8"/>
  <c r="BF388" i="8"/>
  <c r="BE388" i="8"/>
  <c r="BD388" i="8"/>
  <c r="BC388" i="8"/>
  <c r="BB388" i="8"/>
  <c r="BA388" i="8"/>
  <c r="AZ388" i="8"/>
  <c r="AY388" i="8"/>
  <c r="AX388" i="8"/>
  <c r="AW388" i="8"/>
  <c r="AV388" i="8"/>
  <c r="AU388" i="8"/>
  <c r="AT388" i="8"/>
  <c r="AS388" i="8"/>
  <c r="AR388" i="8"/>
  <c r="AQ388" i="8"/>
  <c r="AP388" i="8"/>
  <c r="H388" i="8"/>
  <c r="BI387" i="8"/>
  <c r="BH387" i="8"/>
  <c r="BG387" i="8"/>
  <c r="BF387" i="8"/>
  <c r="BE387" i="8"/>
  <c r="BD387" i="8"/>
  <c r="BC387" i="8"/>
  <c r="BB387" i="8"/>
  <c r="BA387" i="8"/>
  <c r="AZ387" i="8"/>
  <c r="AY387" i="8"/>
  <c r="AX387" i="8"/>
  <c r="AW387" i="8"/>
  <c r="AV387" i="8"/>
  <c r="AU387" i="8"/>
  <c r="AT387" i="8"/>
  <c r="AS387" i="8"/>
  <c r="AR387" i="8"/>
  <c r="AQ387" i="8"/>
  <c r="AP387" i="8"/>
  <c r="H387" i="8"/>
  <c r="BI386" i="8"/>
  <c r="BH386" i="8"/>
  <c r="BG386" i="8"/>
  <c r="BF386" i="8"/>
  <c r="BE386" i="8"/>
  <c r="BD386" i="8"/>
  <c r="BC386" i="8"/>
  <c r="BB386" i="8"/>
  <c r="BA386" i="8"/>
  <c r="AZ386" i="8"/>
  <c r="AY386" i="8"/>
  <c r="AX386" i="8"/>
  <c r="AW386" i="8"/>
  <c r="AV386" i="8"/>
  <c r="AU386" i="8"/>
  <c r="AT386" i="8"/>
  <c r="AS386" i="8"/>
  <c r="AR386" i="8"/>
  <c r="AQ386" i="8"/>
  <c r="AP386" i="8"/>
  <c r="H386" i="8"/>
  <c r="BI385" i="8"/>
  <c r="BH385" i="8"/>
  <c r="BG385" i="8"/>
  <c r="BF385" i="8"/>
  <c r="BE385" i="8"/>
  <c r="BD385" i="8"/>
  <c r="BC385" i="8"/>
  <c r="BB385" i="8"/>
  <c r="BA385" i="8"/>
  <c r="AZ385" i="8"/>
  <c r="AY385" i="8"/>
  <c r="AX385" i="8"/>
  <c r="AW385" i="8"/>
  <c r="AV385" i="8"/>
  <c r="AU385" i="8"/>
  <c r="AT385" i="8"/>
  <c r="AS385" i="8"/>
  <c r="AR385" i="8"/>
  <c r="AQ385" i="8"/>
  <c r="AP385" i="8"/>
  <c r="H385" i="8"/>
  <c r="BI384" i="8"/>
  <c r="BH384" i="8"/>
  <c r="BG384" i="8"/>
  <c r="BF384" i="8"/>
  <c r="BE384" i="8"/>
  <c r="BD384" i="8"/>
  <c r="BC384" i="8"/>
  <c r="BB384" i="8"/>
  <c r="BA384" i="8"/>
  <c r="AZ384" i="8"/>
  <c r="AY384" i="8"/>
  <c r="AX384" i="8"/>
  <c r="AW384" i="8"/>
  <c r="AV384" i="8"/>
  <c r="AU384" i="8"/>
  <c r="AT384" i="8"/>
  <c r="AS384" i="8"/>
  <c r="AR384" i="8"/>
  <c r="AQ384" i="8"/>
  <c r="AP384" i="8"/>
  <c r="H384" i="8"/>
  <c r="BI383" i="8"/>
  <c r="BH383" i="8"/>
  <c r="BG383" i="8"/>
  <c r="BF383" i="8"/>
  <c r="BE383" i="8"/>
  <c r="BD383" i="8"/>
  <c r="BC383" i="8"/>
  <c r="BB383" i="8"/>
  <c r="BA383" i="8"/>
  <c r="AZ383" i="8"/>
  <c r="AY383" i="8"/>
  <c r="AX383" i="8"/>
  <c r="AW383" i="8"/>
  <c r="AV383" i="8"/>
  <c r="AU383" i="8"/>
  <c r="AT383" i="8"/>
  <c r="AS383" i="8"/>
  <c r="AR383" i="8"/>
  <c r="AQ383" i="8"/>
  <c r="AP383" i="8"/>
  <c r="H383" i="8"/>
  <c r="BI382" i="8"/>
  <c r="BH382" i="8"/>
  <c r="BG382" i="8"/>
  <c r="BF382" i="8"/>
  <c r="BE382" i="8"/>
  <c r="BD382" i="8"/>
  <c r="BC382" i="8"/>
  <c r="BB382" i="8"/>
  <c r="BA382" i="8"/>
  <c r="AZ382" i="8"/>
  <c r="AY382" i="8"/>
  <c r="AX382" i="8"/>
  <c r="AW382" i="8"/>
  <c r="AV382" i="8"/>
  <c r="AU382" i="8"/>
  <c r="AT382" i="8"/>
  <c r="AS382" i="8"/>
  <c r="AR382" i="8"/>
  <c r="AQ382" i="8"/>
  <c r="AP382" i="8"/>
  <c r="H382" i="8"/>
  <c r="BI381" i="8"/>
  <c r="BH381" i="8"/>
  <c r="BG381" i="8"/>
  <c r="BF381" i="8"/>
  <c r="BE381" i="8"/>
  <c r="BD381" i="8"/>
  <c r="BC381" i="8"/>
  <c r="BB381" i="8"/>
  <c r="BA381" i="8"/>
  <c r="AZ381" i="8"/>
  <c r="AY381" i="8"/>
  <c r="AX381" i="8"/>
  <c r="AW381" i="8"/>
  <c r="AV381" i="8"/>
  <c r="AU381" i="8"/>
  <c r="AT381" i="8"/>
  <c r="AS381" i="8"/>
  <c r="AR381" i="8"/>
  <c r="AQ381" i="8"/>
  <c r="AP381" i="8"/>
  <c r="H381" i="8"/>
  <c r="BI380" i="8"/>
  <c r="BH380" i="8"/>
  <c r="BG380" i="8"/>
  <c r="BF380" i="8"/>
  <c r="BE380" i="8"/>
  <c r="BD380" i="8"/>
  <c r="BC380" i="8"/>
  <c r="BB380" i="8"/>
  <c r="BA380" i="8"/>
  <c r="AZ380" i="8"/>
  <c r="AY380" i="8"/>
  <c r="AX380" i="8"/>
  <c r="AW380" i="8"/>
  <c r="AV380" i="8"/>
  <c r="AU380" i="8"/>
  <c r="AT380" i="8"/>
  <c r="AS380" i="8"/>
  <c r="AR380" i="8"/>
  <c r="AQ380" i="8"/>
  <c r="AP380" i="8"/>
  <c r="H380" i="8"/>
  <c r="BI379" i="8"/>
  <c r="BH379" i="8"/>
  <c r="BG379" i="8"/>
  <c r="BF379" i="8"/>
  <c r="BE379" i="8"/>
  <c r="BD379" i="8"/>
  <c r="BC379" i="8"/>
  <c r="BB379" i="8"/>
  <c r="BA379" i="8"/>
  <c r="AZ379" i="8"/>
  <c r="AY379" i="8"/>
  <c r="AX379" i="8"/>
  <c r="AW379" i="8"/>
  <c r="AV379" i="8"/>
  <c r="AU379" i="8"/>
  <c r="AT379" i="8"/>
  <c r="AS379" i="8"/>
  <c r="AR379" i="8"/>
  <c r="AQ379" i="8"/>
  <c r="AP379" i="8"/>
  <c r="H379" i="8"/>
  <c r="BI378" i="8"/>
  <c r="BH378" i="8"/>
  <c r="BG378" i="8"/>
  <c r="BF378" i="8"/>
  <c r="BE378" i="8"/>
  <c r="BD378" i="8"/>
  <c r="BC378" i="8"/>
  <c r="BB378" i="8"/>
  <c r="BA378" i="8"/>
  <c r="AZ378" i="8"/>
  <c r="AY378" i="8"/>
  <c r="AX378" i="8"/>
  <c r="AW378" i="8"/>
  <c r="AV378" i="8"/>
  <c r="AU378" i="8"/>
  <c r="AT378" i="8"/>
  <c r="AS378" i="8"/>
  <c r="AR378" i="8"/>
  <c r="AQ378" i="8"/>
  <c r="AP378" i="8"/>
  <c r="H378" i="8"/>
  <c r="BI377" i="8"/>
  <c r="BH377" i="8"/>
  <c r="BG377" i="8"/>
  <c r="BF377" i="8"/>
  <c r="BE377" i="8"/>
  <c r="BD377" i="8"/>
  <c r="BC377" i="8"/>
  <c r="BB377" i="8"/>
  <c r="BA377" i="8"/>
  <c r="AZ377" i="8"/>
  <c r="AY377" i="8"/>
  <c r="AX377" i="8"/>
  <c r="AW377" i="8"/>
  <c r="AV377" i="8"/>
  <c r="AU377" i="8"/>
  <c r="AT377" i="8"/>
  <c r="AS377" i="8"/>
  <c r="AR377" i="8"/>
  <c r="AQ377" i="8"/>
  <c r="AP377" i="8"/>
  <c r="H377" i="8"/>
  <c r="BI376" i="8"/>
  <c r="BH376" i="8"/>
  <c r="BG376" i="8"/>
  <c r="BF376" i="8"/>
  <c r="BE376" i="8"/>
  <c r="BD376" i="8"/>
  <c r="BC376" i="8"/>
  <c r="BB376" i="8"/>
  <c r="BA376" i="8"/>
  <c r="AZ376" i="8"/>
  <c r="AY376" i="8"/>
  <c r="AX376" i="8"/>
  <c r="AW376" i="8"/>
  <c r="AV376" i="8"/>
  <c r="AU376" i="8"/>
  <c r="AT376" i="8"/>
  <c r="AS376" i="8"/>
  <c r="AR376" i="8"/>
  <c r="AQ376" i="8"/>
  <c r="AP376" i="8"/>
  <c r="H376" i="8"/>
  <c r="BI375" i="8"/>
  <c r="BH375" i="8"/>
  <c r="BG375" i="8"/>
  <c r="BF375" i="8"/>
  <c r="BE375" i="8"/>
  <c r="BD375" i="8"/>
  <c r="BC375" i="8"/>
  <c r="BB375" i="8"/>
  <c r="BA375" i="8"/>
  <c r="AZ375" i="8"/>
  <c r="AY375" i="8"/>
  <c r="AX375" i="8"/>
  <c r="AW375" i="8"/>
  <c r="AV375" i="8"/>
  <c r="AU375" i="8"/>
  <c r="AT375" i="8"/>
  <c r="AS375" i="8"/>
  <c r="AR375" i="8"/>
  <c r="AQ375" i="8"/>
  <c r="AP375" i="8"/>
  <c r="H375" i="8"/>
  <c r="BI374" i="8"/>
  <c r="BH374" i="8"/>
  <c r="BG374" i="8"/>
  <c r="BF374" i="8"/>
  <c r="BE374" i="8"/>
  <c r="BD374" i="8"/>
  <c r="BC374" i="8"/>
  <c r="BB374" i="8"/>
  <c r="BA374" i="8"/>
  <c r="AZ374" i="8"/>
  <c r="AY374" i="8"/>
  <c r="AX374" i="8"/>
  <c r="AW374" i="8"/>
  <c r="AV374" i="8"/>
  <c r="AU374" i="8"/>
  <c r="AT374" i="8"/>
  <c r="AS374" i="8"/>
  <c r="AR374" i="8"/>
  <c r="AQ374" i="8"/>
  <c r="AP374" i="8"/>
  <c r="H374" i="8"/>
  <c r="BI373" i="8"/>
  <c r="BH373" i="8"/>
  <c r="BG373" i="8"/>
  <c r="BF373" i="8"/>
  <c r="BE373" i="8"/>
  <c r="BD373" i="8"/>
  <c r="BC373" i="8"/>
  <c r="BB373" i="8"/>
  <c r="BA373" i="8"/>
  <c r="AZ373" i="8"/>
  <c r="AY373" i="8"/>
  <c r="AX373" i="8"/>
  <c r="AW373" i="8"/>
  <c r="AV373" i="8"/>
  <c r="AU373" i="8"/>
  <c r="AT373" i="8"/>
  <c r="AS373" i="8"/>
  <c r="AR373" i="8"/>
  <c r="AQ373" i="8"/>
  <c r="AP373" i="8"/>
  <c r="H373" i="8"/>
  <c r="BI372" i="8"/>
  <c r="BH372" i="8"/>
  <c r="BG372" i="8"/>
  <c r="BF372" i="8"/>
  <c r="BE372" i="8"/>
  <c r="BD372" i="8"/>
  <c r="BC372" i="8"/>
  <c r="BB372" i="8"/>
  <c r="BA372" i="8"/>
  <c r="AZ372" i="8"/>
  <c r="AY372" i="8"/>
  <c r="AX372" i="8"/>
  <c r="AW372" i="8"/>
  <c r="AV372" i="8"/>
  <c r="AU372" i="8"/>
  <c r="AT372" i="8"/>
  <c r="AS372" i="8"/>
  <c r="AR372" i="8"/>
  <c r="AQ372" i="8"/>
  <c r="AP372" i="8"/>
  <c r="H372" i="8"/>
  <c r="BI371" i="8"/>
  <c r="BH371" i="8"/>
  <c r="BG371" i="8"/>
  <c r="BF371" i="8"/>
  <c r="BE371" i="8"/>
  <c r="BD371" i="8"/>
  <c r="BC371" i="8"/>
  <c r="BB371" i="8"/>
  <c r="BA371" i="8"/>
  <c r="AZ371" i="8"/>
  <c r="AY371" i="8"/>
  <c r="AX371" i="8"/>
  <c r="AW371" i="8"/>
  <c r="AV371" i="8"/>
  <c r="AU371" i="8"/>
  <c r="AT371" i="8"/>
  <c r="AS371" i="8"/>
  <c r="AR371" i="8"/>
  <c r="AQ371" i="8"/>
  <c r="AP371" i="8"/>
  <c r="H371" i="8"/>
  <c r="BI370" i="8"/>
  <c r="BH370" i="8"/>
  <c r="BG370" i="8"/>
  <c r="BF370" i="8"/>
  <c r="BE370" i="8"/>
  <c r="BD370" i="8"/>
  <c r="BC370" i="8"/>
  <c r="BB370" i="8"/>
  <c r="BA370" i="8"/>
  <c r="AZ370" i="8"/>
  <c r="AY370" i="8"/>
  <c r="AX370" i="8"/>
  <c r="AW370" i="8"/>
  <c r="AV370" i="8"/>
  <c r="AU370" i="8"/>
  <c r="AT370" i="8"/>
  <c r="AS370" i="8"/>
  <c r="AR370" i="8"/>
  <c r="AQ370" i="8"/>
  <c r="AP370" i="8"/>
  <c r="H370" i="8"/>
  <c r="BI369" i="8"/>
  <c r="BH369" i="8"/>
  <c r="BG369" i="8"/>
  <c r="BF369" i="8"/>
  <c r="BE369" i="8"/>
  <c r="BD369" i="8"/>
  <c r="BC369" i="8"/>
  <c r="BB369" i="8"/>
  <c r="BA369" i="8"/>
  <c r="AZ369" i="8"/>
  <c r="AY369" i="8"/>
  <c r="AX369" i="8"/>
  <c r="AW369" i="8"/>
  <c r="AV369" i="8"/>
  <c r="AU369" i="8"/>
  <c r="AT369" i="8"/>
  <c r="AS369" i="8"/>
  <c r="AR369" i="8"/>
  <c r="AQ369" i="8"/>
  <c r="AP369" i="8"/>
  <c r="H369" i="8"/>
  <c r="BI368" i="8"/>
  <c r="BH368" i="8"/>
  <c r="BG368" i="8"/>
  <c r="BF368" i="8"/>
  <c r="BE368" i="8"/>
  <c r="BD368" i="8"/>
  <c r="BC368" i="8"/>
  <c r="BB368" i="8"/>
  <c r="BA368" i="8"/>
  <c r="AZ368" i="8"/>
  <c r="AY368" i="8"/>
  <c r="AX368" i="8"/>
  <c r="AW368" i="8"/>
  <c r="AV368" i="8"/>
  <c r="AU368" i="8"/>
  <c r="AT368" i="8"/>
  <c r="AS368" i="8"/>
  <c r="AR368" i="8"/>
  <c r="AQ368" i="8"/>
  <c r="AP368" i="8"/>
  <c r="H368" i="8"/>
  <c r="BI367" i="8"/>
  <c r="BH367" i="8"/>
  <c r="BG367" i="8"/>
  <c r="BF367" i="8"/>
  <c r="BE367" i="8"/>
  <c r="BD367" i="8"/>
  <c r="BC367" i="8"/>
  <c r="BB367" i="8"/>
  <c r="BA367" i="8"/>
  <c r="AZ367" i="8"/>
  <c r="AY367" i="8"/>
  <c r="AX367" i="8"/>
  <c r="AW367" i="8"/>
  <c r="AV367" i="8"/>
  <c r="AU367" i="8"/>
  <c r="AT367" i="8"/>
  <c r="AS367" i="8"/>
  <c r="AR367" i="8"/>
  <c r="AQ367" i="8"/>
  <c r="AP367" i="8"/>
  <c r="H367" i="8"/>
  <c r="BI366" i="8"/>
  <c r="BH366" i="8"/>
  <c r="BG366" i="8"/>
  <c r="BF366" i="8"/>
  <c r="BE366" i="8"/>
  <c r="BD366" i="8"/>
  <c r="BC366" i="8"/>
  <c r="BB366" i="8"/>
  <c r="BA366" i="8"/>
  <c r="AZ366" i="8"/>
  <c r="AY366" i="8"/>
  <c r="AX366" i="8"/>
  <c r="AW366" i="8"/>
  <c r="AV366" i="8"/>
  <c r="AU366" i="8"/>
  <c r="AT366" i="8"/>
  <c r="AS366" i="8"/>
  <c r="AR366" i="8"/>
  <c r="AQ366" i="8"/>
  <c r="AP366" i="8"/>
  <c r="H366" i="8"/>
  <c r="BI365" i="8"/>
  <c r="BH365" i="8"/>
  <c r="BG365" i="8"/>
  <c r="BF365" i="8"/>
  <c r="BE365" i="8"/>
  <c r="BD365" i="8"/>
  <c r="BC365" i="8"/>
  <c r="BB365" i="8"/>
  <c r="BA365" i="8"/>
  <c r="AZ365" i="8"/>
  <c r="AY365" i="8"/>
  <c r="AX365" i="8"/>
  <c r="AW365" i="8"/>
  <c r="AV365" i="8"/>
  <c r="AU365" i="8"/>
  <c r="AT365" i="8"/>
  <c r="AS365" i="8"/>
  <c r="AR365" i="8"/>
  <c r="AQ365" i="8"/>
  <c r="AP365" i="8"/>
  <c r="H365" i="8"/>
  <c r="BI364" i="8"/>
  <c r="BH364" i="8"/>
  <c r="BG364" i="8"/>
  <c r="BF364" i="8"/>
  <c r="BE364" i="8"/>
  <c r="BD364" i="8"/>
  <c r="BC364" i="8"/>
  <c r="BB364" i="8"/>
  <c r="BA364" i="8"/>
  <c r="AZ364" i="8"/>
  <c r="AY364" i="8"/>
  <c r="AX364" i="8"/>
  <c r="AW364" i="8"/>
  <c r="AV364" i="8"/>
  <c r="AU364" i="8"/>
  <c r="AT364" i="8"/>
  <c r="AS364" i="8"/>
  <c r="AR364" i="8"/>
  <c r="AQ364" i="8"/>
  <c r="AP364" i="8"/>
  <c r="H364" i="8"/>
  <c r="BI363" i="8"/>
  <c r="BH363" i="8"/>
  <c r="BG363" i="8"/>
  <c r="BF363" i="8"/>
  <c r="BE363" i="8"/>
  <c r="BD363" i="8"/>
  <c r="BC363" i="8"/>
  <c r="BB363" i="8"/>
  <c r="BA363" i="8"/>
  <c r="AZ363" i="8"/>
  <c r="AY363" i="8"/>
  <c r="AX363" i="8"/>
  <c r="AW363" i="8"/>
  <c r="AV363" i="8"/>
  <c r="AU363" i="8"/>
  <c r="AT363" i="8"/>
  <c r="AS363" i="8"/>
  <c r="AR363" i="8"/>
  <c r="AQ363" i="8"/>
  <c r="AP363" i="8"/>
  <c r="H363" i="8"/>
  <c r="BI362" i="8"/>
  <c r="BH362" i="8"/>
  <c r="BG362" i="8"/>
  <c r="BF362" i="8"/>
  <c r="BE362" i="8"/>
  <c r="BD362" i="8"/>
  <c r="BC362" i="8"/>
  <c r="BB362" i="8"/>
  <c r="BA362" i="8"/>
  <c r="AZ362" i="8"/>
  <c r="AY362" i="8"/>
  <c r="AX362" i="8"/>
  <c r="AW362" i="8"/>
  <c r="AV362" i="8"/>
  <c r="AU362" i="8"/>
  <c r="AT362" i="8"/>
  <c r="AS362" i="8"/>
  <c r="AR362" i="8"/>
  <c r="AQ362" i="8"/>
  <c r="AP362" i="8"/>
  <c r="H362" i="8"/>
  <c r="BI361" i="8"/>
  <c r="BH361" i="8"/>
  <c r="BG361" i="8"/>
  <c r="BF361" i="8"/>
  <c r="BE361" i="8"/>
  <c r="BD361" i="8"/>
  <c r="BC361" i="8"/>
  <c r="BB361" i="8"/>
  <c r="BA361" i="8"/>
  <c r="AZ361" i="8"/>
  <c r="AY361" i="8"/>
  <c r="AX361" i="8"/>
  <c r="AW361" i="8"/>
  <c r="AV361" i="8"/>
  <c r="AU361" i="8"/>
  <c r="AT361" i="8"/>
  <c r="AS361" i="8"/>
  <c r="AR361" i="8"/>
  <c r="AQ361" i="8"/>
  <c r="AP361" i="8"/>
  <c r="H361" i="8"/>
  <c r="BI360" i="8"/>
  <c r="BH360" i="8"/>
  <c r="BG360" i="8"/>
  <c r="BF360" i="8"/>
  <c r="BE360" i="8"/>
  <c r="BD360" i="8"/>
  <c r="BC360" i="8"/>
  <c r="BB360" i="8"/>
  <c r="BA360" i="8"/>
  <c r="AZ360" i="8"/>
  <c r="AY360" i="8"/>
  <c r="AX360" i="8"/>
  <c r="AW360" i="8"/>
  <c r="AV360" i="8"/>
  <c r="AU360" i="8"/>
  <c r="AT360" i="8"/>
  <c r="AS360" i="8"/>
  <c r="AR360" i="8"/>
  <c r="AQ360" i="8"/>
  <c r="AP360" i="8"/>
  <c r="H360" i="8"/>
  <c r="BI359" i="8"/>
  <c r="BH359" i="8"/>
  <c r="BG359" i="8"/>
  <c r="BF359" i="8"/>
  <c r="BE359" i="8"/>
  <c r="BD359" i="8"/>
  <c r="BC359" i="8"/>
  <c r="BB359" i="8"/>
  <c r="BA359" i="8"/>
  <c r="AZ359" i="8"/>
  <c r="AY359" i="8"/>
  <c r="AX359" i="8"/>
  <c r="AW359" i="8"/>
  <c r="AV359" i="8"/>
  <c r="AU359" i="8"/>
  <c r="AT359" i="8"/>
  <c r="AS359" i="8"/>
  <c r="AR359" i="8"/>
  <c r="AQ359" i="8"/>
  <c r="AP359" i="8"/>
  <c r="H359" i="8"/>
  <c r="BI358" i="8"/>
  <c r="BH358" i="8"/>
  <c r="BG358" i="8"/>
  <c r="BF358" i="8"/>
  <c r="BE358" i="8"/>
  <c r="BD358" i="8"/>
  <c r="BC358" i="8"/>
  <c r="BB358" i="8"/>
  <c r="BA358" i="8"/>
  <c r="AZ358" i="8"/>
  <c r="AY358" i="8"/>
  <c r="AX358" i="8"/>
  <c r="AW358" i="8"/>
  <c r="AV358" i="8"/>
  <c r="AU358" i="8"/>
  <c r="AT358" i="8"/>
  <c r="AS358" i="8"/>
  <c r="AR358" i="8"/>
  <c r="AQ358" i="8"/>
  <c r="AP358" i="8"/>
  <c r="H358" i="8"/>
  <c r="BI357" i="8"/>
  <c r="BH357" i="8"/>
  <c r="BG357" i="8"/>
  <c r="BF357" i="8"/>
  <c r="BE357" i="8"/>
  <c r="BD357" i="8"/>
  <c r="BC357" i="8"/>
  <c r="BB357" i="8"/>
  <c r="BA357" i="8"/>
  <c r="AZ357" i="8"/>
  <c r="AY357" i="8"/>
  <c r="AX357" i="8"/>
  <c r="AW357" i="8"/>
  <c r="AV357" i="8"/>
  <c r="AU357" i="8"/>
  <c r="AT357" i="8"/>
  <c r="AS357" i="8"/>
  <c r="AR357" i="8"/>
  <c r="AQ357" i="8"/>
  <c r="AP357" i="8"/>
  <c r="H357" i="8"/>
  <c r="BI356" i="8"/>
  <c r="BH356" i="8"/>
  <c r="BG356" i="8"/>
  <c r="BF356" i="8"/>
  <c r="BE356" i="8"/>
  <c r="BD356" i="8"/>
  <c r="BC356" i="8"/>
  <c r="BB356" i="8"/>
  <c r="BA356" i="8"/>
  <c r="AZ356" i="8"/>
  <c r="AY356" i="8"/>
  <c r="AX356" i="8"/>
  <c r="AW356" i="8"/>
  <c r="AV356" i="8"/>
  <c r="AU356" i="8"/>
  <c r="AT356" i="8"/>
  <c r="AS356" i="8"/>
  <c r="AR356" i="8"/>
  <c r="AQ356" i="8"/>
  <c r="AP356" i="8"/>
  <c r="H356" i="8"/>
  <c r="BI355" i="8"/>
  <c r="BH355" i="8"/>
  <c r="BG355" i="8"/>
  <c r="BF355" i="8"/>
  <c r="BE355" i="8"/>
  <c r="BD355" i="8"/>
  <c r="BC355" i="8"/>
  <c r="BB355" i="8"/>
  <c r="BA355" i="8"/>
  <c r="AZ355" i="8"/>
  <c r="AY355" i="8"/>
  <c r="AX355" i="8"/>
  <c r="AW355" i="8"/>
  <c r="AV355" i="8"/>
  <c r="AU355" i="8"/>
  <c r="AT355" i="8"/>
  <c r="AS355" i="8"/>
  <c r="AR355" i="8"/>
  <c r="AQ355" i="8"/>
  <c r="AP355" i="8"/>
  <c r="H355" i="8"/>
  <c r="BI354" i="8"/>
  <c r="BH354" i="8"/>
  <c r="BG354" i="8"/>
  <c r="BF354" i="8"/>
  <c r="BE354" i="8"/>
  <c r="BD354" i="8"/>
  <c r="BC354" i="8"/>
  <c r="BB354" i="8"/>
  <c r="BA354" i="8"/>
  <c r="AZ354" i="8"/>
  <c r="AY354" i="8"/>
  <c r="AX354" i="8"/>
  <c r="AW354" i="8"/>
  <c r="AV354" i="8"/>
  <c r="AU354" i="8"/>
  <c r="AT354" i="8"/>
  <c r="AS354" i="8"/>
  <c r="AR354" i="8"/>
  <c r="AQ354" i="8"/>
  <c r="AP354" i="8"/>
  <c r="H354" i="8"/>
  <c r="BI353" i="8"/>
  <c r="BH353" i="8"/>
  <c r="BG353" i="8"/>
  <c r="BF353" i="8"/>
  <c r="BE353" i="8"/>
  <c r="BD353" i="8"/>
  <c r="BC353" i="8"/>
  <c r="BB353" i="8"/>
  <c r="BA353" i="8"/>
  <c r="AZ353" i="8"/>
  <c r="AY353" i="8"/>
  <c r="AX353" i="8"/>
  <c r="AW353" i="8"/>
  <c r="AV353" i="8"/>
  <c r="AU353" i="8"/>
  <c r="AT353" i="8"/>
  <c r="AS353" i="8"/>
  <c r="AR353" i="8"/>
  <c r="AQ353" i="8"/>
  <c r="AP353" i="8"/>
  <c r="H353" i="8"/>
  <c r="BI352" i="8"/>
  <c r="BH352" i="8"/>
  <c r="BG352" i="8"/>
  <c r="BF352" i="8"/>
  <c r="BE352" i="8"/>
  <c r="BD352" i="8"/>
  <c r="BC352" i="8"/>
  <c r="BB352" i="8"/>
  <c r="BA352" i="8"/>
  <c r="AZ352" i="8"/>
  <c r="AY352" i="8"/>
  <c r="AX352" i="8"/>
  <c r="AW352" i="8"/>
  <c r="AV352" i="8"/>
  <c r="AU352" i="8"/>
  <c r="AT352" i="8"/>
  <c r="AS352" i="8"/>
  <c r="AR352" i="8"/>
  <c r="AQ352" i="8"/>
  <c r="AP352" i="8"/>
  <c r="H352" i="8"/>
  <c r="BI351" i="8"/>
  <c r="BH351" i="8"/>
  <c r="BG351" i="8"/>
  <c r="BF351" i="8"/>
  <c r="BE351" i="8"/>
  <c r="BD351" i="8"/>
  <c r="BC351" i="8"/>
  <c r="BB351" i="8"/>
  <c r="BA351" i="8"/>
  <c r="AZ351" i="8"/>
  <c r="AY351" i="8"/>
  <c r="AX351" i="8"/>
  <c r="AW351" i="8"/>
  <c r="AV351" i="8"/>
  <c r="AU351" i="8"/>
  <c r="AT351" i="8"/>
  <c r="AS351" i="8"/>
  <c r="AR351" i="8"/>
  <c r="AQ351" i="8"/>
  <c r="AP351" i="8"/>
  <c r="H351" i="8"/>
  <c r="BI350" i="8"/>
  <c r="BH350" i="8"/>
  <c r="BG350" i="8"/>
  <c r="BF350" i="8"/>
  <c r="BE350" i="8"/>
  <c r="BD350" i="8"/>
  <c r="BC350" i="8"/>
  <c r="BB350" i="8"/>
  <c r="BA350" i="8"/>
  <c r="AZ350" i="8"/>
  <c r="AY350" i="8"/>
  <c r="AX350" i="8"/>
  <c r="AW350" i="8"/>
  <c r="AV350" i="8"/>
  <c r="AU350" i="8"/>
  <c r="AT350" i="8"/>
  <c r="AS350" i="8"/>
  <c r="AR350" i="8"/>
  <c r="AQ350" i="8"/>
  <c r="AP350" i="8"/>
  <c r="H350" i="8"/>
  <c r="BI349" i="8"/>
  <c r="BH349" i="8"/>
  <c r="BG349" i="8"/>
  <c r="BF349" i="8"/>
  <c r="BE349" i="8"/>
  <c r="BD349" i="8"/>
  <c r="BC349" i="8"/>
  <c r="BB349" i="8"/>
  <c r="BA349" i="8"/>
  <c r="AZ349" i="8"/>
  <c r="AY349" i="8"/>
  <c r="AX349" i="8"/>
  <c r="AW349" i="8"/>
  <c r="AV349" i="8"/>
  <c r="AU349" i="8"/>
  <c r="AT349" i="8"/>
  <c r="AS349" i="8"/>
  <c r="AR349" i="8"/>
  <c r="AQ349" i="8"/>
  <c r="AP349" i="8"/>
  <c r="H349" i="8"/>
  <c r="BI348" i="8"/>
  <c r="BH348" i="8"/>
  <c r="BG348" i="8"/>
  <c r="BF348" i="8"/>
  <c r="BE348" i="8"/>
  <c r="BD348" i="8"/>
  <c r="BC348" i="8"/>
  <c r="BB348" i="8"/>
  <c r="BA348" i="8"/>
  <c r="AZ348" i="8"/>
  <c r="AY348" i="8"/>
  <c r="AX348" i="8"/>
  <c r="AW348" i="8"/>
  <c r="AV348" i="8"/>
  <c r="AU348" i="8"/>
  <c r="AT348" i="8"/>
  <c r="AS348" i="8"/>
  <c r="AR348" i="8"/>
  <c r="AQ348" i="8"/>
  <c r="AP348" i="8"/>
  <c r="H348" i="8"/>
  <c r="BI347" i="8"/>
  <c r="BH347" i="8"/>
  <c r="BG347" i="8"/>
  <c r="BF347" i="8"/>
  <c r="BE347" i="8"/>
  <c r="BD347" i="8"/>
  <c r="BC347" i="8"/>
  <c r="BB347" i="8"/>
  <c r="BA347" i="8"/>
  <c r="AZ347" i="8"/>
  <c r="AY347" i="8"/>
  <c r="AX347" i="8"/>
  <c r="AW347" i="8"/>
  <c r="AV347" i="8"/>
  <c r="AU347" i="8"/>
  <c r="AT347" i="8"/>
  <c r="AS347" i="8"/>
  <c r="AR347" i="8"/>
  <c r="AQ347" i="8"/>
  <c r="AP347" i="8"/>
  <c r="H347" i="8"/>
  <c r="BI346" i="8"/>
  <c r="BH346" i="8"/>
  <c r="BG346" i="8"/>
  <c r="BF346" i="8"/>
  <c r="BE346" i="8"/>
  <c r="BD346" i="8"/>
  <c r="BC346" i="8"/>
  <c r="BB346" i="8"/>
  <c r="BA346" i="8"/>
  <c r="AZ346" i="8"/>
  <c r="AY346" i="8"/>
  <c r="AX346" i="8"/>
  <c r="AW346" i="8"/>
  <c r="AV346" i="8"/>
  <c r="AU346" i="8"/>
  <c r="AT346" i="8"/>
  <c r="AS346" i="8"/>
  <c r="AR346" i="8"/>
  <c r="AQ346" i="8"/>
  <c r="AP346" i="8"/>
  <c r="H346" i="8"/>
  <c r="BI345" i="8"/>
  <c r="BH345" i="8"/>
  <c r="BG345" i="8"/>
  <c r="BF345" i="8"/>
  <c r="BE345" i="8"/>
  <c r="BD345" i="8"/>
  <c r="BC345" i="8"/>
  <c r="BB345" i="8"/>
  <c r="BA345" i="8"/>
  <c r="AZ345" i="8"/>
  <c r="AY345" i="8"/>
  <c r="AX345" i="8"/>
  <c r="AW345" i="8"/>
  <c r="AV345" i="8"/>
  <c r="AU345" i="8"/>
  <c r="AT345" i="8"/>
  <c r="AS345" i="8"/>
  <c r="AR345" i="8"/>
  <c r="AQ345" i="8"/>
  <c r="AP345" i="8"/>
  <c r="H345" i="8"/>
  <c r="BI344" i="8"/>
  <c r="BH344" i="8"/>
  <c r="BG344" i="8"/>
  <c r="BF344" i="8"/>
  <c r="BE344" i="8"/>
  <c r="BD344" i="8"/>
  <c r="BC344" i="8"/>
  <c r="BB344" i="8"/>
  <c r="BA344" i="8"/>
  <c r="AZ344" i="8"/>
  <c r="AY344" i="8"/>
  <c r="AX344" i="8"/>
  <c r="AW344" i="8"/>
  <c r="AV344" i="8"/>
  <c r="AU344" i="8"/>
  <c r="AT344" i="8"/>
  <c r="AS344" i="8"/>
  <c r="AR344" i="8"/>
  <c r="AQ344" i="8"/>
  <c r="AP344" i="8"/>
  <c r="H344" i="8"/>
  <c r="BI343" i="8"/>
  <c r="BH343" i="8"/>
  <c r="BG343" i="8"/>
  <c r="BF343" i="8"/>
  <c r="BE343" i="8"/>
  <c r="BD343" i="8"/>
  <c r="BC343" i="8"/>
  <c r="BB343" i="8"/>
  <c r="BA343" i="8"/>
  <c r="AZ343" i="8"/>
  <c r="AY343" i="8"/>
  <c r="AX343" i="8"/>
  <c r="AW343" i="8"/>
  <c r="AV343" i="8"/>
  <c r="AU343" i="8"/>
  <c r="AT343" i="8"/>
  <c r="AS343" i="8"/>
  <c r="AR343" i="8"/>
  <c r="AQ343" i="8"/>
  <c r="AP343" i="8"/>
  <c r="H343" i="8"/>
  <c r="BI342" i="8"/>
  <c r="BH342" i="8"/>
  <c r="BG342" i="8"/>
  <c r="BF342" i="8"/>
  <c r="BE342" i="8"/>
  <c r="BD342" i="8"/>
  <c r="BC342" i="8"/>
  <c r="BB342" i="8"/>
  <c r="BA342" i="8"/>
  <c r="AZ342" i="8"/>
  <c r="AY342" i="8"/>
  <c r="AX342" i="8"/>
  <c r="AW342" i="8"/>
  <c r="AV342" i="8"/>
  <c r="AU342" i="8"/>
  <c r="AT342" i="8"/>
  <c r="AS342" i="8"/>
  <c r="AR342" i="8"/>
  <c r="AQ342" i="8"/>
  <c r="AP342" i="8"/>
  <c r="H342" i="8"/>
  <c r="BI341" i="8"/>
  <c r="BH341" i="8"/>
  <c r="BG341" i="8"/>
  <c r="BF341" i="8"/>
  <c r="BE341" i="8"/>
  <c r="BD341" i="8"/>
  <c r="BC341" i="8"/>
  <c r="BB341" i="8"/>
  <c r="BA341" i="8"/>
  <c r="AZ341" i="8"/>
  <c r="AY341" i="8"/>
  <c r="AX341" i="8"/>
  <c r="AW341" i="8"/>
  <c r="AV341" i="8"/>
  <c r="AU341" i="8"/>
  <c r="AT341" i="8"/>
  <c r="AS341" i="8"/>
  <c r="AR341" i="8"/>
  <c r="AQ341" i="8"/>
  <c r="AP341" i="8"/>
  <c r="H341" i="8"/>
  <c r="BI340" i="8"/>
  <c r="BH340" i="8"/>
  <c r="BG340" i="8"/>
  <c r="BF340" i="8"/>
  <c r="BE340" i="8"/>
  <c r="BD340" i="8"/>
  <c r="BC340" i="8"/>
  <c r="BB340" i="8"/>
  <c r="BA340" i="8"/>
  <c r="AZ340" i="8"/>
  <c r="AY340" i="8"/>
  <c r="AX340" i="8"/>
  <c r="AW340" i="8"/>
  <c r="AV340" i="8"/>
  <c r="AU340" i="8"/>
  <c r="AT340" i="8"/>
  <c r="AS340" i="8"/>
  <c r="AR340" i="8"/>
  <c r="AQ340" i="8"/>
  <c r="AP340" i="8"/>
  <c r="H340" i="8"/>
  <c r="BI339" i="8"/>
  <c r="BH339" i="8"/>
  <c r="BG339" i="8"/>
  <c r="BF339" i="8"/>
  <c r="BE339" i="8"/>
  <c r="BD339" i="8"/>
  <c r="BC339" i="8"/>
  <c r="BB339" i="8"/>
  <c r="BA339" i="8"/>
  <c r="AZ339" i="8"/>
  <c r="AY339" i="8"/>
  <c r="AX339" i="8"/>
  <c r="AW339" i="8"/>
  <c r="AV339" i="8"/>
  <c r="AU339" i="8"/>
  <c r="AT339" i="8"/>
  <c r="AS339" i="8"/>
  <c r="AR339" i="8"/>
  <c r="AQ339" i="8"/>
  <c r="AP339" i="8"/>
  <c r="H339" i="8"/>
  <c r="BI338" i="8"/>
  <c r="BH338" i="8"/>
  <c r="BG338" i="8"/>
  <c r="BF338" i="8"/>
  <c r="BE338" i="8"/>
  <c r="BD338" i="8"/>
  <c r="BC338" i="8"/>
  <c r="BB338" i="8"/>
  <c r="BA338" i="8"/>
  <c r="AZ338" i="8"/>
  <c r="AY338" i="8"/>
  <c r="AX338" i="8"/>
  <c r="AW338" i="8"/>
  <c r="AV338" i="8"/>
  <c r="AU338" i="8"/>
  <c r="AT338" i="8"/>
  <c r="AS338" i="8"/>
  <c r="AR338" i="8"/>
  <c r="AQ338" i="8"/>
  <c r="AP338" i="8"/>
  <c r="H338" i="8"/>
  <c r="BI337" i="8"/>
  <c r="BH337" i="8"/>
  <c r="BG337" i="8"/>
  <c r="BF337" i="8"/>
  <c r="BE337" i="8"/>
  <c r="BD337" i="8"/>
  <c r="BC337" i="8"/>
  <c r="BB337" i="8"/>
  <c r="BA337" i="8"/>
  <c r="AZ337" i="8"/>
  <c r="AY337" i="8"/>
  <c r="AX337" i="8"/>
  <c r="AW337" i="8"/>
  <c r="AV337" i="8"/>
  <c r="AU337" i="8"/>
  <c r="AT337" i="8"/>
  <c r="AS337" i="8"/>
  <c r="AR337" i="8"/>
  <c r="AQ337" i="8"/>
  <c r="AP337" i="8"/>
  <c r="H337" i="8"/>
  <c r="BI336" i="8"/>
  <c r="BH336" i="8"/>
  <c r="BG336" i="8"/>
  <c r="BF336" i="8"/>
  <c r="BE336" i="8"/>
  <c r="BD336" i="8"/>
  <c r="BC336" i="8"/>
  <c r="BB336" i="8"/>
  <c r="BA336" i="8"/>
  <c r="AZ336" i="8"/>
  <c r="AY336" i="8"/>
  <c r="AX336" i="8"/>
  <c r="AW336" i="8"/>
  <c r="AV336" i="8"/>
  <c r="AU336" i="8"/>
  <c r="AT336" i="8"/>
  <c r="AS336" i="8"/>
  <c r="AR336" i="8"/>
  <c r="AQ336" i="8"/>
  <c r="AP336" i="8"/>
  <c r="H336" i="8"/>
  <c r="BI335" i="8"/>
  <c r="BH335" i="8"/>
  <c r="BG335" i="8"/>
  <c r="BF335" i="8"/>
  <c r="BE335" i="8"/>
  <c r="BD335" i="8"/>
  <c r="BC335" i="8"/>
  <c r="BB335" i="8"/>
  <c r="BA335" i="8"/>
  <c r="AZ335" i="8"/>
  <c r="AY335" i="8"/>
  <c r="AX335" i="8"/>
  <c r="AW335" i="8"/>
  <c r="AV335" i="8"/>
  <c r="AU335" i="8"/>
  <c r="AT335" i="8"/>
  <c r="AS335" i="8"/>
  <c r="AR335" i="8"/>
  <c r="AQ335" i="8"/>
  <c r="AP335" i="8"/>
  <c r="H335" i="8"/>
  <c r="BI334" i="8"/>
  <c r="BH334" i="8"/>
  <c r="BG334" i="8"/>
  <c r="BF334" i="8"/>
  <c r="BE334" i="8"/>
  <c r="BD334" i="8"/>
  <c r="BC334" i="8"/>
  <c r="BB334" i="8"/>
  <c r="BA334" i="8"/>
  <c r="AZ334" i="8"/>
  <c r="AY334" i="8"/>
  <c r="AX334" i="8"/>
  <c r="AW334" i="8"/>
  <c r="AV334" i="8"/>
  <c r="AU334" i="8"/>
  <c r="AT334" i="8"/>
  <c r="AS334" i="8"/>
  <c r="AR334" i="8"/>
  <c r="AQ334" i="8"/>
  <c r="AP334" i="8"/>
  <c r="H334" i="8"/>
  <c r="BI333" i="8"/>
  <c r="BH333" i="8"/>
  <c r="BG333" i="8"/>
  <c r="BF333" i="8"/>
  <c r="BE333" i="8"/>
  <c r="BD333" i="8"/>
  <c r="BC333" i="8"/>
  <c r="BB333" i="8"/>
  <c r="BA333" i="8"/>
  <c r="AZ333" i="8"/>
  <c r="AY333" i="8"/>
  <c r="AX333" i="8"/>
  <c r="AW333" i="8"/>
  <c r="AV333" i="8"/>
  <c r="AU333" i="8"/>
  <c r="AT333" i="8"/>
  <c r="AS333" i="8"/>
  <c r="AR333" i="8"/>
  <c r="AQ333" i="8"/>
  <c r="AP333" i="8"/>
  <c r="H333" i="8"/>
  <c r="BI332" i="8"/>
  <c r="BH332" i="8"/>
  <c r="BG332" i="8"/>
  <c r="BF332" i="8"/>
  <c r="BE332" i="8"/>
  <c r="BD332" i="8"/>
  <c r="BC332" i="8"/>
  <c r="BB332" i="8"/>
  <c r="BA332" i="8"/>
  <c r="AZ332" i="8"/>
  <c r="AY332" i="8"/>
  <c r="AX332" i="8"/>
  <c r="AW332" i="8"/>
  <c r="AV332" i="8"/>
  <c r="AU332" i="8"/>
  <c r="AT332" i="8"/>
  <c r="AS332" i="8"/>
  <c r="AR332" i="8"/>
  <c r="AQ332" i="8"/>
  <c r="AP332" i="8"/>
  <c r="H332" i="8"/>
  <c r="BI331" i="8"/>
  <c r="BH331" i="8"/>
  <c r="BG331" i="8"/>
  <c r="BF331" i="8"/>
  <c r="BE331" i="8"/>
  <c r="BD331" i="8"/>
  <c r="BC331" i="8"/>
  <c r="BB331" i="8"/>
  <c r="BA331" i="8"/>
  <c r="AZ331" i="8"/>
  <c r="AY331" i="8"/>
  <c r="AX331" i="8"/>
  <c r="AW331" i="8"/>
  <c r="AV331" i="8"/>
  <c r="AU331" i="8"/>
  <c r="AT331" i="8"/>
  <c r="AS331" i="8"/>
  <c r="AR331" i="8"/>
  <c r="AQ331" i="8"/>
  <c r="AP331" i="8"/>
  <c r="H331" i="8"/>
  <c r="BI330" i="8"/>
  <c r="BH330" i="8"/>
  <c r="BG330" i="8"/>
  <c r="BF330" i="8"/>
  <c r="BE330" i="8"/>
  <c r="BD330" i="8"/>
  <c r="BC330" i="8"/>
  <c r="BB330" i="8"/>
  <c r="BA330" i="8"/>
  <c r="AZ330" i="8"/>
  <c r="AY330" i="8"/>
  <c r="AX330" i="8"/>
  <c r="AW330" i="8"/>
  <c r="AV330" i="8"/>
  <c r="AU330" i="8"/>
  <c r="AT330" i="8"/>
  <c r="AS330" i="8"/>
  <c r="AR330" i="8"/>
  <c r="AQ330" i="8"/>
  <c r="AP330" i="8"/>
  <c r="H330" i="8"/>
  <c r="BI329" i="8"/>
  <c r="BH329" i="8"/>
  <c r="BG329" i="8"/>
  <c r="BF329" i="8"/>
  <c r="BE329" i="8"/>
  <c r="BD329" i="8"/>
  <c r="BC329" i="8"/>
  <c r="BB329" i="8"/>
  <c r="BA329" i="8"/>
  <c r="AZ329" i="8"/>
  <c r="AY329" i="8"/>
  <c r="AX329" i="8"/>
  <c r="AW329" i="8"/>
  <c r="AV329" i="8"/>
  <c r="AU329" i="8"/>
  <c r="AT329" i="8"/>
  <c r="AS329" i="8"/>
  <c r="AR329" i="8"/>
  <c r="AQ329" i="8"/>
  <c r="AP329" i="8"/>
  <c r="H329" i="8"/>
  <c r="BI328" i="8"/>
  <c r="BH328" i="8"/>
  <c r="BG328" i="8"/>
  <c r="BF328" i="8"/>
  <c r="BE328" i="8"/>
  <c r="BD328" i="8"/>
  <c r="BC328" i="8"/>
  <c r="BB328" i="8"/>
  <c r="BA328" i="8"/>
  <c r="AZ328" i="8"/>
  <c r="AY328" i="8"/>
  <c r="AX328" i="8"/>
  <c r="AW328" i="8"/>
  <c r="AV328" i="8"/>
  <c r="AU328" i="8"/>
  <c r="AT328" i="8"/>
  <c r="AS328" i="8"/>
  <c r="AR328" i="8"/>
  <c r="AQ328" i="8"/>
  <c r="AP328" i="8"/>
  <c r="H328" i="8"/>
  <c r="BI327" i="8"/>
  <c r="BH327" i="8"/>
  <c r="BG327" i="8"/>
  <c r="BF327" i="8"/>
  <c r="BE327" i="8"/>
  <c r="BD327" i="8"/>
  <c r="BC327" i="8"/>
  <c r="BB327" i="8"/>
  <c r="BA327" i="8"/>
  <c r="AZ327" i="8"/>
  <c r="AY327" i="8"/>
  <c r="AX327" i="8"/>
  <c r="AW327" i="8"/>
  <c r="AV327" i="8"/>
  <c r="AU327" i="8"/>
  <c r="AT327" i="8"/>
  <c r="AS327" i="8"/>
  <c r="AR327" i="8"/>
  <c r="AQ327" i="8"/>
  <c r="AP327" i="8"/>
  <c r="H327" i="8"/>
  <c r="BI326" i="8"/>
  <c r="BH326" i="8"/>
  <c r="BG326" i="8"/>
  <c r="BF326" i="8"/>
  <c r="BE326" i="8"/>
  <c r="BD326" i="8"/>
  <c r="BC326" i="8"/>
  <c r="BB326" i="8"/>
  <c r="BA326" i="8"/>
  <c r="AZ326" i="8"/>
  <c r="AY326" i="8"/>
  <c r="AX326" i="8"/>
  <c r="AW326" i="8"/>
  <c r="AV326" i="8"/>
  <c r="AU326" i="8"/>
  <c r="AT326" i="8"/>
  <c r="AS326" i="8"/>
  <c r="AR326" i="8"/>
  <c r="AQ326" i="8"/>
  <c r="AP326" i="8"/>
  <c r="H326" i="8"/>
  <c r="BI325" i="8"/>
  <c r="BH325" i="8"/>
  <c r="BG325" i="8"/>
  <c r="BF325" i="8"/>
  <c r="BE325" i="8"/>
  <c r="BD325" i="8"/>
  <c r="BC325" i="8"/>
  <c r="BB325" i="8"/>
  <c r="BA325" i="8"/>
  <c r="AZ325" i="8"/>
  <c r="AY325" i="8"/>
  <c r="AX325" i="8"/>
  <c r="AW325" i="8"/>
  <c r="AV325" i="8"/>
  <c r="AU325" i="8"/>
  <c r="AT325" i="8"/>
  <c r="AS325" i="8"/>
  <c r="AR325" i="8"/>
  <c r="AQ325" i="8"/>
  <c r="AP325" i="8"/>
  <c r="H325" i="8"/>
  <c r="BI324" i="8"/>
  <c r="BH324" i="8"/>
  <c r="BG324" i="8"/>
  <c r="BF324" i="8"/>
  <c r="BE324" i="8"/>
  <c r="BD324" i="8"/>
  <c r="BC324" i="8"/>
  <c r="BB324" i="8"/>
  <c r="BA324" i="8"/>
  <c r="AZ324" i="8"/>
  <c r="AY324" i="8"/>
  <c r="AX324" i="8"/>
  <c r="AW324" i="8"/>
  <c r="AV324" i="8"/>
  <c r="AU324" i="8"/>
  <c r="AT324" i="8"/>
  <c r="AS324" i="8"/>
  <c r="AR324" i="8"/>
  <c r="AQ324" i="8"/>
  <c r="AP324" i="8"/>
  <c r="H324" i="8"/>
  <c r="BI323" i="8"/>
  <c r="BH323" i="8"/>
  <c r="BG323" i="8"/>
  <c r="BF323" i="8"/>
  <c r="BE323" i="8"/>
  <c r="BD323" i="8"/>
  <c r="BC323" i="8"/>
  <c r="BB323" i="8"/>
  <c r="BA323" i="8"/>
  <c r="AZ323" i="8"/>
  <c r="AY323" i="8"/>
  <c r="AX323" i="8"/>
  <c r="AW323" i="8"/>
  <c r="AV323" i="8"/>
  <c r="AU323" i="8"/>
  <c r="AT323" i="8"/>
  <c r="AS323" i="8"/>
  <c r="AR323" i="8"/>
  <c r="AQ323" i="8"/>
  <c r="AP323" i="8"/>
  <c r="H323" i="8"/>
  <c r="BI322" i="8"/>
  <c r="BH322" i="8"/>
  <c r="BG322" i="8"/>
  <c r="BF322" i="8"/>
  <c r="BE322" i="8"/>
  <c r="BD322" i="8"/>
  <c r="BC322" i="8"/>
  <c r="BB322" i="8"/>
  <c r="BA322" i="8"/>
  <c r="AZ322" i="8"/>
  <c r="AY322" i="8"/>
  <c r="AX322" i="8"/>
  <c r="AW322" i="8"/>
  <c r="AV322" i="8"/>
  <c r="AU322" i="8"/>
  <c r="AT322" i="8"/>
  <c r="AS322" i="8"/>
  <c r="AR322" i="8"/>
  <c r="AQ322" i="8"/>
  <c r="AP322" i="8"/>
  <c r="H322" i="8"/>
  <c r="BI321" i="8"/>
  <c r="BH321" i="8"/>
  <c r="BG321" i="8"/>
  <c r="BF321" i="8"/>
  <c r="BE321" i="8"/>
  <c r="BD321" i="8"/>
  <c r="BC321" i="8"/>
  <c r="BB321" i="8"/>
  <c r="BA321" i="8"/>
  <c r="AZ321" i="8"/>
  <c r="AY321" i="8"/>
  <c r="AX321" i="8"/>
  <c r="AW321" i="8"/>
  <c r="AV321" i="8"/>
  <c r="AU321" i="8"/>
  <c r="AT321" i="8"/>
  <c r="AS321" i="8"/>
  <c r="AR321" i="8"/>
  <c r="AQ321" i="8"/>
  <c r="AP321" i="8"/>
  <c r="H321" i="8"/>
  <c r="BI320" i="8"/>
  <c r="BH320" i="8"/>
  <c r="BG320" i="8"/>
  <c r="BF320" i="8"/>
  <c r="BE320" i="8"/>
  <c r="BD320" i="8"/>
  <c r="BC320" i="8"/>
  <c r="BB320" i="8"/>
  <c r="BA320" i="8"/>
  <c r="AZ320" i="8"/>
  <c r="AY320" i="8"/>
  <c r="AX320" i="8"/>
  <c r="AW320" i="8"/>
  <c r="AV320" i="8"/>
  <c r="AU320" i="8"/>
  <c r="AT320" i="8"/>
  <c r="AS320" i="8"/>
  <c r="AR320" i="8"/>
  <c r="AQ320" i="8"/>
  <c r="AP320" i="8"/>
  <c r="H320" i="8"/>
  <c r="BI319" i="8"/>
  <c r="BH319" i="8"/>
  <c r="BG319" i="8"/>
  <c r="BF319" i="8"/>
  <c r="BE319" i="8"/>
  <c r="BD319" i="8"/>
  <c r="BC319" i="8"/>
  <c r="BB319" i="8"/>
  <c r="BA319" i="8"/>
  <c r="AZ319" i="8"/>
  <c r="AY319" i="8"/>
  <c r="AX319" i="8"/>
  <c r="AW319" i="8"/>
  <c r="AV319" i="8"/>
  <c r="AU319" i="8"/>
  <c r="AT319" i="8"/>
  <c r="AS319" i="8"/>
  <c r="AR319" i="8"/>
  <c r="AQ319" i="8"/>
  <c r="AP319" i="8"/>
  <c r="H319" i="8"/>
  <c r="BI318" i="8"/>
  <c r="BH318" i="8"/>
  <c r="BG318" i="8"/>
  <c r="BF318" i="8"/>
  <c r="BE318" i="8"/>
  <c r="BD318" i="8"/>
  <c r="BC318" i="8"/>
  <c r="BB318" i="8"/>
  <c r="BA318" i="8"/>
  <c r="AZ318" i="8"/>
  <c r="AY318" i="8"/>
  <c r="AX318" i="8"/>
  <c r="AW318" i="8"/>
  <c r="AV318" i="8"/>
  <c r="AU318" i="8"/>
  <c r="AT318" i="8"/>
  <c r="AS318" i="8"/>
  <c r="AR318" i="8"/>
  <c r="AQ318" i="8"/>
  <c r="AP318" i="8"/>
  <c r="H318" i="8"/>
  <c r="BI317" i="8"/>
  <c r="BH317" i="8"/>
  <c r="BG317" i="8"/>
  <c r="BF317" i="8"/>
  <c r="BE317" i="8"/>
  <c r="BD317" i="8"/>
  <c r="BC317" i="8"/>
  <c r="BB317" i="8"/>
  <c r="BA317" i="8"/>
  <c r="AZ317" i="8"/>
  <c r="AY317" i="8"/>
  <c r="AX317" i="8"/>
  <c r="AW317" i="8"/>
  <c r="AV317" i="8"/>
  <c r="AU317" i="8"/>
  <c r="AT317" i="8"/>
  <c r="AS317" i="8"/>
  <c r="AR317" i="8"/>
  <c r="AQ317" i="8"/>
  <c r="AP317" i="8"/>
  <c r="H317" i="8"/>
  <c r="BI316" i="8"/>
  <c r="BH316" i="8"/>
  <c r="BG316" i="8"/>
  <c r="BF316" i="8"/>
  <c r="BE316" i="8"/>
  <c r="BD316" i="8"/>
  <c r="BC316" i="8"/>
  <c r="BB316" i="8"/>
  <c r="BA316" i="8"/>
  <c r="AZ316" i="8"/>
  <c r="AY316" i="8"/>
  <c r="AX316" i="8"/>
  <c r="AW316" i="8"/>
  <c r="AV316" i="8"/>
  <c r="AU316" i="8"/>
  <c r="AT316" i="8"/>
  <c r="AS316" i="8"/>
  <c r="AR316" i="8"/>
  <c r="AQ316" i="8"/>
  <c r="AP316" i="8"/>
  <c r="H316" i="8"/>
  <c r="BI315" i="8"/>
  <c r="BH315" i="8"/>
  <c r="BG315" i="8"/>
  <c r="BF315" i="8"/>
  <c r="BE315" i="8"/>
  <c r="BD315" i="8"/>
  <c r="BC315" i="8"/>
  <c r="BB315" i="8"/>
  <c r="BA315" i="8"/>
  <c r="AZ315" i="8"/>
  <c r="AY315" i="8"/>
  <c r="AX315" i="8"/>
  <c r="AW315" i="8"/>
  <c r="AV315" i="8"/>
  <c r="AU315" i="8"/>
  <c r="AT315" i="8"/>
  <c r="AS315" i="8"/>
  <c r="AR315" i="8"/>
  <c r="AQ315" i="8"/>
  <c r="AP315" i="8"/>
  <c r="H315" i="8"/>
  <c r="BI314" i="8"/>
  <c r="BH314" i="8"/>
  <c r="BG314" i="8"/>
  <c r="BF314" i="8"/>
  <c r="BE314" i="8"/>
  <c r="BD314" i="8"/>
  <c r="BC314" i="8"/>
  <c r="BB314" i="8"/>
  <c r="BA314" i="8"/>
  <c r="AZ314" i="8"/>
  <c r="AY314" i="8"/>
  <c r="AX314" i="8"/>
  <c r="AW314" i="8"/>
  <c r="AV314" i="8"/>
  <c r="AU314" i="8"/>
  <c r="AT314" i="8"/>
  <c r="AS314" i="8"/>
  <c r="AR314" i="8"/>
  <c r="AQ314" i="8"/>
  <c r="AP314" i="8"/>
  <c r="H314" i="8"/>
  <c r="BI313" i="8"/>
  <c r="BH313" i="8"/>
  <c r="BG313" i="8"/>
  <c r="BF313" i="8"/>
  <c r="BE313" i="8"/>
  <c r="BD313" i="8"/>
  <c r="BC313" i="8"/>
  <c r="BB313" i="8"/>
  <c r="BA313" i="8"/>
  <c r="AZ313" i="8"/>
  <c r="AY313" i="8"/>
  <c r="AX313" i="8"/>
  <c r="AW313" i="8"/>
  <c r="AV313" i="8"/>
  <c r="AU313" i="8"/>
  <c r="AT313" i="8"/>
  <c r="AS313" i="8"/>
  <c r="AR313" i="8"/>
  <c r="AQ313" i="8"/>
  <c r="AP313" i="8"/>
  <c r="H313" i="8"/>
  <c r="BI312" i="8"/>
  <c r="BH312" i="8"/>
  <c r="BG312" i="8"/>
  <c r="BF312" i="8"/>
  <c r="BE312" i="8"/>
  <c r="BD312" i="8"/>
  <c r="BC312" i="8"/>
  <c r="BB312" i="8"/>
  <c r="BA312" i="8"/>
  <c r="AZ312" i="8"/>
  <c r="AY312" i="8"/>
  <c r="AX312" i="8"/>
  <c r="AW312" i="8"/>
  <c r="AV312" i="8"/>
  <c r="AU312" i="8"/>
  <c r="AT312" i="8"/>
  <c r="AS312" i="8"/>
  <c r="AR312" i="8"/>
  <c r="AQ312" i="8"/>
  <c r="AP312" i="8"/>
  <c r="H312" i="8"/>
  <c r="BI311" i="8"/>
  <c r="BH311" i="8"/>
  <c r="BG311" i="8"/>
  <c r="BF311" i="8"/>
  <c r="BE311" i="8"/>
  <c r="BD311" i="8"/>
  <c r="BC311" i="8"/>
  <c r="BB311" i="8"/>
  <c r="BA311" i="8"/>
  <c r="AZ311" i="8"/>
  <c r="AY311" i="8"/>
  <c r="AX311" i="8"/>
  <c r="AW311" i="8"/>
  <c r="AV311" i="8"/>
  <c r="AU311" i="8"/>
  <c r="AT311" i="8"/>
  <c r="AS311" i="8"/>
  <c r="AR311" i="8"/>
  <c r="AQ311" i="8"/>
  <c r="AP311" i="8"/>
  <c r="H311" i="8"/>
  <c r="AZ310" i="8"/>
  <c r="AY310" i="8"/>
  <c r="AX310" i="8"/>
  <c r="AW310" i="8"/>
  <c r="AV310" i="8"/>
  <c r="AU310" i="8"/>
  <c r="AQ310" i="8"/>
  <c r="AP310" i="8"/>
  <c r="H310" i="8"/>
  <c r="BI309" i="8"/>
  <c r="BH309" i="8"/>
  <c r="BG309" i="8"/>
  <c r="BF309" i="8"/>
  <c r="BE309" i="8"/>
  <c r="BD309" i="8"/>
  <c r="BC309" i="8"/>
  <c r="BB309" i="8"/>
  <c r="BA309" i="8"/>
  <c r="AZ309" i="8"/>
  <c r="AY309" i="8"/>
  <c r="AX309" i="8"/>
  <c r="AW309" i="8"/>
  <c r="AV309" i="8"/>
  <c r="AU309" i="8"/>
  <c r="AT309" i="8"/>
  <c r="AS309" i="8"/>
  <c r="AR309" i="8"/>
  <c r="AQ309" i="8"/>
  <c r="AP309" i="8"/>
  <c r="H309" i="8"/>
  <c r="AZ308" i="8"/>
  <c r="AY308" i="8"/>
  <c r="AX308" i="8"/>
  <c r="AW308" i="8"/>
  <c r="AV308" i="8"/>
  <c r="AU308" i="8"/>
  <c r="AQ308" i="8"/>
  <c r="AP308" i="8"/>
  <c r="H308" i="8"/>
  <c r="AZ307" i="8"/>
  <c r="AY307" i="8"/>
  <c r="AX307" i="8"/>
  <c r="AW307" i="8"/>
  <c r="AV307" i="8"/>
  <c r="AU307" i="8"/>
  <c r="AQ307" i="8"/>
  <c r="AP307" i="8"/>
  <c r="H307" i="8"/>
  <c r="AZ306" i="8"/>
  <c r="AY306" i="8"/>
  <c r="AX306" i="8"/>
  <c r="AW306" i="8"/>
  <c r="AV306" i="8"/>
  <c r="AU306" i="8"/>
  <c r="AQ306" i="8"/>
  <c r="AP306" i="8"/>
  <c r="H306" i="8"/>
  <c r="BI305" i="8"/>
  <c r="BH305" i="8"/>
  <c r="BG305" i="8"/>
  <c r="BF305" i="8"/>
  <c r="BE305" i="8"/>
  <c r="BD305" i="8"/>
  <c r="BC305" i="8"/>
  <c r="BB305" i="8"/>
  <c r="BA305" i="8"/>
  <c r="AZ305" i="8"/>
  <c r="AY305" i="8"/>
  <c r="AX305" i="8"/>
  <c r="AW305" i="8"/>
  <c r="AV305" i="8"/>
  <c r="AU305" i="8"/>
  <c r="AT305" i="8"/>
  <c r="AS305" i="8"/>
  <c r="AR305" i="8"/>
  <c r="AQ305" i="8"/>
  <c r="AP305" i="8"/>
  <c r="H305" i="8"/>
  <c r="BI304" i="8"/>
  <c r="BH304" i="8"/>
  <c r="BG304" i="8"/>
  <c r="BF304" i="8"/>
  <c r="BE304" i="8"/>
  <c r="BD304" i="8"/>
  <c r="BC304" i="8"/>
  <c r="BB304" i="8"/>
  <c r="BA304" i="8"/>
  <c r="AZ304" i="8"/>
  <c r="AY304" i="8"/>
  <c r="AX304" i="8"/>
  <c r="AW304" i="8"/>
  <c r="AV304" i="8"/>
  <c r="AU304" i="8"/>
  <c r="AT304" i="8"/>
  <c r="AS304" i="8"/>
  <c r="AR304" i="8"/>
  <c r="AQ304" i="8"/>
  <c r="AP304" i="8"/>
  <c r="H304" i="8"/>
  <c r="BI303" i="8"/>
  <c r="BH303" i="8"/>
  <c r="BG303" i="8"/>
  <c r="BF303" i="8"/>
  <c r="BE303" i="8"/>
  <c r="BD303" i="8"/>
  <c r="BC303" i="8"/>
  <c r="BB303" i="8"/>
  <c r="BA303" i="8"/>
  <c r="AZ303" i="8"/>
  <c r="AY303" i="8"/>
  <c r="AX303" i="8"/>
  <c r="AW303" i="8"/>
  <c r="AV303" i="8"/>
  <c r="AU303" i="8"/>
  <c r="AT303" i="8"/>
  <c r="AS303" i="8"/>
  <c r="AR303" i="8"/>
  <c r="AQ303" i="8"/>
  <c r="AP303" i="8"/>
  <c r="H303" i="8"/>
  <c r="BI302" i="8"/>
  <c r="BH302" i="8"/>
  <c r="BG302" i="8"/>
  <c r="BF302" i="8"/>
  <c r="BE302" i="8"/>
  <c r="BD302" i="8"/>
  <c r="BC302" i="8"/>
  <c r="BB302" i="8"/>
  <c r="BA302" i="8"/>
  <c r="AZ302" i="8"/>
  <c r="AY302" i="8"/>
  <c r="AX302" i="8"/>
  <c r="AW302" i="8"/>
  <c r="AV302" i="8"/>
  <c r="AU302" i="8"/>
  <c r="AT302" i="8"/>
  <c r="AS302" i="8"/>
  <c r="AR302" i="8"/>
  <c r="AQ302" i="8"/>
  <c r="AP302" i="8"/>
  <c r="H302" i="8"/>
  <c r="BI301" i="8"/>
  <c r="BH301" i="8"/>
  <c r="BG301" i="8"/>
  <c r="BF301" i="8"/>
  <c r="BE301" i="8"/>
  <c r="BD301" i="8"/>
  <c r="BC301" i="8"/>
  <c r="BB301" i="8"/>
  <c r="BA301" i="8"/>
  <c r="AZ301" i="8"/>
  <c r="AY301" i="8"/>
  <c r="AX301" i="8"/>
  <c r="AW301" i="8"/>
  <c r="AV301" i="8"/>
  <c r="AU301" i="8"/>
  <c r="AT301" i="8"/>
  <c r="AS301" i="8"/>
  <c r="AR301" i="8"/>
  <c r="AQ301" i="8"/>
  <c r="AP301" i="8"/>
  <c r="H301" i="8"/>
  <c r="BI300" i="8"/>
  <c r="BH300" i="8"/>
  <c r="BG300" i="8"/>
  <c r="BF300" i="8"/>
  <c r="BE300" i="8"/>
  <c r="BD300" i="8"/>
  <c r="BC300" i="8"/>
  <c r="BB300" i="8"/>
  <c r="BA300" i="8"/>
  <c r="AZ300" i="8"/>
  <c r="AY300" i="8"/>
  <c r="AX300" i="8"/>
  <c r="AW300" i="8"/>
  <c r="AV300" i="8"/>
  <c r="AU300" i="8"/>
  <c r="AT300" i="8"/>
  <c r="AS300" i="8"/>
  <c r="AR300" i="8"/>
  <c r="AQ300" i="8"/>
  <c r="AP300" i="8"/>
  <c r="H300" i="8"/>
  <c r="BI299" i="8"/>
  <c r="BH299" i="8"/>
  <c r="BG299" i="8"/>
  <c r="BF299" i="8"/>
  <c r="BE299" i="8"/>
  <c r="BD299" i="8"/>
  <c r="BC299" i="8"/>
  <c r="BB299" i="8"/>
  <c r="BA299" i="8"/>
  <c r="AZ299" i="8"/>
  <c r="AY299" i="8"/>
  <c r="AX299" i="8"/>
  <c r="AW299" i="8"/>
  <c r="AV299" i="8"/>
  <c r="AU299" i="8"/>
  <c r="AT299" i="8"/>
  <c r="AS299" i="8"/>
  <c r="AR299" i="8"/>
  <c r="AQ299" i="8"/>
  <c r="AP299" i="8"/>
  <c r="H299" i="8"/>
  <c r="BI298" i="8"/>
  <c r="BH298" i="8"/>
  <c r="BG298" i="8"/>
  <c r="BF298" i="8"/>
  <c r="BE298" i="8"/>
  <c r="BD298" i="8"/>
  <c r="BC298" i="8"/>
  <c r="BB298" i="8"/>
  <c r="BA298" i="8"/>
  <c r="AZ298" i="8"/>
  <c r="AY298" i="8"/>
  <c r="AX298" i="8"/>
  <c r="AW298" i="8"/>
  <c r="AV298" i="8"/>
  <c r="AU298" i="8"/>
  <c r="AT298" i="8"/>
  <c r="AS298" i="8"/>
  <c r="AR298" i="8"/>
  <c r="AQ298" i="8"/>
  <c r="AP298" i="8"/>
  <c r="H298" i="8"/>
  <c r="BI297" i="8"/>
  <c r="BH297" i="8"/>
  <c r="BG297" i="8"/>
  <c r="BF297" i="8"/>
  <c r="BE297" i="8"/>
  <c r="BD297" i="8"/>
  <c r="BC297" i="8"/>
  <c r="BB297" i="8"/>
  <c r="BA297" i="8"/>
  <c r="AZ297" i="8"/>
  <c r="AY297" i="8"/>
  <c r="AX297" i="8"/>
  <c r="AW297" i="8"/>
  <c r="AV297" i="8"/>
  <c r="AU297" i="8"/>
  <c r="AT297" i="8"/>
  <c r="AS297" i="8"/>
  <c r="AR297" i="8"/>
  <c r="AQ297" i="8"/>
  <c r="AP297" i="8"/>
  <c r="H297" i="8"/>
  <c r="BI296" i="8"/>
  <c r="BH296" i="8"/>
  <c r="BG296" i="8"/>
  <c r="BF296" i="8"/>
  <c r="BE296" i="8"/>
  <c r="BD296" i="8"/>
  <c r="BC296" i="8"/>
  <c r="BB296" i="8"/>
  <c r="BA296" i="8"/>
  <c r="AZ296" i="8"/>
  <c r="AY296" i="8"/>
  <c r="AX296" i="8"/>
  <c r="AW296" i="8"/>
  <c r="AV296" i="8"/>
  <c r="AU296" i="8"/>
  <c r="AT296" i="8"/>
  <c r="AS296" i="8"/>
  <c r="AR296" i="8"/>
  <c r="AQ296" i="8"/>
  <c r="AP296" i="8"/>
  <c r="H296" i="8"/>
  <c r="BI295" i="8"/>
  <c r="BH295" i="8"/>
  <c r="BG295" i="8"/>
  <c r="BF295" i="8"/>
  <c r="BE295" i="8"/>
  <c r="BD295" i="8"/>
  <c r="BC295" i="8"/>
  <c r="BB295" i="8"/>
  <c r="BA295" i="8"/>
  <c r="AZ295" i="8"/>
  <c r="AY295" i="8"/>
  <c r="AX295" i="8"/>
  <c r="AW295" i="8"/>
  <c r="AV295" i="8"/>
  <c r="AU295" i="8"/>
  <c r="AT295" i="8"/>
  <c r="AS295" i="8"/>
  <c r="AR295" i="8"/>
  <c r="AQ295" i="8"/>
  <c r="AP295" i="8"/>
  <c r="H295" i="8"/>
  <c r="BI294" i="8"/>
  <c r="BH294" i="8"/>
  <c r="BG294" i="8"/>
  <c r="BF294" i="8"/>
  <c r="BE294" i="8"/>
  <c r="BD294" i="8"/>
  <c r="BC294" i="8"/>
  <c r="BB294" i="8"/>
  <c r="BA294" i="8"/>
  <c r="AZ294" i="8"/>
  <c r="AY294" i="8"/>
  <c r="AX294" i="8"/>
  <c r="AW294" i="8"/>
  <c r="AV294" i="8"/>
  <c r="AU294" i="8"/>
  <c r="AT294" i="8"/>
  <c r="AS294" i="8"/>
  <c r="AR294" i="8"/>
  <c r="AQ294" i="8"/>
  <c r="AP294" i="8"/>
  <c r="H294" i="8"/>
  <c r="BI293" i="8"/>
  <c r="BH293" i="8"/>
  <c r="BG293" i="8"/>
  <c r="BF293" i="8"/>
  <c r="BE293" i="8"/>
  <c r="BD293" i="8"/>
  <c r="BC293" i="8"/>
  <c r="BB293" i="8"/>
  <c r="BA293" i="8"/>
  <c r="AZ293" i="8"/>
  <c r="AY293" i="8"/>
  <c r="AX293" i="8"/>
  <c r="AW293" i="8"/>
  <c r="AV293" i="8"/>
  <c r="AU293" i="8"/>
  <c r="AT293" i="8"/>
  <c r="AS293" i="8"/>
  <c r="AR293" i="8"/>
  <c r="AQ293" i="8"/>
  <c r="AP293" i="8"/>
  <c r="H293" i="8"/>
  <c r="BI292" i="8"/>
  <c r="BH292" i="8"/>
  <c r="BG292" i="8"/>
  <c r="BF292" i="8"/>
  <c r="BE292" i="8"/>
  <c r="BD292" i="8"/>
  <c r="BC292" i="8"/>
  <c r="BB292" i="8"/>
  <c r="BA292" i="8"/>
  <c r="AZ292" i="8"/>
  <c r="AY292" i="8"/>
  <c r="AX292" i="8"/>
  <c r="AW292" i="8"/>
  <c r="AV292" i="8"/>
  <c r="AU292" i="8"/>
  <c r="AT292" i="8"/>
  <c r="AS292" i="8"/>
  <c r="AR292" i="8"/>
  <c r="AQ292" i="8"/>
  <c r="AP292" i="8"/>
  <c r="H292" i="8"/>
  <c r="BI291" i="8"/>
  <c r="BH291" i="8"/>
  <c r="BG291" i="8"/>
  <c r="BF291" i="8"/>
  <c r="BE291" i="8"/>
  <c r="BD291" i="8"/>
  <c r="BC291" i="8"/>
  <c r="BB291" i="8"/>
  <c r="BA291" i="8"/>
  <c r="AZ291" i="8"/>
  <c r="AY291" i="8"/>
  <c r="AX291" i="8"/>
  <c r="AW291" i="8"/>
  <c r="AV291" i="8"/>
  <c r="AU291" i="8"/>
  <c r="AT291" i="8"/>
  <c r="AS291" i="8"/>
  <c r="AR291" i="8"/>
  <c r="AQ291" i="8"/>
  <c r="AP291" i="8"/>
  <c r="H291" i="8"/>
  <c r="BI290" i="8"/>
  <c r="BH290" i="8"/>
  <c r="BG290" i="8"/>
  <c r="BF290" i="8"/>
  <c r="BE290" i="8"/>
  <c r="BD290" i="8"/>
  <c r="BC290" i="8"/>
  <c r="BB290" i="8"/>
  <c r="BA290" i="8"/>
  <c r="AZ290" i="8"/>
  <c r="AY290" i="8"/>
  <c r="AX290" i="8"/>
  <c r="AW290" i="8"/>
  <c r="AV290" i="8"/>
  <c r="AU290" i="8"/>
  <c r="AT290" i="8"/>
  <c r="AS290" i="8"/>
  <c r="AR290" i="8"/>
  <c r="AQ290" i="8"/>
  <c r="AP290" i="8"/>
  <c r="H290" i="8"/>
  <c r="BI289" i="8"/>
  <c r="BH289" i="8"/>
  <c r="BG289" i="8"/>
  <c r="BF289" i="8"/>
  <c r="BE289" i="8"/>
  <c r="BD289" i="8"/>
  <c r="BC289" i="8"/>
  <c r="BB289" i="8"/>
  <c r="BA289" i="8"/>
  <c r="AZ289" i="8"/>
  <c r="AY289" i="8"/>
  <c r="AX289" i="8"/>
  <c r="AW289" i="8"/>
  <c r="AV289" i="8"/>
  <c r="AU289" i="8"/>
  <c r="AT289" i="8"/>
  <c r="AS289" i="8"/>
  <c r="AR289" i="8"/>
  <c r="AQ289" i="8"/>
  <c r="AP289" i="8"/>
  <c r="H289" i="8"/>
  <c r="BI288" i="8"/>
  <c r="BH288" i="8"/>
  <c r="BG288" i="8"/>
  <c r="BF288" i="8"/>
  <c r="BE288" i="8"/>
  <c r="BD288" i="8"/>
  <c r="BC288" i="8"/>
  <c r="BB288" i="8"/>
  <c r="BA288" i="8"/>
  <c r="AZ288" i="8"/>
  <c r="AY288" i="8"/>
  <c r="AX288" i="8"/>
  <c r="AW288" i="8"/>
  <c r="AV288" i="8"/>
  <c r="AU288" i="8"/>
  <c r="AT288" i="8"/>
  <c r="AS288" i="8"/>
  <c r="AR288" i="8"/>
  <c r="AQ288" i="8"/>
  <c r="AP288" i="8"/>
  <c r="H288" i="8"/>
  <c r="AZ287" i="8"/>
  <c r="AY287" i="8"/>
  <c r="AX287" i="8"/>
  <c r="AW287" i="8"/>
  <c r="AV287" i="8"/>
  <c r="AU287" i="8"/>
  <c r="AQ287" i="8"/>
  <c r="AP287" i="8"/>
  <c r="H287" i="8"/>
  <c r="BI286" i="8"/>
  <c r="BH286" i="8"/>
  <c r="BG286" i="8"/>
  <c r="BF286" i="8"/>
  <c r="BE286" i="8"/>
  <c r="BD286" i="8"/>
  <c r="BC286" i="8"/>
  <c r="BB286" i="8"/>
  <c r="BA286" i="8"/>
  <c r="AZ286" i="8"/>
  <c r="AY286" i="8"/>
  <c r="AX286" i="8"/>
  <c r="AW286" i="8"/>
  <c r="AV286" i="8"/>
  <c r="AU286" i="8"/>
  <c r="AT286" i="8"/>
  <c r="AS286" i="8"/>
  <c r="AR286" i="8"/>
  <c r="AQ286" i="8"/>
  <c r="AP286" i="8"/>
  <c r="H286" i="8"/>
  <c r="BI285" i="8"/>
  <c r="BH285" i="8"/>
  <c r="BG285" i="8"/>
  <c r="BF285" i="8"/>
  <c r="BE285" i="8"/>
  <c r="BD285" i="8"/>
  <c r="BC285" i="8"/>
  <c r="BB285" i="8"/>
  <c r="BA285" i="8"/>
  <c r="AZ285" i="8"/>
  <c r="AY285" i="8"/>
  <c r="AX285" i="8"/>
  <c r="AW285" i="8"/>
  <c r="AV285" i="8"/>
  <c r="AU285" i="8"/>
  <c r="AT285" i="8"/>
  <c r="AS285" i="8"/>
  <c r="AR285" i="8"/>
  <c r="AQ285" i="8"/>
  <c r="AP285" i="8"/>
  <c r="H285" i="8"/>
  <c r="BI284" i="8"/>
  <c r="BH284" i="8"/>
  <c r="BG284" i="8"/>
  <c r="BF284" i="8"/>
  <c r="BE284" i="8"/>
  <c r="BD284" i="8"/>
  <c r="BC284" i="8"/>
  <c r="BB284" i="8"/>
  <c r="BA284" i="8"/>
  <c r="AZ284" i="8"/>
  <c r="AY284" i="8"/>
  <c r="AX284" i="8"/>
  <c r="AW284" i="8"/>
  <c r="AV284" i="8"/>
  <c r="AU284" i="8"/>
  <c r="AT284" i="8"/>
  <c r="AS284" i="8"/>
  <c r="AR284" i="8"/>
  <c r="AQ284" i="8"/>
  <c r="AP284" i="8"/>
  <c r="H284" i="8"/>
  <c r="BI283" i="8"/>
  <c r="BH283" i="8"/>
  <c r="BG283" i="8"/>
  <c r="BF283" i="8"/>
  <c r="BE283" i="8"/>
  <c r="BD283" i="8"/>
  <c r="BC283" i="8"/>
  <c r="BB283" i="8"/>
  <c r="BA283" i="8"/>
  <c r="AZ283" i="8"/>
  <c r="AY283" i="8"/>
  <c r="AX283" i="8"/>
  <c r="AW283" i="8"/>
  <c r="AV283" i="8"/>
  <c r="AU283" i="8"/>
  <c r="AT283" i="8"/>
  <c r="AS283" i="8"/>
  <c r="AR283" i="8"/>
  <c r="AQ283" i="8"/>
  <c r="AP283" i="8"/>
  <c r="H283" i="8"/>
  <c r="BI282" i="8"/>
  <c r="BH282" i="8"/>
  <c r="BG282" i="8"/>
  <c r="BF282" i="8"/>
  <c r="BE282" i="8"/>
  <c r="BD282" i="8"/>
  <c r="BC282" i="8"/>
  <c r="BB282" i="8"/>
  <c r="BA282" i="8"/>
  <c r="AZ282" i="8"/>
  <c r="AY282" i="8"/>
  <c r="AX282" i="8"/>
  <c r="AW282" i="8"/>
  <c r="AV282" i="8"/>
  <c r="AU282" i="8"/>
  <c r="AT282" i="8"/>
  <c r="AS282" i="8"/>
  <c r="AR282" i="8"/>
  <c r="AQ282" i="8"/>
  <c r="AP282" i="8"/>
  <c r="H282" i="8"/>
  <c r="BI281" i="8"/>
  <c r="BH281" i="8"/>
  <c r="BG281" i="8"/>
  <c r="BF281" i="8"/>
  <c r="BE281" i="8"/>
  <c r="BD281" i="8"/>
  <c r="BC281" i="8"/>
  <c r="BB281" i="8"/>
  <c r="BA281" i="8"/>
  <c r="AZ281" i="8"/>
  <c r="AY281" i="8"/>
  <c r="AX281" i="8"/>
  <c r="AW281" i="8"/>
  <c r="AV281" i="8"/>
  <c r="AU281" i="8"/>
  <c r="AT281" i="8"/>
  <c r="AS281" i="8"/>
  <c r="AR281" i="8"/>
  <c r="AQ281" i="8"/>
  <c r="AP281" i="8"/>
  <c r="H281" i="8"/>
  <c r="BI280" i="8"/>
  <c r="BH280" i="8"/>
  <c r="BG280" i="8"/>
  <c r="BF280" i="8"/>
  <c r="BE280" i="8"/>
  <c r="BD280" i="8"/>
  <c r="BC280" i="8"/>
  <c r="BB280" i="8"/>
  <c r="BA280" i="8"/>
  <c r="AZ280" i="8"/>
  <c r="AY280" i="8"/>
  <c r="AX280" i="8"/>
  <c r="AW280" i="8"/>
  <c r="AV280" i="8"/>
  <c r="AU280" i="8"/>
  <c r="AT280" i="8"/>
  <c r="AS280" i="8"/>
  <c r="AR280" i="8"/>
  <c r="AQ280" i="8"/>
  <c r="AP280" i="8"/>
  <c r="H280" i="8"/>
  <c r="BI279" i="8"/>
  <c r="BH279" i="8"/>
  <c r="BG279" i="8"/>
  <c r="BF279" i="8"/>
  <c r="BE279" i="8"/>
  <c r="BD279" i="8"/>
  <c r="BC279" i="8"/>
  <c r="BB279" i="8"/>
  <c r="BA279" i="8"/>
  <c r="AZ279" i="8"/>
  <c r="AY279" i="8"/>
  <c r="AX279" i="8"/>
  <c r="AW279" i="8"/>
  <c r="AV279" i="8"/>
  <c r="AU279" i="8"/>
  <c r="AT279" i="8"/>
  <c r="AS279" i="8"/>
  <c r="AR279" i="8"/>
  <c r="AQ279" i="8"/>
  <c r="AP279" i="8"/>
  <c r="H279" i="8"/>
  <c r="BI278" i="8"/>
  <c r="BH278" i="8"/>
  <c r="BG278" i="8"/>
  <c r="BF278" i="8"/>
  <c r="BE278" i="8"/>
  <c r="BD278" i="8"/>
  <c r="BC278" i="8"/>
  <c r="BB278" i="8"/>
  <c r="BA278" i="8"/>
  <c r="AZ278" i="8"/>
  <c r="AY278" i="8"/>
  <c r="AX278" i="8"/>
  <c r="AW278" i="8"/>
  <c r="AV278" i="8"/>
  <c r="AU278" i="8"/>
  <c r="AT278" i="8"/>
  <c r="AS278" i="8"/>
  <c r="AR278" i="8"/>
  <c r="AQ278" i="8"/>
  <c r="AP278" i="8"/>
  <c r="H278" i="8"/>
  <c r="BI277" i="8"/>
  <c r="BH277" i="8"/>
  <c r="BG277" i="8"/>
  <c r="BF277" i="8"/>
  <c r="BE277" i="8"/>
  <c r="BD277" i="8"/>
  <c r="BC277" i="8"/>
  <c r="BB277" i="8"/>
  <c r="BA277" i="8"/>
  <c r="AZ277" i="8"/>
  <c r="AY277" i="8"/>
  <c r="AX277" i="8"/>
  <c r="AW277" i="8"/>
  <c r="AV277" i="8"/>
  <c r="AU277" i="8"/>
  <c r="AT277" i="8"/>
  <c r="AS277" i="8"/>
  <c r="AR277" i="8"/>
  <c r="AQ277" i="8"/>
  <c r="AP277" i="8"/>
  <c r="H277" i="8"/>
  <c r="AZ276" i="8"/>
  <c r="AY276" i="8"/>
  <c r="AX276" i="8"/>
  <c r="AW276" i="8"/>
  <c r="AV276" i="8"/>
  <c r="AU276" i="8"/>
  <c r="AQ276" i="8"/>
  <c r="AP276" i="8"/>
  <c r="H276" i="8"/>
  <c r="BI275" i="8"/>
  <c r="BH275" i="8"/>
  <c r="BG275" i="8"/>
  <c r="BF275" i="8"/>
  <c r="BE275" i="8"/>
  <c r="BD275" i="8"/>
  <c r="BC275" i="8"/>
  <c r="BB275" i="8"/>
  <c r="BA275" i="8"/>
  <c r="AZ275" i="8"/>
  <c r="AY275" i="8"/>
  <c r="AX275" i="8"/>
  <c r="AW275" i="8"/>
  <c r="AV275" i="8"/>
  <c r="AU275" i="8"/>
  <c r="AT275" i="8"/>
  <c r="AS275" i="8"/>
  <c r="AR275" i="8"/>
  <c r="AQ275" i="8"/>
  <c r="AP275" i="8"/>
  <c r="H275" i="8"/>
  <c r="BI274" i="8"/>
  <c r="BH274" i="8"/>
  <c r="BG274" i="8"/>
  <c r="BF274" i="8"/>
  <c r="BE274" i="8"/>
  <c r="BD274" i="8"/>
  <c r="BC274" i="8"/>
  <c r="BB274" i="8"/>
  <c r="BA274" i="8"/>
  <c r="AZ274" i="8"/>
  <c r="AY274" i="8"/>
  <c r="AX274" i="8"/>
  <c r="AW274" i="8"/>
  <c r="AV274" i="8"/>
  <c r="AU274" i="8"/>
  <c r="AT274" i="8"/>
  <c r="AS274" i="8"/>
  <c r="AR274" i="8"/>
  <c r="AQ274" i="8"/>
  <c r="AP274" i="8"/>
  <c r="H274" i="8"/>
  <c r="BI273" i="8"/>
  <c r="BH273" i="8"/>
  <c r="BG273" i="8"/>
  <c r="BF273" i="8"/>
  <c r="BE273" i="8"/>
  <c r="BD273" i="8"/>
  <c r="BC273" i="8"/>
  <c r="BB273" i="8"/>
  <c r="BA273" i="8"/>
  <c r="AZ273" i="8"/>
  <c r="AY273" i="8"/>
  <c r="AX273" i="8"/>
  <c r="AW273" i="8"/>
  <c r="AV273" i="8"/>
  <c r="AU273" i="8"/>
  <c r="AT273" i="8"/>
  <c r="AS273" i="8"/>
  <c r="AQ273" i="8"/>
  <c r="AP273" i="8"/>
  <c r="H273" i="8"/>
  <c r="AZ272" i="8"/>
  <c r="AY272" i="8"/>
  <c r="AX272" i="8"/>
  <c r="AW272" i="8"/>
  <c r="AV272" i="8"/>
  <c r="AU272" i="8"/>
  <c r="AQ272" i="8"/>
  <c r="AP272" i="8"/>
  <c r="H272" i="8"/>
  <c r="AZ271" i="8"/>
  <c r="AY271" i="8"/>
  <c r="AX271" i="8"/>
  <c r="AW271" i="8"/>
  <c r="AV271" i="8"/>
  <c r="AU271" i="8"/>
  <c r="AQ271" i="8"/>
  <c r="AP271" i="8"/>
  <c r="H271" i="8"/>
  <c r="AZ270" i="8"/>
  <c r="AY270" i="8"/>
  <c r="AX270" i="8"/>
  <c r="AW270" i="8"/>
  <c r="AV270" i="8"/>
  <c r="AU270" i="8"/>
  <c r="AQ270" i="8"/>
  <c r="AP270" i="8"/>
  <c r="H270" i="8"/>
  <c r="AZ269" i="8"/>
  <c r="AY269" i="8"/>
  <c r="AX269" i="8"/>
  <c r="AW269" i="8"/>
  <c r="AV269" i="8"/>
  <c r="AU269" i="8"/>
  <c r="AQ269" i="8"/>
  <c r="AP269" i="8"/>
  <c r="H269" i="8"/>
  <c r="AZ268" i="8"/>
  <c r="AY268" i="8"/>
  <c r="AX268" i="8"/>
  <c r="AW268" i="8"/>
  <c r="AV268" i="8"/>
  <c r="AU268" i="8"/>
  <c r="AQ268" i="8"/>
  <c r="AP268" i="8"/>
  <c r="H268" i="8"/>
  <c r="AZ267" i="8"/>
  <c r="AY267" i="8"/>
  <c r="AX267" i="8"/>
  <c r="AW267" i="8"/>
  <c r="AV267" i="8"/>
  <c r="AU267" i="8"/>
  <c r="AQ267" i="8"/>
  <c r="AP267" i="8"/>
  <c r="H267" i="8"/>
  <c r="AZ266" i="8"/>
  <c r="AY266" i="8"/>
  <c r="AX266" i="8"/>
  <c r="AW266" i="8"/>
  <c r="AV266" i="8"/>
  <c r="AU266" i="8"/>
  <c r="AQ266" i="8"/>
  <c r="AP266" i="8"/>
  <c r="H266" i="8"/>
  <c r="AZ265" i="8"/>
  <c r="AY265" i="8"/>
  <c r="AX265" i="8"/>
  <c r="AW265" i="8"/>
  <c r="AV265" i="8"/>
  <c r="AU265" i="8"/>
  <c r="AQ265" i="8"/>
  <c r="AP265" i="8"/>
  <c r="H265" i="8"/>
  <c r="AZ264" i="8"/>
  <c r="AY264" i="8"/>
  <c r="AX264" i="8"/>
  <c r="AW264" i="8"/>
  <c r="AV264" i="8"/>
  <c r="AU264" i="8"/>
  <c r="AQ264" i="8"/>
  <c r="AP264" i="8"/>
  <c r="H264" i="8"/>
  <c r="AZ263" i="8"/>
  <c r="AY263" i="8"/>
  <c r="AX263" i="8"/>
  <c r="AW263" i="8"/>
  <c r="AV263" i="8"/>
  <c r="AU263" i="8"/>
  <c r="AQ263" i="8"/>
  <c r="AP263" i="8"/>
  <c r="H263" i="8"/>
  <c r="AZ262" i="8"/>
  <c r="AY262" i="8"/>
  <c r="AX262" i="8"/>
  <c r="AW262" i="8"/>
  <c r="AV262" i="8"/>
  <c r="AU262" i="8"/>
  <c r="AQ262" i="8"/>
  <c r="AP262" i="8"/>
  <c r="H262" i="8"/>
  <c r="AZ261" i="8"/>
  <c r="AY261" i="8"/>
  <c r="AX261" i="8"/>
  <c r="AW261" i="8"/>
  <c r="AV261" i="8"/>
  <c r="AU261" i="8"/>
  <c r="AQ261" i="8"/>
  <c r="AP261" i="8"/>
  <c r="H261" i="8"/>
  <c r="AZ260" i="8"/>
  <c r="AY260" i="8"/>
  <c r="AX260" i="8"/>
  <c r="AW260" i="8"/>
  <c r="AV260" i="8"/>
  <c r="AU260" i="8"/>
  <c r="AQ260" i="8"/>
  <c r="AP260" i="8"/>
  <c r="H260" i="8"/>
  <c r="AZ259" i="8"/>
  <c r="AY259" i="8"/>
  <c r="AX259" i="8"/>
  <c r="AW259" i="8"/>
  <c r="AV259" i="8"/>
  <c r="AU259" i="8"/>
  <c r="AQ259" i="8"/>
  <c r="AP259" i="8"/>
  <c r="H259" i="8"/>
  <c r="AZ258" i="8"/>
  <c r="AY258" i="8"/>
  <c r="AX258" i="8"/>
  <c r="AW258" i="8"/>
  <c r="AV258" i="8"/>
  <c r="AU258" i="8"/>
  <c r="AQ258" i="8"/>
  <c r="AP258" i="8"/>
  <c r="H258" i="8"/>
  <c r="AZ257" i="8"/>
  <c r="AY257" i="8"/>
  <c r="AX257" i="8"/>
  <c r="AW257" i="8"/>
  <c r="AV257" i="8"/>
  <c r="AU257" i="8"/>
  <c r="AQ257" i="8"/>
  <c r="AP257" i="8"/>
  <c r="H257" i="8"/>
  <c r="AZ256" i="8"/>
  <c r="AY256" i="8"/>
  <c r="AX256" i="8"/>
  <c r="AW256" i="8"/>
  <c r="AV256" i="8"/>
  <c r="AU256" i="8"/>
  <c r="AQ256" i="8"/>
  <c r="AP256" i="8"/>
  <c r="H256" i="8"/>
  <c r="AZ255" i="8"/>
  <c r="AY255" i="8"/>
  <c r="AX255" i="8"/>
  <c r="AW255" i="8"/>
  <c r="AV255" i="8"/>
  <c r="AU255" i="8"/>
  <c r="AQ255" i="8"/>
  <c r="AP255" i="8"/>
  <c r="H255" i="8"/>
  <c r="AZ254" i="8"/>
  <c r="AY254" i="8"/>
  <c r="AX254" i="8"/>
  <c r="AW254" i="8"/>
  <c r="AV254" i="8"/>
  <c r="AU254" i="8"/>
  <c r="AQ254" i="8"/>
  <c r="AP254" i="8"/>
  <c r="H254" i="8"/>
  <c r="AZ253" i="8"/>
  <c r="AY253" i="8"/>
  <c r="AX253" i="8"/>
  <c r="AW253" i="8"/>
  <c r="AV253" i="8"/>
  <c r="AU253" i="8"/>
  <c r="AQ253" i="8"/>
  <c r="AP253" i="8"/>
  <c r="H253" i="8"/>
  <c r="AZ252" i="8"/>
  <c r="AY252" i="8"/>
  <c r="AX252" i="8"/>
  <c r="AW252" i="8"/>
  <c r="AV252" i="8"/>
  <c r="AU252" i="8"/>
  <c r="AQ252" i="8"/>
  <c r="AP252" i="8"/>
  <c r="H252" i="8"/>
  <c r="AZ251" i="8"/>
  <c r="AY251" i="8"/>
  <c r="AX251" i="8"/>
  <c r="AW251" i="8"/>
  <c r="AV251" i="8"/>
  <c r="AU251" i="8"/>
  <c r="AQ251" i="8"/>
  <c r="AP251" i="8"/>
  <c r="H251" i="8"/>
  <c r="AZ250" i="8"/>
  <c r="AY250" i="8"/>
  <c r="AX250" i="8"/>
  <c r="AW250" i="8"/>
  <c r="AV250" i="8"/>
  <c r="AU250" i="8"/>
  <c r="AQ250" i="8"/>
  <c r="AP250" i="8"/>
  <c r="H250" i="8"/>
  <c r="AZ249" i="8"/>
  <c r="AY249" i="8"/>
  <c r="AX249" i="8"/>
  <c r="AW249" i="8"/>
  <c r="AV249" i="8"/>
  <c r="AU249" i="8"/>
  <c r="AQ249" i="8"/>
  <c r="AP249" i="8"/>
  <c r="H249" i="8"/>
  <c r="AZ248" i="8"/>
  <c r="AY248" i="8"/>
  <c r="AX248" i="8"/>
  <c r="AW248" i="8"/>
  <c r="AV248" i="8"/>
  <c r="AU248" i="8"/>
  <c r="AQ248" i="8"/>
  <c r="AP248" i="8"/>
  <c r="H248" i="8"/>
  <c r="AZ247" i="8"/>
  <c r="AY247" i="8"/>
  <c r="AX247" i="8"/>
  <c r="AW247" i="8"/>
  <c r="AV247" i="8"/>
  <c r="AU247" i="8"/>
  <c r="AQ247" i="8"/>
  <c r="AP247" i="8"/>
  <c r="H247" i="8"/>
  <c r="AZ246" i="8"/>
  <c r="AY246" i="8"/>
  <c r="AX246" i="8"/>
  <c r="AW246" i="8"/>
  <c r="AV246" i="8"/>
  <c r="AU246" i="8"/>
  <c r="AQ246" i="8"/>
  <c r="AP246" i="8"/>
  <c r="H246" i="8"/>
  <c r="AZ245" i="8"/>
  <c r="AY245" i="8"/>
  <c r="AX245" i="8"/>
  <c r="AW245" i="8"/>
  <c r="AV245" i="8"/>
  <c r="AU245" i="8"/>
  <c r="AQ245" i="8"/>
  <c r="AP245" i="8"/>
  <c r="H245" i="8"/>
  <c r="AZ244" i="8"/>
  <c r="AY244" i="8"/>
  <c r="AX244" i="8"/>
  <c r="AW244" i="8"/>
  <c r="AV244" i="8"/>
  <c r="AU244" i="8"/>
  <c r="AQ244" i="8"/>
  <c r="AP244" i="8"/>
  <c r="H244" i="8"/>
  <c r="AZ243" i="8"/>
  <c r="AY243" i="8"/>
  <c r="AX243" i="8"/>
  <c r="AW243" i="8"/>
  <c r="AV243" i="8"/>
  <c r="AU243" i="8"/>
  <c r="AQ243" i="8"/>
  <c r="AP243" i="8"/>
  <c r="H243" i="8"/>
  <c r="AZ242" i="8"/>
  <c r="AY242" i="8"/>
  <c r="AX242" i="8"/>
  <c r="AW242" i="8"/>
  <c r="AV242" i="8"/>
  <c r="AU242" i="8"/>
  <c r="AQ242" i="8"/>
  <c r="AP242" i="8"/>
  <c r="H242" i="8"/>
  <c r="AZ241" i="8"/>
  <c r="AY241" i="8"/>
  <c r="AX241" i="8"/>
  <c r="AW241" i="8"/>
  <c r="AV241" i="8"/>
  <c r="AU241" i="8"/>
  <c r="AQ241" i="8"/>
  <c r="AP241" i="8"/>
  <c r="H241" i="8"/>
  <c r="AZ240" i="8"/>
  <c r="AY240" i="8"/>
  <c r="AX240" i="8"/>
  <c r="AW240" i="8"/>
  <c r="AV240" i="8"/>
  <c r="AU240" i="8"/>
  <c r="AQ240" i="8"/>
  <c r="AP240" i="8"/>
  <c r="H240" i="8"/>
  <c r="AZ239" i="8"/>
  <c r="AY239" i="8"/>
  <c r="AX239" i="8"/>
  <c r="AW239" i="8"/>
  <c r="AV239" i="8"/>
  <c r="AU239" i="8"/>
  <c r="AQ239" i="8"/>
  <c r="AP239" i="8"/>
  <c r="H239" i="8"/>
  <c r="AZ238" i="8"/>
  <c r="AY238" i="8"/>
  <c r="AX238" i="8"/>
  <c r="AW238" i="8"/>
  <c r="AV238" i="8"/>
  <c r="AU238" i="8"/>
  <c r="AQ238" i="8"/>
  <c r="AP238" i="8"/>
  <c r="H238" i="8"/>
  <c r="AZ237" i="8"/>
  <c r="AY237" i="8"/>
  <c r="AX237" i="8"/>
  <c r="AW237" i="8"/>
  <c r="AV237" i="8"/>
  <c r="AU237" i="8"/>
  <c r="AQ237" i="8"/>
  <c r="AP237" i="8"/>
  <c r="H237" i="8"/>
  <c r="AZ236" i="8"/>
  <c r="AY236" i="8"/>
  <c r="AX236" i="8"/>
  <c r="AW236" i="8"/>
  <c r="AV236" i="8"/>
  <c r="AU236" i="8"/>
  <c r="AQ236" i="8"/>
  <c r="AP236" i="8"/>
  <c r="AZ235" i="8"/>
  <c r="AY235" i="8"/>
  <c r="AX235" i="8"/>
  <c r="AW235" i="8"/>
  <c r="AV235" i="8"/>
  <c r="AU235" i="8"/>
  <c r="AQ235" i="8"/>
  <c r="AP235" i="8"/>
  <c r="AZ234" i="8"/>
  <c r="AY234" i="8"/>
  <c r="AX234" i="8"/>
  <c r="AW234" i="8"/>
  <c r="AV234" i="8"/>
  <c r="AU234" i="8"/>
  <c r="AQ234" i="8"/>
  <c r="AP234" i="8"/>
  <c r="H234" i="8"/>
  <c r="AZ233" i="8"/>
  <c r="AY233" i="8"/>
  <c r="AX233" i="8"/>
  <c r="AW233" i="8"/>
  <c r="AV233" i="8"/>
  <c r="AU233" i="8"/>
  <c r="AQ233" i="8"/>
  <c r="AP233" i="8"/>
  <c r="H233" i="8"/>
  <c r="AZ232" i="8"/>
  <c r="AY232" i="8"/>
  <c r="AX232" i="8"/>
  <c r="AW232" i="8"/>
  <c r="AV232" i="8"/>
  <c r="AU232" i="8"/>
  <c r="AQ232" i="8"/>
  <c r="AP232" i="8"/>
  <c r="H232" i="8"/>
  <c r="AZ231" i="8"/>
  <c r="AY231" i="8"/>
  <c r="AX231" i="8"/>
  <c r="AW231" i="8"/>
  <c r="AV231" i="8"/>
  <c r="AU231" i="8"/>
  <c r="AQ231" i="8"/>
  <c r="AP231" i="8"/>
  <c r="H231" i="8"/>
  <c r="AZ230" i="8"/>
  <c r="AY230" i="8"/>
  <c r="AX230" i="8"/>
  <c r="AW230" i="8"/>
  <c r="AV230" i="8"/>
  <c r="AU230" i="8"/>
  <c r="AQ230" i="8"/>
  <c r="AP230" i="8"/>
  <c r="H230" i="8"/>
  <c r="AZ229" i="8"/>
  <c r="AY229" i="8"/>
  <c r="AX229" i="8"/>
  <c r="AW229" i="8"/>
  <c r="AV229" i="8"/>
  <c r="AU229" i="8"/>
  <c r="AQ229" i="8"/>
  <c r="AP229" i="8"/>
  <c r="AZ228" i="8"/>
  <c r="AY228" i="8"/>
  <c r="AX228" i="8"/>
  <c r="AW228" i="8"/>
  <c r="AV228" i="8"/>
  <c r="AU228" i="8"/>
  <c r="AQ228" i="8"/>
  <c r="AP228" i="8"/>
  <c r="H228" i="8"/>
  <c r="AZ227" i="8"/>
  <c r="AY227" i="8"/>
  <c r="AX227" i="8"/>
  <c r="AW227" i="8"/>
  <c r="AV227" i="8"/>
  <c r="AU227" i="8"/>
  <c r="AQ227" i="8"/>
  <c r="AP227" i="8"/>
  <c r="H227" i="8"/>
  <c r="AZ226" i="8"/>
  <c r="AY226" i="8"/>
  <c r="AX226" i="8"/>
  <c r="AW226" i="8"/>
  <c r="AV226" i="8"/>
  <c r="AU226" i="8"/>
  <c r="AQ226" i="8"/>
  <c r="AP226" i="8"/>
  <c r="H226" i="8"/>
  <c r="AZ225" i="8"/>
  <c r="AY225" i="8"/>
  <c r="AX225" i="8"/>
  <c r="AW225" i="8"/>
  <c r="AV225" i="8"/>
  <c r="AU225" i="8"/>
  <c r="AQ225" i="8"/>
  <c r="AP225" i="8"/>
  <c r="H225" i="8"/>
  <c r="AZ224" i="8"/>
  <c r="AY224" i="8"/>
  <c r="AX224" i="8"/>
  <c r="AW224" i="8"/>
  <c r="AV224" i="8"/>
  <c r="AU224" i="8"/>
  <c r="AQ224" i="8"/>
  <c r="AP224" i="8"/>
  <c r="H224" i="8"/>
  <c r="AZ223" i="8"/>
  <c r="AY223" i="8"/>
  <c r="AX223" i="8"/>
  <c r="AW223" i="8"/>
  <c r="AV223" i="8"/>
  <c r="AU223" i="8"/>
  <c r="AQ223" i="8"/>
  <c r="AP223" i="8"/>
  <c r="H223" i="8"/>
  <c r="AZ222" i="8"/>
  <c r="AY222" i="8"/>
  <c r="AX222" i="8"/>
  <c r="AW222" i="8"/>
  <c r="AV222" i="8"/>
  <c r="AU222" i="8"/>
  <c r="AQ222" i="8"/>
  <c r="AP222" i="8"/>
  <c r="H222" i="8"/>
  <c r="AZ221" i="8"/>
  <c r="AY221" i="8"/>
  <c r="AX221" i="8"/>
  <c r="AW221" i="8"/>
  <c r="AV221" i="8"/>
  <c r="AU221" i="8"/>
  <c r="AQ221" i="8"/>
  <c r="AP221" i="8"/>
  <c r="H221" i="8"/>
  <c r="AZ220" i="8"/>
  <c r="AY220" i="8"/>
  <c r="AX220" i="8"/>
  <c r="AW220" i="8"/>
  <c r="AV220" i="8"/>
  <c r="AU220" i="8"/>
  <c r="AQ220" i="8"/>
  <c r="AP220" i="8"/>
  <c r="H220" i="8"/>
  <c r="AZ219" i="8"/>
  <c r="AY219" i="8"/>
  <c r="AX219" i="8"/>
  <c r="AW219" i="8"/>
  <c r="AV219" i="8"/>
  <c r="AU219" i="8"/>
  <c r="AQ219" i="8"/>
  <c r="AP219" i="8"/>
  <c r="H219" i="8"/>
  <c r="AZ218" i="8"/>
  <c r="AY218" i="8"/>
  <c r="AX218" i="8"/>
  <c r="AW218" i="8"/>
  <c r="AV218" i="8"/>
  <c r="AU218" i="8"/>
  <c r="AQ218" i="8"/>
  <c r="AP218" i="8"/>
  <c r="H218" i="8"/>
  <c r="AZ217" i="8"/>
  <c r="AY217" i="8"/>
  <c r="AX217" i="8"/>
  <c r="AW217" i="8"/>
  <c r="AV217" i="8"/>
  <c r="AU217" i="8"/>
  <c r="AQ217" i="8"/>
  <c r="AP217" i="8"/>
  <c r="H217" i="8"/>
  <c r="AZ216" i="8"/>
  <c r="AY216" i="8"/>
  <c r="AX216" i="8"/>
  <c r="AW216" i="8"/>
  <c r="AV216" i="8"/>
  <c r="AU216" i="8"/>
  <c r="AQ216" i="8"/>
  <c r="AP216" i="8"/>
  <c r="H216" i="8"/>
  <c r="AZ215" i="8"/>
  <c r="AY215" i="8"/>
  <c r="AX215" i="8"/>
  <c r="AW215" i="8"/>
  <c r="AV215" i="8"/>
  <c r="AU215" i="8"/>
  <c r="AQ215" i="8"/>
  <c r="AP215" i="8"/>
  <c r="H215" i="8"/>
  <c r="AZ214" i="8"/>
  <c r="AY214" i="8"/>
  <c r="AX214" i="8"/>
  <c r="AW214" i="8"/>
  <c r="AV214" i="8"/>
  <c r="AU214" i="8"/>
  <c r="AQ214" i="8"/>
  <c r="AP214" i="8"/>
  <c r="H214" i="8"/>
  <c r="AZ213" i="8"/>
  <c r="AY213" i="8"/>
  <c r="AX213" i="8"/>
  <c r="AW213" i="8"/>
  <c r="AV213" i="8"/>
  <c r="AU213" i="8"/>
  <c r="AQ213" i="8"/>
  <c r="AP213" i="8"/>
  <c r="H213" i="8"/>
  <c r="AZ212" i="8"/>
  <c r="AY212" i="8"/>
  <c r="AX212" i="8"/>
  <c r="AW212" i="8"/>
  <c r="AV212" i="8"/>
  <c r="AU212" i="8"/>
  <c r="AQ212" i="8"/>
  <c r="AP212" i="8"/>
  <c r="H212" i="8"/>
  <c r="AZ211" i="8"/>
  <c r="AY211" i="8"/>
  <c r="AX211" i="8"/>
  <c r="AW211" i="8"/>
  <c r="AV211" i="8"/>
  <c r="AU211" i="8"/>
  <c r="AQ211" i="8"/>
  <c r="AP211" i="8"/>
  <c r="H211" i="8"/>
  <c r="AZ210" i="8"/>
  <c r="AY210" i="8"/>
  <c r="AX210" i="8"/>
  <c r="AW210" i="8"/>
  <c r="AV210" i="8"/>
  <c r="AU210" i="8"/>
  <c r="AQ210" i="8"/>
  <c r="AP210" i="8"/>
  <c r="H210" i="8"/>
  <c r="AZ209" i="8"/>
  <c r="AY209" i="8"/>
  <c r="AX209" i="8"/>
  <c r="AW209" i="8"/>
  <c r="AV209" i="8"/>
  <c r="AU209" i="8"/>
  <c r="AQ209" i="8"/>
  <c r="AP209" i="8"/>
  <c r="H209" i="8"/>
  <c r="AZ208" i="8"/>
  <c r="AY208" i="8"/>
  <c r="AX208" i="8"/>
  <c r="AW208" i="8"/>
  <c r="AV208" i="8"/>
  <c r="AU208" i="8"/>
  <c r="AQ208" i="8"/>
  <c r="AP208" i="8"/>
  <c r="H208" i="8"/>
  <c r="AZ207" i="8"/>
  <c r="AY207" i="8"/>
  <c r="AX207" i="8"/>
  <c r="AW207" i="8"/>
  <c r="AV207" i="8"/>
  <c r="AU207" i="8"/>
  <c r="AQ207" i="8"/>
  <c r="AP207" i="8"/>
  <c r="H207" i="8"/>
  <c r="AZ206" i="8"/>
  <c r="AY206" i="8"/>
  <c r="AX206" i="8"/>
  <c r="AW206" i="8"/>
  <c r="AV206" i="8"/>
  <c r="AU206" i="8"/>
  <c r="AQ206" i="8"/>
  <c r="AP206" i="8"/>
  <c r="H206" i="8"/>
  <c r="AZ205" i="8"/>
  <c r="AY205" i="8"/>
  <c r="AX205" i="8"/>
  <c r="AW205" i="8"/>
  <c r="AV205" i="8"/>
  <c r="AU205" i="8"/>
  <c r="AQ205" i="8"/>
  <c r="AP205" i="8"/>
  <c r="H205" i="8"/>
  <c r="AZ204" i="8"/>
  <c r="AY204" i="8"/>
  <c r="AX204" i="8"/>
  <c r="AW204" i="8"/>
  <c r="AV204" i="8"/>
  <c r="AU204" i="8"/>
  <c r="AQ204" i="8"/>
  <c r="AP204" i="8"/>
  <c r="H204" i="8"/>
  <c r="AZ203" i="8"/>
  <c r="AY203" i="8"/>
  <c r="AX203" i="8"/>
  <c r="AW203" i="8"/>
  <c r="AV203" i="8"/>
  <c r="AU203" i="8"/>
  <c r="AQ203" i="8"/>
  <c r="AP203" i="8"/>
  <c r="H203" i="8"/>
  <c r="AZ202" i="8"/>
  <c r="AY202" i="8"/>
  <c r="AX202" i="8"/>
  <c r="AW202" i="8"/>
  <c r="AV202" i="8"/>
  <c r="AU202" i="8"/>
  <c r="AQ202" i="8"/>
  <c r="AP202" i="8"/>
  <c r="H202" i="8"/>
  <c r="AZ201" i="8"/>
  <c r="AY201" i="8"/>
  <c r="AX201" i="8"/>
  <c r="AW201" i="8"/>
  <c r="AV201" i="8"/>
  <c r="AU201" i="8"/>
  <c r="AQ201" i="8"/>
  <c r="AP201" i="8"/>
  <c r="H201" i="8"/>
  <c r="AZ200" i="8"/>
  <c r="AY200" i="8"/>
  <c r="AX200" i="8"/>
  <c r="AW200" i="8"/>
  <c r="AV200" i="8"/>
  <c r="AU200" i="8"/>
  <c r="AQ200" i="8"/>
  <c r="AP200" i="8"/>
  <c r="H200" i="8"/>
  <c r="AZ199" i="8"/>
  <c r="AY199" i="8"/>
  <c r="AX199" i="8"/>
  <c r="AW199" i="8"/>
  <c r="AV199" i="8"/>
  <c r="AU199" i="8"/>
  <c r="AQ199" i="8"/>
  <c r="AP199" i="8"/>
  <c r="H199" i="8"/>
  <c r="AZ198" i="8"/>
  <c r="AY198" i="8"/>
  <c r="AX198" i="8"/>
  <c r="AW198" i="8"/>
  <c r="AV198" i="8"/>
  <c r="AU198" i="8"/>
  <c r="AQ198" i="8"/>
  <c r="AP198" i="8"/>
  <c r="H198" i="8"/>
  <c r="AZ197" i="8"/>
  <c r="AY197" i="8"/>
  <c r="AX197" i="8"/>
  <c r="AW197" i="8"/>
  <c r="AV197" i="8"/>
  <c r="AU197" i="8"/>
  <c r="AQ197" i="8"/>
  <c r="AP197" i="8"/>
  <c r="H197" i="8"/>
  <c r="AZ196" i="8"/>
  <c r="AY196" i="8"/>
  <c r="AX196" i="8"/>
  <c r="AW196" i="8"/>
  <c r="AV196" i="8"/>
  <c r="AU196" i="8"/>
  <c r="AQ196" i="8"/>
  <c r="AP196" i="8"/>
  <c r="H196" i="8"/>
  <c r="AZ195" i="8"/>
  <c r="AY195" i="8"/>
  <c r="AX195" i="8"/>
  <c r="AW195" i="8"/>
  <c r="AV195" i="8"/>
  <c r="AU195" i="8"/>
  <c r="AQ195" i="8"/>
  <c r="AP195" i="8"/>
  <c r="H195" i="8"/>
  <c r="AZ194" i="8"/>
  <c r="AY194" i="8"/>
  <c r="AX194" i="8"/>
  <c r="AW194" i="8"/>
  <c r="AV194" i="8"/>
  <c r="AU194" i="8"/>
  <c r="AQ194" i="8"/>
  <c r="AP194" i="8"/>
  <c r="H194" i="8"/>
  <c r="AZ193" i="8"/>
  <c r="AY193" i="8"/>
  <c r="AX193" i="8"/>
  <c r="AW193" i="8"/>
  <c r="AV193" i="8"/>
  <c r="AU193" i="8"/>
  <c r="AQ193" i="8"/>
  <c r="AP193" i="8"/>
  <c r="H193" i="8"/>
  <c r="AZ192" i="8"/>
  <c r="AY192" i="8"/>
  <c r="AX192" i="8"/>
  <c r="AW192" i="8"/>
  <c r="AV192" i="8"/>
  <c r="AU192" i="8"/>
  <c r="AQ192" i="8"/>
  <c r="AP192" i="8"/>
  <c r="H192" i="8"/>
  <c r="AZ191" i="8"/>
  <c r="AY191" i="8"/>
  <c r="AX191" i="8"/>
  <c r="AW191" i="8"/>
  <c r="AV191" i="8"/>
  <c r="AU191" i="8"/>
  <c r="AQ191" i="8"/>
  <c r="AP191" i="8"/>
  <c r="H191" i="8"/>
  <c r="AZ190" i="8"/>
  <c r="AY190" i="8"/>
  <c r="AX190" i="8"/>
  <c r="AW190" i="8"/>
  <c r="AV190" i="8"/>
  <c r="AU190" i="8"/>
  <c r="AQ190" i="8"/>
  <c r="AP190" i="8"/>
  <c r="H190" i="8"/>
  <c r="AZ189" i="8"/>
  <c r="AY189" i="8"/>
  <c r="AX189" i="8"/>
  <c r="AW189" i="8"/>
  <c r="AV189" i="8"/>
  <c r="AU189" i="8"/>
  <c r="AQ189" i="8"/>
  <c r="AP189" i="8"/>
  <c r="H189" i="8"/>
  <c r="AZ188" i="8"/>
  <c r="AY188" i="8"/>
  <c r="AX188" i="8"/>
  <c r="AW188" i="8"/>
  <c r="AV188" i="8"/>
  <c r="AU188" i="8"/>
  <c r="AQ188" i="8"/>
  <c r="AP188" i="8"/>
  <c r="H188" i="8"/>
  <c r="AZ187" i="8"/>
  <c r="AY187" i="8"/>
  <c r="AX187" i="8"/>
  <c r="AW187" i="8"/>
  <c r="AV187" i="8"/>
  <c r="AU187" i="8"/>
  <c r="AQ187" i="8"/>
  <c r="AP187" i="8"/>
  <c r="H187" i="8"/>
  <c r="AZ186" i="8"/>
  <c r="AY186" i="8"/>
  <c r="AX186" i="8"/>
  <c r="AW186" i="8"/>
  <c r="AV186" i="8"/>
  <c r="AU186" i="8"/>
  <c r="AQ186" i="8"/>
  <c r="AP186" i="8"/>
  <c r="H186" i="8"/>
  <c r="AZ185" i="8"/>
  <c r="AY185" i="8"/>
  <c r="AX185" i="8"/>
  <c r="AW185" i="8"/>
  <c r="AV185" i="8"/>
  <c r="AU185" i="8"/>
  <c r="AQ185" i="8"/>
  <c r="AP185" i="8"/>
  <c r="H185" i="8"/>
  <c r="AZ184" i="8"/>
  <c r="AY184" i="8"/>
  <c r="AX184" i="8"/>
  <c r="AW184" i="8"/>
  <c r="AV184" i="8"/>
  <c r="AU184" i="8"/>
  <c r="AQ184" i="8"/>
  <c r="AP184" i="8"/>
  <c r="H184" i="8"/>
  <c r="AZ183" i="8"/>
  <c r="AY183" i="8"/>
  <c r="AX183" i="8"/>
  <c r="AW183" i="8"/>
  <c r="AV183" i="8"/>
  <c r="AU183" i="8"/>
  <c r="AQ183" i="8"/>
  <c r="AP183" i="8"/>
  <c r="H183" i="8"/>
  <c r="AZ182" i="8"/>
  <c r="AY182" i="8"/>
  <c r="AX182" i="8"/>
  <c r="AW182" i="8"/>
  <c r="AV182" i="8"/>
  <c r="AU182" i="8"/>
  <c r="AQ182" i="8"/>
  <c r="AP182" i="8"/>
  <c r="H182" i="8"/>
  <c r="AZ181" i="8"/>
  <c r="AY181" i="8"/>
  <c r="AX181" i="8"/>
  <c r="AW181" i="8"/>
  <c r="AV181" i="8"/>
  <c r="AU181" i="8"/>
  <c r="AQ181" i="8"/>
  <c r="AP181" i="8"/>
  <c r="H181" i="8"/>
  <c r="AZ180" i="8"/>
  <c r="AY180" i="8"/>
  <c r="AX180" i="8"/>
  <c r="AW180" i="8"/>
  <c r="AV180" i="8"/>
  <c r="AU180" i="8"/>
  <c r="AQ180" i="8"/>
  <c r="AP180" i="8"/>
  <c r="H180" i="8"/>
  <c r="AZ179" i="8"/>
  <c r="AY179" i="8"/>
  <c r="AX179" i="8"/>
  <c r="AW179" i="8"/>
  <c r="AV179" i="8"/>
  <c r="AU179" i="8"/>
  <c r="AQ179" i="8"/>
  <c r="AP179" i="8"/>
  <c r="H179" i="8"/>
  <c r="AZ178" i="8"/>
  <c r="AY178" i="8"/>
  <c r="AX178" i="8"/>
  <c r="AW178" i="8"/>
  <c r="AV178" i="8"/>
  <c r="AU178" i="8"/>
  <c r="AQ178" i="8"/>
  <c r="AP178" i="8"/>
  <c r="H178" i="8"/>
  <c r="AZ177" i="8"/>
  <c r="AY177" i="8"/>
  <c r="AX177" i="8"/>
  <c r="AW177" i="8"/>
  <c r="AV177" i="8"/>
  <c r="AU177" i="8"/>
  <c r="AQ177" i="8"/>
  <c r="AP177" i="8"/>
  <c r="H177" i="8"/>
  <c r="AZ176" i="8"/>
  <c r="AY176" i="8"/>
  <c r="AX176" i="8"/>
  <c r="AW176" i="8"/>
  <c r="AV176" i="8"/>
  <c r="AU176" i="8"/>
  <c r="AQ176" i="8"/>
  <c r="AP176" i="8"/>
  <c r="H176" i="8"/>
  <c r="AZ175" i="8"/>
  <c r="AY175" i="8"/>
  <c r="AX175" i="8"/>
  <c r="AW175" i="8"/>
  <c r="AV175" i="8"/>
  <c r="AU175" i="8"/>
  <c r="AQ175" i="8"/>
  <c r="AP175" i="8"/>
  <c r="H175" i="8"/>
  <c r="AZ174" i="8"/>
  <c r="AY174" i="8"/>
  <c r="AX174" i="8"/>
  <c r="AW174" i="8"/>
  <c r="AV174" i="8"/>
  <c r="AU174" i="8"/>
  <c r="AQ174" i="8"/>
  <c r="AP174" i="8"/>
  <c r="H174" i="8"/>
  <c r="AZ173" i="8"/>
  <c r="AY173" i="8"/>
  <c r="AX173" i="8"/>
  <c r="AW173" i="8"/>
  <c r="AV173" i="8"/>
  <c r="AU173" i="8"/>
  <c r="AQ173" i="8"/>
  <c r="AP173" i="8"/>
  <c r="H173" i="8"/>
  <c r="AZ172" i="8"/>
  <c r="AY172" i="8"/>
  <c r="AX172" i="8"/>
  <c r="AW172" i="8"/>
  <c r="AV172" i="8"/>
  <c r="AU172" i="8"/>
  <c r="AQ172" i="8"/>
  <c r="AP172" i="8"/>
  <c r="H172" i="8"/>
  <c r="AZ171" i="8"/>
  <c r="AY171" i="8"/>
  <c r="AX171" i="8"/>
  <c r="AW171" i="8"/>
  <c r="AV171" i="8"/>
  <c r="AU171" i="8"/>
  <c r="AQ171" i="8"/>
  <c r="AP171" i="8"/>
  <c r="H171" i="8"/>
  <c r="AZ170" i="8"/>
  <c r="AY170" i="8"/>
  <c r="AX170" i="8"/>
  <c r="AW170" i="8"/>
  <c r="AV170" i="8"/>
  <c r="AU170" i="8"/>
  <c r="AQ170" i="8"/>
  <c r="AP170" i="8"/>
  <c r="H170" i="8"/>
  <c r="AZ169" i="8"/>
  <c r="AY169" i="8"/>
  <c r="AX169" i="8"/>
  <c r="AW169" i="8"/>
  <c r="AV169" i="8"/>
  <c r="AU169" i="8"/>
  <c r="AQ169" i="8"/>
  <c r="AP169" i="8"/>
  <c r="H169" i="8"/>
  <c r="AZ168" i="8"/>
  <c r="AY168" i="8"/>
  <c r="AX168" i="8"/>
  <c r="AW168" i="8"/>
  <c r="AV168" i="8"/>
  <c r="AU168" i="8"/>
  <c r="AQ168" i="8"/>
  <c r="AP168" i="8"/>
  <c r="H168" i="8"/>
  <c r="AZ167" i="8"/>
  <c r="AY167" i="8"/>
  <c r="AX167" i="8"/>
  <c r="AW167" i="8"/>
  <c r="AV167" i="8"/>
  <c r="AU167" i="8"/>
  <c r="AQ167" i="8"/>
  <c r="AP167" i="8"/>
  <c r="H167" i="8"/>
  <c r="AZ166" i="8"/>
  <c r="AY166" i="8"/>
  <c r="AX166" i="8"/>
  <c r="AW166" i="8"/>
  <c r="AV166" i="8"/>
  <c r="AU166" i="8"/>
  <c r="AQ166" i="8"/>
  <c r="AP166" i="8"/>
  <c r="H166" i="8"/>
  <c r="AZ165" i="8"/>
  <c r="AY165" i="8"/>
  <c r="AX165" i="8"/>
  <c r="AW165" i="8"/>
  <c r="AV165" i="8"/>
  <c r="AU165" i="8"/>
  <c r="AQ165" i="8"/>
  <c r="AP165" i="8"/>
  <c r="H165" i="8"/>
  <c r="AZ164" i="8"/>
  <c r="AY164" i="8"/>
  <c r="AX164" i="8"/>
  <c r="AW164" i="8"/>
  <c r="AV164" i="8"/>
  <c r="AU164" i="8"/>
  <c r="AQ164" i="8"/>
  <c r="AP164" i="8"/>
  <c r="H164" i="8"/>
  <c r="AZ163" i="8"/>
  <c r="AY163" i="8"/>
  <c r="AX163" i="8"/>
  <c r="AW163" i="8"/>
  <c r="AV163" i="8"/>
  <c r="AU163" i="8"/>
  <c r="AQ163" i="8"/>
  <c r="AP163" i="8"/>
  <c r="H163" i="8"/>
  <c r="AZ162" i="8"/>
  <c r="AY162" i="8"/>
  <c r="AX162" i="8"/>
  <c r="AW162" i="8"/>
  <c r="AV162" i="8"/>
  <c r="AU162" i="8"/>
  <c r="AQ162" i="8"/>
  <c r="AP162" i="8"/>
  <c r="H162" i="8"/>
  <c r="AZ161" i="8"/>
  <c r="AY161" i="8"/>
  <c r="AX161" i="8"/>
  <c r="AW161" i="8"/>
  <c r="AV161" i="8"/>
  <c r="AU161" i="8"/>
  <c r="AQ161" i="8"/>
  <c r="AP161" i="8"/>
  <c r="H161" i="8"/>
  <c r="AZ160" i="8"/>
  <c r="AY160" i="8"/>
  <c r="AX160" i="8"/>
  <c r="AW160" i="8"/>
  <c r="AV160" i="8"/>
  <c r="AU160" i="8"/>
  <c r="AQ160" i="8"/>
  <c r="AP160" i="8"/>
  <c r="H160" i="8"/>
  <c r="AZ159" i="8"/>
  <c r="AY159" i="8"/>
  <c r="AX159" i="8"/>
  <c r="AW159" i="8"/>
  <c r="AV159" i="8"/>
  <c r="AU159" i="8"/>
  <c r="AQ159" i="8"/>
  <c r="AP159" i="8"/>
  <c r="AZ158" i="8"/>
  <c r="AY158" i="8"/>
  <c r="AX158" i="8"/>
  <c r="AW158" i="8"/>
  <c r="AV158" i="8"/>
  <c r="AU158" i="8"/>
  <c r="AQ158" i="8"/>
  <c r="AP158" i="8"/>
  <c r="H158" i="8"/>
  <c r="AZ157" i="8"/>
  <c r="AY157" i="8"/>
  <c r="AX157" i="8"/>
  <c r="AW157" i="8"/>
  <c r="AV157" i="8"/>
  <c r="AU157" i="8"/>
  <c r="AQ157" i="8"/>
  <c r="AP157" i="8"/>
  <c r="H157" i="8"/>
  <c r="AZ156" i="8"/>
  <c r="AY156" i="8"/>
  <c r="AX156" i="8"/>
  <c r="AW156" i="8"/>
  <c r="AV156" i="8"/>
  <c r="AU156" i="8"/>
  <c r="AQ156" i="8"/>
  <c r="AP156" i="8"/>
  <c r="H156" i="8"/>
  <c r="AZ155" i="8"/>
  <c r="AY155" i="8"/>
  <c r="AX155" i="8"/>
  <c r="AW155" i="8"/>
  <c r="AV155" i="8"/>
  <c r="AU155" i="8"/>
  <c r="AQ155" i="8"/>
  <c r="AP155" i="8"/>
  <c r="H155" i="8"/>
  <c r="AZ154" i="8"/>
  <c r="AY154" i="8"/>
  <c r="AX154" i="8"/>
  <c r="AW154" i="8"/>
  <c r="AV154" i="8"/>
  <c r="AU154" i="8"/>
  <c r="AQ154" i="8"/>
  <c r="AP154" i="8"/>
  <c r="H154" i="8"/>
  <c r="AZ153" i="8"/>
  <c r="AY153" i="8"/>
  <c r="AX153" i="8"/>
  <c r="AW153" i="8"/>
  <c r="AV153" i="8"/>
  <c r="AU153" i="8"/>
  <c r="AQ153" i="8"/>
  <c r="AP153" i="8"/>
  <c r="H153" i="8"/>
  <c r="AZ152" i="8"/>
  <c r="AY152" i="8"/>
  <c r="AX152" i="8"/>
  <c r="AW152" i="8"/>
  <c r="AV152" i="8"/>
  <c r="AU152" i="8"/>
  <c r="AQ152" i="8"/>
  <c r="AP152" i="8"/>
  <c r="H152" i="8"/>
  <c r="AZ151" i="8"/>
  <c r="AY151" i="8"/>
  <c r="AX151" i="8"/>
  <c r="AW151" i="8"/>
  <c r="AV151" i="8"/>
  <c r="AU151" i="8"/>
  <c r="AQ151" i="8"/>
  <c r="AP151" i="8"/>
  <c r="H151" i="8"/>
  <c r="AZ150" i="8"/>
  <c r="AY150" i="8"/>
  <c r="AX150" i="8"/>
  <c r="AW150" i="8"/>
  <c r="AV150" i="8"/>
  <c r="AU150" i="8"/>
  <c r="AQ150" i="8"/>
  <c r="AP150" i="8"/>
  <c r="H150" i="8"/>
  <c r="AZ149" i="8"/>
  <c r="AY149" i="8"/>
  <c r="AX149" i="8"/>
  <c r="AW149" i="8"/>
  <c r="AV149" i="8"/>
  <c r="AU149" i="8"/>
  <c r="AQ149" i="8"/>
  <c r="AP149" i="8"/>
  <c r="H149" i="8"/>
  <c r="AZ148" i="8"/>
  <c r="AY148" i="8"/>
  <c r="AX148" i="8"/>
  <c r="AW148" i="8"/>
  <c r="AV148" i="8"/>
  <c r="AU148" i="8"/>
  <c r="AQ148" i="8"/>
  <c r="AP148" i="8"/>
  <c r="H148" i="8"/>
  <c r="AZ147" i="8"/>
  <c r="AY147" i="8"/>
  <c r="AX147" i="8"/>
  <c r="AW147" i="8"/>
  <c r="AV147" i="8"/>
  <c r="AU147" i="8"/>
  <c r="AQ147" i="8"/>
  <c r="AP147" i="8"/>
  <c r="H147" i="8"/>
  <c r="AZ146" i="8"/>
  <c r="AY146" i="8"/>
  <c r="AX146" i="8"/>
  <c r="AW146" i="8"/>
  <c r="AV146" i="8"/>
  <c r="AU146" i="8"/>
  <c r="AQ146" i="8"/>
  <c r="AP146" i="8"/>
  <c r="H146" i="8"/>
  <c r="AZ145" i="8"/>
  <c r="AY145" i="8"/>
  <c r="AX145" i="8"/>
  <c r="AW145" i="8"/>
  <c r="AV145" i="8"/>
  <c r="AU145" i="8"/>
  <c r="AQ145" i="8"/>
  <c r="AP145" i="8"/>
  <c r="H145" i="8"/>
  <c r="AZ144" i="8"/>
  <c r="AY144" i="8"/>
  <c r="AX144" i="8"/>
  <c r="AW144" i="8"/>
  <c r="AV144" i="8"/>
  <c r="AU144" i="8"/>
  <c r="AQ144" i="8"/>
  <c r="AP144" i="8"/>
  <c r="H144" i="8"/>
  <c r="AZ143" i="8"/>
  <c r="AY143" i="8"/>
  <c r="AX143" i="8"/>
  <c r="AW143" i="8"/>
  <c r="AV143" i="8"/>
  <c r="AU143" i="8"/>
  <c r="AQ143" i="8"/>
  <c r="AP143" i="8"/>
  <c r="H143" i="8"/>
  <c r="AZ142" i="8"/>
  <c r="AY142" i="8"/>
  <c r="AX142" i="8"/>
  <c r="AW142" i="8"/>
  <c r="AV142" i="8"/>
  <c r="AU142" i="8"/>
  <c r="AQ142" i="8"/>
  <c r="AP142" i="8"/>
  <c r="H142" i="8"/>
  <c r="AZ141" i="8"/>
  <c r="AY141" i="8"/>
  <c r="AX141" i="8"/>
  <c r="AW141" i="8"/>
  <c r="AV141" i="8"/>
  <c r="AU141" i="8"/>
  <c r="AQ141" i="8"/>
  <c r="AP141" i="8"/>
  <c r="H141" i="8"/>
  <c r="AZ140" i="8"/>
  <c r="AY140" i="8"/>
  <c r="AX140" i="8"/>
  <c r="AW140" i="8"/>
  <c r="AV140" i="8"/>
  <c r="AU140" i="8"/>
  <c r="AQ140" i="8"/>
  <c r="AP140" i="8"/>
  <c r="H140" i="8"/>
  <c r="AZ139" i="8"/>
  <c r="AY139" i="8"/>
  <c r="AX139" i="8"/>
  <c r="AW139" i="8"/>
  <c r="AV139" i="8"/>
  <c r="AU139" i="8"/>
  <c r="AQ139" i="8"/>
  <c r="AP139" i="8"/>
  <c r="H139" i="8"/>
  <c r="AZ138" i="8"/>
  <c r="AY138" i="8"/>
  <c r="AX138" i="8"/>
  <c r="AW138" i="8"/>
  <c r="AV138" i="8"/>
  <c r="AU138" i="8"/>
  <c r="AQ138" i="8"/>
  <c r="AP138" i="8"/>
  <c r="H138" i="8"/>
  <c r="AZ137" i="8"/>
  <c r="AY137" i="8"/>
  <c r="AX137" i="8"/>
  <c r="AW137" i="8"/>
  <c r="AV137" i="8"/>
  <c r="AU137" i="8"/>
  <c r="AQ137" i="8"/>
  <c r="AP137" i="8"/>
  <c r="H137" i="8"/>
  <c r="AZ136" i="8"/>
  <c r="AY136" i="8"/>
  <c r="AX136" i="8"/>
  <c r="AW136" i="8"/>
  <c r="AV136" i="8"/>
  <c r="AU136" i="8"/>
  <c r="AQ136" i="8"/>
  <c r="AP136" i="8"/>
  <c r="H136" i="8"/>
  <c r="AZ135" i="8"/>
  <c r="AY135" i="8"/>
  <c r="AX135" i="8"/>
  <c r="AW135" i="8"/>
  <c r="AV135" i="8"/>
  <c r="AU135" i="8"/>
  <c r="AQ135" i="8"/>
  <c r="AP135" i="8"/>
  <c r="H135" i="8"/>
  <c r="AZ134" i="8"/>
  <c r="AY134" i="8"/>
  <c r="AX134" i="8"/>
  <c r="AW134" i="8"/>
  <c r="AV134" i="8"/>
  <c r="AU134" i="8"/>
  <c r="AQ134" i="8"/>
  <c r="AP134" i="8"/>
  <c r="H134" i="8"/>
  <c r="AZ133" i="8"/>
  <c r="AY133" i="8"/>
  <c r="AX133" i="8"/>
  <c r="AW133" i="8"/>
  <c r="AV133" i="8"/>
  <c r="AU133" i="8"/>
  <c r="AQ133" i="8"/>
  <c r="AP133" i="8"/>
  <c r="H133" i="8"/>
  <c r="AZ132" i="8"/>
  <c r="AY132" i="8"/>
  <c r="AX132" i="8"/>
  <c r="AW132" i="8"/>
  <c r="AV132" i="8"/>
  <c r="AU132" i="8"/>
  <c r="AQ132" i="8"/>
  <c r="AP132" i="8"/>
  <c r="H132" i="8"/>
  <c r="AZ131" i="8"/>
  <c r="AY131" i="8"/>
  <c r="AX131" i="8"/>
  <c r="AW131" i="8"/>
  <c r="AV131" i="8"/>
  <c r="AU131" i="8"/>
  <c r="AQ131" i="8"/>
  <c r="AP131" i="8"/>
  <c r="H131" i="8"/>
  <c r="AZ130" i="8"/>
  <c r="AY130" i="8"/>
  <c r="AX130" i="8"/>
  <c r="AW130" i="8"/>
  <c r="AV130" i="8"/>
  <c r="AU130" i="8"/>
  <c r="AQ130" i="8"/>
  <c r="AP130" i="8"/>
  <c r="H130" i="8"/>
  <c r="AZ129" i="8"/>
  <c r="AY129" i="8"/>
  <c r="AX129" i="8"/>
  <c r="AW129" i="8"/>
  <c r="AV129" i="8"/>
  <c r="AU129" i="8"/>
  <c r="AQ129" i="8"/>
  <c r="AP129" i="8"/>
  <c r="H129" i="8"/>
  <c r="AZ128" i="8"/>
  <c r="AY128" i="8"/>
  <c r="AX128" i="8"/>
  <c r="AW128" i="8"/>
  <c r="AV128" i="8"/>
  <c r="AU128" i="8"/>
  <c r="AQ128" i="8"/>
  <c r="AP128" i="8"/>
  <c r="H128" i="8"/>
  <c r="AZ127" i="8"/>
  <c r="AY127" i="8"/>
  <c r="AX127" i="8"/>
  <c r="AW127" i="8"/>
  <c r="AV127" i="8"/>
  <c r="AU127" i="8"/>
  <c r="AQ127" i="8"/>
  <c r="AP127" i="8"/>
  <c r="H127" i="8"/>
  <c r="AZ126" i="8"/>
  <c r="AY126" i="8"/>
  <c r="AX126" i="8"/>
  <c r="AW126" i="8"/>
  <c r="AV126" i="8"/>
  <c r="AU126" i="8"/>
  <c r="AQ126" i="8"/>
  <c r="AP126" i="8"/>
  <c r="H126" i="8"/>
  <c r="AZ125" i="8"/>
  <c r="AY125" i="8"/>
  <c r="AX125" i="8"/>
  <c r="AW125" i="8"/>
  <c r="AV125" i="8"/>
  <c r="AU125" i="8"/>
  <c r="AQ125" i="8"/>
  <c r="AP125" i="8"/>
  <c r="H125" i="8"/>
  <c r="AZ124" i="8"/>
  <c r="AY124" i="8"/>
  <c r="AX124" i="8"/>
  <c r="AW124" i="8"/>
  <c r="AV124" i="8"/>
  <c r="AU124" i="8"/>
  <c r="AQ124" i="8"/>
  <c r="AP124" i="8"/>
  <c r="H124" i="8"/>
  <c r="AZ123" i="8"/>
  <c r="AY123" i="8"/>
  <c r="AX123" i="8"/>
  <c r="AW123" i="8"/>
  <c r="AV123" i="8"/>
  <c r="AU123" i="8"/>
  <c r="AQ123" i="8"/>
  <c r="AP123" i="8"/>
  <c r="H123" i="8"/>
  <c r="AZ122" i="8"/>
  <c r="AY122" i="8"/>
  <c r="AX122" i="8"/>
  <c r="AW122" i="8"/>
  <c r="AV122" i="8"/>
  <c r="AU122" i="8"/>
  <c r="AQ122" i="8"/>
  <c r="AP122" i="8"/>
  <c r="H122" i="8"/>
  <c r="AZ121" i="8"/>
  <c r="AY121" i="8"/>
  <c r="AX121" i="8"/>
  <c r="AW121" i="8"/>
  <c r="AV121" i="8"/>
  <c r="AU121" i="8"/>
  <c r="AQ121" i="8"/>
  <c r="AP121" i="8"/>
  <c r="H121" i="8"/>
  <c r="AZ120" i="8"/>
  <c r="AY120" i="8"/>
  <c r="AX120" i="8"/>
  <c r="AW120" i="8"/>
  <c r="AV120" i="8"/>
  <c r="AU120" i="8"/>
  <c r="AQ120" i="8"/>
  <c r="AP120" i="8"/>
  <c r="H120" i="8"/>
  <c r="AZ119" i="8"/>
  <c r="AY119" i="8"/>
  <c r="AX119" i="8"/>
  <c r="AW119" i="8"/>
  <c r="AV119" i="8"/>
  <c r="AU119" i="8"/>
  <c r="AQ119" i="8"/>
  <c r="AP119" i="8"/>
  <c r="H119" i="8"/>
  <c r="AZ118" i="8"/>
  <c r="AY118" i="8"/>
  <c r="AX118" i="8"/>
  <c r="AW118" i="8"/>
  <c r="AV118" i="8"/>
  <c r="AU118" i="8"/>
  <c r="AQ118" i="8"/>
  <c r="AP118" i="8"/>
  <c r="H118" i="8"/>
  <c r="AZ117" i="8"/>
  <c r="AY117" i="8"/>
  <c r="AX117" i="8"/>
  <c r="AW117" i="8"/>
  <c r="AV117" i="8"/>
  <c r="AU117" i="8"/>
  <c r="AQ117" i="8"/>
  <c r="AP117" i="8"/>
  <c r="H117" i="8"/>
  <c r="AZ116" i="8"/>
  <c r="AY116" i="8"/>
  <c r="AX116" i="8"/>
  <c r="AW116" i="8"/>
  <c r="AV116" i="8"/>
  <c r="AU116" i="8"/>
  <c r="AQ116" i="8"/>
  <c r="AP116" i="8"/>
  <c r="H116" i="8"/>
  <c r="AZ115" i="8"/>
  <c r="AY115" i="8"/>
  <c r="AX115" i="8"/>
  <c r="AW115" i="8"/>
  <c r="AV115" i="8"/>
  <c r="AU115" i="8"/>
  <c r="AQ115" i="8"/>
  <c r="AP115" i="8"/>
  <c r="H115" i="8"/>
  <c r="AZ114" i="8"/>
  <c r="AY114" i="8"/>
  <c r="AX114" i="8"/>
  <c r="AW114" i="8"/>
  <c r="AV114" i="8"/>
  <c r="AU114" i="8"/>
  <c r="AQ114" i="8"/>
  <c r="AP114" i="8"/>
  <c r="H114" i="8"/>
  <c r="AZ113" i="8"/>
  <c r="AY113" i="8"/>
  <c r="AX113" i="8"/>
  <c r="AW113" i="8"/>
  <c r="AV113" i="8"/>
  <c r="AU113" i="8"/>
  <c r="AQ113" i="8"/>
  <c r="AP113" i="8"/>
  <c r="H113" i="8"/>
  <c r="AZ112" i="8"/>
  <c r="AY112" i="8"/>
  <c r="AX112" i="8"/>
  <c r="AW112" i="8"/>
  <c r="AV112" i="8"/>
  <c r="AU112" i="8"/>
  <c r="AQ112" i="8"/>
  <c r="AP112" i="8"/>
  <c r="H112" i="8"/>
  <c r="AZ111" i="8"/>
  <c r="AY111" i="8"/>
  <c r="AX111" i="8"/>
  <c r="AW111" i="8"/>
  <c r="AV111" i="8"/>
  <c r="AU111" i="8"/>
  <c r="AQ111" i="8"/>
  <c r="AP111" i="8"/>
  <c r="H111" i="8"/>
  <c r="AZ110" i="8"/>
  <c r="AY110" i="8"/>
  <c r="AX110" i="8"/>
  <c r="AW110" i="8"/>
  <c r="AV110" i="8"/>
  <c r="AU110" i="8"/>
  <c r="AQ110" i="8"/>
  <c r="AP110" i="8"/>
  <c r="H110" i="8"/>
  <c r="AZ109" i="8"/>
  <c r="AY109" i="8"/>
  <c r="AX109" i="8"/>
  <c r="AW109" i="8"/>
  <c r="AV109" i="8"/>
  <c r="AU109" i="8"/>
  <c r="AQ109" i="8"/>
  <c r="AP109" i="8"/>
  <c r="H109" i="8"/>
  <c r="AZ108" i="8"/>
  <c r="AY108" i="8"/>
  <c r="AX108" i="8"/>
  <c r="AW108" i="8"/>
  <c r="AV108" i="8"/>
  <c r="AU108" i="8"/>
  <c r="AQ108" i="8"/>
  <c r="AP108" i="8"/>
  <c r="H108" i="8"/>
  <c r="AZ107" i="8"/>
  <c r="AY107" i="8"/>
  <c r="AX107" i="8"/>
  <c r="AW107" i="8"/>
  <c r="AV107" i="8"/>
  <c r="AU107" i="8"/>
  <c r="AQ107" i="8"/>
  <c r="AP107" i="8"/>
  <c r="H107" i="8"/>
  <c r="AZ106" i="8"/>
  <c r="AY106" i="8"/>
  <c r="AX106" i="8"/>
  <c r="AW106" i="8"/>
  <c r="AV106" i="8"/>
  <c r="AU106" i="8"/>
  <c r="AQ106" i="8"/>
  <c r="AP106" i="8"/>
  <c r="H106" i="8"/>
  <c r="AZ105" i="8"/>
  <c r="AY105" i="8"/>
  <c r="AX105" i="8"/>
  <c r="AW105" i="8"/>
  <c r="AV105" i="8"/>
  <c r="AU105" i="8"/>
  <c r="AQ105" i="8"/>
  <c r="AP105" i="8"/>
  <c r="H105" i="8"/>
  <c r="AZ104" i="8"/>
  <c r="AY104" i="8"/>
  <c r="AX104" i="8"/>
  <c r="AW104" i="8"/>
  <c r="AV104" i="8"/>
  <c r="AU104" i="8"/>
  <c r="AQ104" i="8"/>
  <c r="AP104" i="8"/>
  <c r="H104" i="8"/>
  <c r="AZ103" i="8"/>
  <c r="AY103" i="8"/>
  <c r="AX103" i="8"/>
  <c r="AW103" i="8"/>
  <c r="AV103" i="8"/>
  <c r="AU103" i="8"/>
  <c r="AQ103" i="8"/>
  <c r="AP103" i="8"/>
  <c r="H103" i="8"/>
  <c r="AZ102" i="8"/>
  <c r="AY102" i="8"/>
  <c r="AX102" i="8"/>
  <c r="AW102" i="8"/>
  <c r="AV102" i="8"/>
  <c r="AU102" i="8"/>
  <c r="AQ102" i="8"/>
  <c r="AP102" i="8"/>
  <c r="H102" i="8"/>
  <c r="AZ101" i="8"/>
  <c r="AY101" i="8"/>
  <c r="AX101" i="8"/>
  <c r="AW101" i="8"/>
  <c r="AV101" i="8"/>
  <c r="AU101" i="8"/>
  <c r="AQ101" i="8"/>
  <c r="AP101" i="8"/>
  <c r="H101" i="8"/>
  <c r="AZ100" i="8"/>
  <c r="AY100" i="8"/>
  <c r="AX100" i="8"/>
  <c r="AW100" i="8"/>
  <c r="AV100" i="8"/>
  <c r="AU100" i="8"/>
  <c r="AQ100" i="8"/>
  <c r="AP100" i="8"/>
  <c r="H100" i="8"/>
  <c r="AZ99" i="8"/>
  <c r="AY99" i="8"/>
  <c r="AX99" i="8"/>
  <c r="AW99" i="8"/>
  <c r="AV99" i="8"/>
  <c r="AU99" i="8"/>
  <c r="AQ99" i="8"/>
  <c r="AP99" i="8"/>
  <c r="H99" i="8"/>
  <c r="AZ98" i="8"/>
  <c r="AY98" i="8"/>
  <c r="AX98" i="8"/>
  <c r="AW98" i="8"/>
  <c r="AV98" i="8"/>
  <c r="AU98" i="8"/>
  <c r="AQ98" i="8"/>
  <c r="AP98" i="8"/>
  <c r="H98" i="8"/>
  <c r="AZ97" i="8"/>
  <c r="AY97" i="8"/>
  <c r="AX97" i="8"/>
  <c r="AW97" i="8"/>
  <c r="AV97" i="8"/>
  <c r="AU97" i="8"/>
  <c r="AQ97" i="8"/>
  <c r="AP97" i="8"/>
  <c r="H97" i="8"/>
  <c r="AZ96" i="8"/>
  <c r="AY96" i="8"/>
  <c r="AX96" i="8"/>
  <c r="AW96" i="8"/>
  <c r="AV96" i="8"/>
  <c r="AU96" i="8"/>
  <c r="AQ96" i="8"/>
  <c r="AP96" i="8"/>
  <c r="H96" i="8"/>
  <c r="AZ95" i="8"/>
  <c r="AY95" i="8"/>
  <c r="AX95" i="8"/>
  <c r="AW95" i="8"/>
  <c r="AV95" i="8"/>
  <c r="AU95" i="8"/>
  <c r="AQ95" i="8"/>
  <c r="AP95" i="8"/>
  <c r="H95" i="8"/>
  <c r="AZ94" i="8"/>
  <c r="AY94" i="8"/>
  <c r="AX94" i="8"/>
  <c r="AW94" i="8"/>
  <c r="AV94" i="8"/>
  <c r="AU94" i="8"/>
  <c r="AQ94" i="8"/>
  <c r="AP94" i="8"/>
  <c r="H94" i="8"/>
  <c r="AZ93" i="8"/>
  <c r="AY93" i="8"/>
  <c r="AX93" i="8"/>
  <c r="AW93" i="8"/>
  <c r="AV93" i="8"/>
  <c r="AU93" i="8"/>
  <c r="AQ93" i="8"/>
  <c r="AP93" i="8"/>
  <c r="H93" i="8"/>
  <c r="AZ92" i="8"/>
  <c r="AY92" i="8"/>
  <c r="AX92" i="8"/>
  <c r="AW92" i="8"/>
  <c r="AV92" i="8"/>
  <c r="AU92" i="8"/>
  <c r="AQ92" i="8"/>
  <c r="AP92" i="8"/>
  <c r="H92" i="8"/>
  <c r="AZ91" i="8"/>
  <c r="AY91" i="8"/>
  <c r="AX91" i="8"/>
  <c r="AW91" i="8"/>
  <c r="AV91" i="8"/>
  <c r="AU91" i="8"/>
  <c r="AQ91" i="8"/>
  <c r="AP91" i="8"/>
  <c r="H91" i="8"/>
  <c r="AZ90" i="8"/>
  <c r="AY90" i="8"/>
  <c r="AX90" i="8"/>
  <c r="AW90" i="8"/>
  <c r="AV90" i="8"/>
  <c r="AU90" i="8"/>
  <c r="AQ90" i="8"/>
  <c r="AP90" i="8"/>
  <c r="H90" i="8"/>
  <c r="AZ89" i="8"/>
  <c r="AY89" i="8"/>
  <c r="AX89" i="8"/>
  <c r="AW89" i="8"/>
  <c r="AV89" i="8"/>
  <c r="AU89" i="8"/>
  <c r="AQ89" i="8"/>
  <c r="AP89" i="8"/>
  <c r="H89" i="8"/>
  <c r="AZ88" i="8"/>
  <c r="AY88" i="8"/>
  <c r="AX88" i="8"/>
  <c r="AW88" i="8"/>
  <c r="AV88" i="8"/>
  <c r="AU88" i="8"/>
  <c r="AQ88" i="8"/>
  <c r="AP88" i="8"/>
  <c r="H88" i="8"/>
  <c r="AZ87" i="8"/>
  <c r="AY87" i="8"/>
  <c r="AX87" i="8"/>
  <c r="AW87" i="8"/>
  <c r="AV87" i="8"/>
  <c r="AU87" i="8"/>
  <c r="AQ87" i="8"/>
  <c r="AP87" i="8"/>
  <c r="H87" i="8"/>
  <c r="AZ86" i="8"/>
  <c r="AY86" i="8"/>
  <c r="AX86" i="8"/>
  <c r="AW86" i="8"/>
  <c r="AV86" i="8"/>
  <c r="AU86" i="8"/>
  <c r="AQ86" i="8"/>
  <c r="AP86" i="8"/>
  <c r="H86" i="8"/>
  <c r="AZ85" i="8"/>
  <c r="AY85" i="8"/>
  <c r="AX85" i="8"/>
  <c r="AW85" i="8"/>
  <c r="AV85" i="8"/>
  <c r="AU85" i="8"/>
  <c r="AQ85" i="8"/>
  <c r="AP85" i="8"/>
  <c r="H85" i="8"/>
  <c r="AZ84" i="8"/>
  <c r="AY84" i="8"/>
  <c r="AX84" i="8"/>
  <c r="AW84" i="8"/>
  <c r="AV84" i="8"/>
  <c r="AU84" i="8"/>
  <c r="AQ84" i="8"/>
  <c r="AP84" i="8"/>
  <c r="H84" i="8"/>
  <c r="AZ83" i="8"/>
  <c r="AY83" i="8"/>
  <c r="AX83" i="8"/>
  <c r="AW83" i="8"/>
  <c r="AV83" i="8"/>
  <c r="AU83" i="8"/>
  <c r="AQ83" i="8"/>
  <c r="AP83" i="8"/>
  <c r="H83" i="8"/>
  <c r="AZ82" i="8"/>
  <c r="AY82" i="8"/>
  <c r="AX82" i="8"/>
  <c r="AW82" i="8"/>
  <c r="AV82" i="8"/>
  <c r="AU82" i="8"/>
  <c r="AQ82" i="8"/>
  <c r="AP82" i="8"/>
  <c r="H82" i="8"/>
  <c r="AZ81" i="8"/>
  <c r="AY81" i="8"/>
  <c r="AX81" i="8"/>
  <c r="AW81" i="8"/>
  <c r="AV81" i="8"/>
  <c r="AU81" i="8"/>
  <c r="AQ81" i="8"/>
  <c r="AP81" i="8"/>
  <c r="H81" i="8"/>
  <c r="AZ80" i="8"/>
  <c r="AY80" i="8"/>
  <c r="AX80" i="8"/>
  <c r="AW80" i="8"/>
  <c r="AV80" i="8"/>
  <c r="AU80" i="8"/>
  <c r="AQ80" i="8"/>
  <c r="AP80" i="8"/>
  <c r="H80" i="8"/>
  <c r="AZ79" i="8"/>
  <c r="AY79" i="8"/>
  <c r="AX79" i="8"/>
  <c r="AW79" i="8"/>
  <c r="AV79" i="8"/>
  <c r="AU79" i="8"/>
  <c r="AQ79" i="8"/>
  <c r="AP79" i="8"/>
  <c r="H79" i="8"/>
  <c r="AZ78" i="8"/>
  <c r="AY78" i="8"/>
  <c r="AX78" i="8"/>
  <c r="AW78" i="8"/>
  <c r="AV78" i="8"/>
  <c r="AU78" i="8"/>
  <c r="AQ78" i="8"/>
  <c r="AP78" i="8"/>
  <c r="H78" i="8"/>
  <c r="AZ77" i="8"/>
  <c r="AY77" i="8"/>
  <c r="AX77" i="8"/>
  <c r="AW77" i="8"/>
  <c r="AV77" i="8"/>
  <c r="AU77" i="8"/>
  <c r="AQ77" i="8"/>
  <c r="AP77" i="8"/>
  <c r="H77" i="8"/>
  <c r="AZ76" i="8"/>
  <c r="AY76" i="8"/>
  <c r="AX76" i="8"/>
  <c r="AW76" i="8"/>
  <c r="AV76" i="8"/>
  <c r="AU76" i="8"/>
  <c r="AQ76" i="8"/>
  <c r="AP76" i="8"/>
  <c r="H76" i="8"/>
  <c r="AZ75" i="8"/>
  <c r="AY75" i="8"/>
  <c r="AX75" i="8"/>
  <c r="AW75" i="8"/>
  <c r="AV75" i="8"/>
  <c r="AU75" i="8"/>
  <c r="AQ75" i="8"/>
  <c r="AP75" i="8"/>
  <c r="H75" i="8"/>
  <c r="AZ74" i="8"/>
  <c r="AY74" i="8"/>
  <c r="AX74" i="8"/>
  <c r="AW74" i="8"/>
  <c r="AV74" i="8"/>
  <c r="AU74" i="8"/>
  <c r="AQ74" i="8"/>
  <c r="AP74" i="8"/>
  <c r="H74" i="8"/>
  <c r="AZ73" i="8"/>
  <c r="AY73" i="8"/>
  <c r="AX73" i="8"/>
  <c r="AW73" i="8"/>
  <c r="AV73" i="8"/>
  <c r="AU73" i="8"/>
  <c r="AQ73" i="8"/>
  <c r="AP73" i="8"/>
  <c r="H73" i="8"/>
  <c r="AZ72" i="8"/>
  <c r="AY72" i="8"/>
  <c r="AX72" i="8"/>
  <c r="AW72" i="8"/>
  <c r="AV72" i="8"/>
  <c r="AU72" i="8"/>
  <c r="AQ72" i="8"/>
  <c r="AP72" i="8"/>
  <c r="H72" i="8"/>
  <c r="AZ71" i="8"/>
  <c r="AY71" i="8"/>
  <c r="AX71" i="8"/>
  <c r="AW71" i="8"/>
  <c r="AV71" i="8"/>
  <c r="AU71" i="8"/>
  <c r="AQ71" i="8"/>
  <c r="AP71" i="8"/>
  <c r="H71" i="8"/>
  <c r="AZ70" i="8"/>
  <c r="AY70" i="8"/>
  <c r="AX70" i="8"/>
  <c r="AW70" i="8"/>
  <c r="AV70" i="8"/>
  <c r="AU70" i="8"/>
  <c r="AQ70" i="8"/>
  <c r="AP70" i="8"/>
  <c r="H70" i="8"/>
  <c r="AZ69" i="8"/>
  <c r="AY69" i="8"/>
  <c r="AX69" i="8"/>
  <c r="AW69" i="8"/>
  <c r="AV69" i="8"/>
  <c r="AU69" i="8"/>
  <c r="AQ69" i="8"/>
  <c r="AP69" i="8"/>
  <c r="H69" i="8"/>
  <c r="AZ68" i="8"/>
  <c r="AY68" i="8"/>
  <c r="AX68" i="8"/>
  <c r="AW68" i="8"/>
  <c r="AV68" i="8"/>
  <c r="AU68" i="8"/>
  <c r="AQ68" i="8"/>
  <c r="AP68" i="8"/>
  <c r="H68" i="8"/>
  <c r="AZ67" i="8"/>
  <c r="AY67" i="8"/>
  <c r="AX67" i="8"/>
  <c r="AW67" i="8"/>
  <c r="AV67" i="8"/>
  <c r="AU67" i="8"/>
  <c r="AQ67" i="8"/>
  <c r="AP67" i="8"/>
  <c r="H67" i="8"/>
  <c r="AZ66" i="8"/>
  <c r="AY66" i="8"/>
  <c r="AX66" i="8"/>
  <c r="AW66" i="8"/>
  <c r="AV66" i="8"/>
  <c r="AU66" i="8"/>
  <c r="AQ66" i="8"/>
  <c r="AP66" i="8"/>
  <c r="H66" i="8"/>
  <c r="AZ65" i="8"/>
  <c r="AY65" i="8"/>
  <c r="AX65" i="8"/>
  <c r="AW65" i="8"/>
  <c r="AV65" i="8"/>
  <c r="AU65" i="8"/>
  <c r="AQ65" i="8"/>
  <c r="AP65" i="8"/>
  <c r="H65" i="8"/>
  <c r="AZ64" i="8"/>
  <c r="AY64" i="8"/>
  <c r="AX64" i="8"/>
  <c r="AW64" i="8"/>
  <c r="AV64" i="8"/>
  <c r="AU64" i="8"/>
  <c r="AQ64" i="8"/>
  <c r="AP64" i="8"/>
  <c r="H64" i="8"/>
  <c r="AZ63" i="8"/>
  <c r="AY63" i="8"/>
  <c r="AX63" i="8"/>
  <c r="AW63" i="8"/>
  <c r="AV63" i="8"/>
  <c r="AU63" i="8"/>
  <c r="AQ63" i="8"/>
  <c r="AP63" i="8"/>
  <c r="H63" i="8"/>
  <c r="AZ62" i="8"/>
  <c r="AY62" i="8"/>
  <c r="AX62" i="8"/>
  <c r="AW62" i="8"/>
  <c r="AV62" i="8"/>
  <c r="AU62" i="8"/>
  <c r="AQ62" i="8"/>
  <c r="AP62" i="8"/>
  <c r="H62" i="8"/>
  <c r="AZ61" i="8"/>
  <c r="AY61" i="8"/>
  <c r="AX61" i="8"/>
  <c r="AW61" i="8"/>
  <c r="AV61" i="8"/>
  <c r="AU61" i="8"/>
  <c r="AQ61" i="8"/>
  <c r="AP61" i="8"/>
  <c r="H61" i="8"/>
  <c r="AZ60" i="8"/>
  <c r="AY60" i="8"/>
  <c r="AX60" i="8"/>
  <c r="AW60" i="8"/>
  <c r="AV60" i="8"/>
  <c r="AU60" i="8"/>
  <c r="AQ60" i="8"/>
  <c r="AP60" i="8"/>
  <c r="H60" i="8"/>
  <c r="AZ59" i="8"/>
  <c r="AY59" i="8"/>
  <c r="AX59" i="8"/>
  <c r="AW59" i="8"/>
  <c r="AV59" i="8"/>
  <c r="AU59" i="8"/>
  <c r="AQ59" i="8"/>
  <c r="AP59" i="8"/>
  <c r="H59" i="8"/>
  <c r="AZ58" i="8"/>
  <c r="AY58" i="8"/>
  <c r="AX58" i="8"/>
  <c r="AW58" i="8"/>
  <c r="AV58" i="8"/>
  <c r="AU58" i="8"/>
  <c r="AQ58" i="8"/>
  <c r="AP58" i="8"/>
  <c r="H58" i="8"/>
  <c r="AZ57" i="8"/>
  <c r="AY57" i="8"/>
  <c r="AX57" i="8"/>
  <c r="AW57" i="8"/>
  <c r="AV57" i="8"/>
  <c r="AU57" i="8"/>
  <c r="AQ57" i="8"/>
  <c r="AP57" i="8"/>
  <c r="H57" i="8"/>
  <c r="AZ56" i="8"/>
  <c r="AY56" i="8"/>
  <c r="AX56" i="8"/>
  <c r="AW56" i="8"/>
  <c r="AV56" i="8"/>
  <c r="AU56" i="8"/>
  <c r="AQ56" i="8"/>
  <c r="AP56" i="8"/>
  <c r="H56" i="8"/>
  <c r="AZ55" i="8"/>
  <c r="AY55" i="8"/>
  <c r="AX55" i="8"/>
  <c r="AW55" i="8"/>
  <c r="AV55" i="8"/>
  <c r="AU55" i="8"/>
  <c r="AQ55" i="8"/>
  <c r="AP55" i="8"/>
  <c r="H55" i="8"/>
  <c r="AZ54" i="8"/>
  <c r="AY54" i="8"/>
  <c r="AX54" i="8"/>
  <c r="AW54" i="8"/>
  <c r="AV54" i="8"/>
  <c r="AU54" i="8"/>
  <c r="AQ54" i="8"/>
  <c r="AP54" i="8"/>
  <c r="H54" i="8"/>
  <c r="AZ53" i="8"/>
  <c r="AY53" i="8"/>
  <c r="AX53" i="8"/>
  <c r="AW53" i="8"/>
  <c r="AV53" i="8"/>
  <c r="AU53" i="8"/>
  <c r="AQ53" i="8"/>
  <c r="AP53" i="8"/>
  <c r="H53" i="8"/>
  <c r="AZ52" i="8"/>
  <c r="AY52" i="8"/>
  <c r="AX52" i="8"/>
  <c r="AW52" i="8"/>
  <c r="AV52" i="8"/>
  <c r="AU52" i="8"/>
  <c r="AQ52" i="8"/>
  <c r="AP52" i="8"/>
  <c r="H52" i="8"/>
  <c r="AZ51" i="8"/>
  <c r="AY51" i="8"/>
  <c r="AX51" i="8"/>
  <c r="AW51" i="8"/>
  <c r="AV51" i="8"/>
  <c r="AU51" i="8"/>
  <c r="AQ51" i="8"/>
  <c r="AP51" i="8"/>
  <c r="H51" i="8"/>
  <c r="AZ50" i="8"/>
  <c r="AY50" i="8"/>
  <c r="AX50" i="8"/>
  <c r="AW50" i="8"/>
  <c r="AV50" i="8"/>
  <c r="AU50" i="8"/>
  <c r="AQ50" i="8"/>
  <c r="AP50" i="8"/>
  <c r="H50" i="8"/>
  <c r="AZ49" i="8"/>
  <c r="AY49" i="8"/>
  <c r="AX49" i="8"/>
  <c r="AW49" i="8"/>
  <c r="AV49" i="8"/>
  <c r="AU49" i="8"/>
  <c r="AQ49" i="8"/>
  <c r="AP49" i="8"/>
  <c r="H49" i="8"/>
  <c r="AZ48" i="8"/>
  <c r="AY48" i="8"/>
  <c r="AX48" i="8"/>
  <c r="AW48" i="8"/>
  <c r="AV48" i="8"/>
  <c r="AU48" i="8"/>
  <c r="AQ48" i="8"/>
  <c r="AP48" i="8"/>
  <c r="H48" i="8"/>
  <c r="AZ47" i="8"/>
  <c r="AY47" i="8"/>
  <c r="AX47" i="8"/>
  <c r="AW47" i="8"/>
  <c r="AV47" i="8"/>
  <c r="AU47" i="8"/>
  <c r="AQ47" i="8"/>
  <c r="AP47" i="8"/>
  <c r="AZ46" i="8"/>
  <c r="AY46" i="8"/>
  <c r="AX46" i="8"/>
  <c r="AW46" i="8"/>
  <c r="AV46" i="8"/>
  <c r="AU46" i="8"/>
  <c r="AQ46" i="8"/>
  <c r="AP46" i="8"/>
  <c r="H46" i="8"/>
  <c r="AZ45" i="8"/>
  <c r="AY45" i="8"/>
  <c r="AX45" i="8"/>
  <c r="AW45" i="8"/>
  <c r="AV45" i="8"/>
  <c r="AU45" i="8"/>
  <c r="AQ45" i="8"/>
  <c r="AP45" i="8"/>
  <c r="H45" i="8"/>
  <c r="AZ44" i="8"/>
  <c r="AY44" i="8"/>
  <c r="AX44" i="8"/>
  <c r="AW44" i="8"/>
  <c r="AV44" i="8"/>
  <c r="AU44" i="8"/>
  <c r="AQ44" i="8"/>
  <c r="AP44" i="8"/>
  <c r="H44" i="8"/>
  <c r="AZ43" i="8"/>
  <c r="AY43" i="8"/>
  <c r="AX43" i="8"/>
  <c r="AW43" i="8"/>
  <c r="AV43" i="8"/>
  <c r="AU43" i="8"/>
  <c r="AQ43" i="8"/>
  <c r="AP43" i="8"/>
  <c r="H43" i="8"/>
  <c r="AZ42" i="8"/>
  <c r="AY42" i="8"/>
  <c r="AX42" i="8"/>
  <c r="AW42" i="8"/>
  <c r="AV42" i="8"/>
  <c r="AU42" i="8"/>
  <c r="AQ42" i="8"/>
  <c r="AP42" i="8"/>
  <c r="H42" i="8"/>
  <c r="AZ41" i="8"/>
  <c r="AY41" i="8"/>
  <c r="AX41" i="8"/>
  <c r="AW41" i="8"/>
  <c r="AV41" i="8"/>
  <c r="AU41" i="8"/>
  <c r="AQ41" i="8"/>
  <c r="AP41" i="8"/>
  <c r="H41" i="8"/>
  <c r="AZ40" i="8"/>
  <c r="AY40" i="8"/>
  <c r="AX40" i="8"/>
  <c r="AW40" i="8"/>
  <c r="AV40" i="8"/>
  <c r="AU40" i="8"/>
  <c r="AQ40" i="8"/>
  <c r="AP40" i="8"/>
  <c r="H40" i="8"/>
  <c r="AZ39" i="8"/>
  <c r="AY39" i="8"/>
  <c r="AX39" i="8"/>
  <c r="AW39" i="8"/>
  <c r="AV39" i="8"/>
  <c r="AU39" i="8"/>
  <c r="AQ39" i="8"/>
  <c r="AP39" i="8"/>
  <c r="H39" i="8"/>
  <c r="AZ38" i="8"/>
  <c r="AY38" i="8"/>
  <c r="AX38" i="8"/>
  <c r="AW38" i="8"/>
  <c r="AV38" i="8"/>
  <c r="AU38" i="8"/>
  <c r="AQ38" i="8"/>
  <c r="AP38" i="8"/>
  <c r="H38" i="8"/>
  <c r="AZ37" i="8"/>
  <c r="AY37" i="8"/>
  <c r="AX37" i="8"/>
  <c r="AW37" i="8"/>
  <c r="AV37" i="8"/>
  <c r="AU37" i="8"/>
  <c r="AQ37" i="8"/>
  <c r="AP37" i="8"/>
  <c r="H37" i="8"/>
  <c r="AZ36" i="8"/>
  <c r="AY36" i="8"/>
  <c r="AX36" i="8"/>
  <c r="AW36" i="8"/>
  <c r="AV36" i="8"/>
  <c r="AU36" i="8"/>
  <c r="AQ36" i="8"/>
  <c r="AP36" i="8"/>
  <c r="H36" i="8"/>
  <c r="AZ35" i="8"/>
  <c r="AY35" i="8"/>
  <c r="AX35" i="8"/>
  <c r="AW35" i="8"/>
  <c r="AV35" i="8"/>
  <c r="AU35" i="8"/>
  <c r="AQ35" i="8"/>
  <c r="AP35" i="8"/>
  <c r="H35" i="8"/>
  <c r="AZ34" i="8"/>
  <c r="AY34" i="8"/>
  <c r="AX34" i="8"/>
  <c r="AW34" i="8"/>
  <c r="AV34" i="8"/>
  <c r="AU34" i="8"/>
  <c r="AQ34" i="8"/>
  <c r="AP34" i="8"/>
  <c r="H34" i="8"/>
  <c r="AZ33" i="8"/>
  <c r="AY33" i="8"/>
  <c r="AX33" i="8"/>
  <c r="AW33" i="8"/>
  <c r="AV33" i="8"/>
  <c r="AU33" i="8"/>
  <c r="AQ33" i="8"/>
  <c r="AP33" i="8"/>
  <c r="H33" i="8"/>
  <c r="AZ32" i="8"/>
  <c r="AY32" i="8"/>
  <c r="AX32" i="8"/>
  <c r="AW32" i="8"/>
  <c r="AV32" i="8"/>
  <c r="AU32" i="8"/>
  <c r="AQ32" i="8"/>
  <c r="AP32" i="8"/>
  <c r="H32" i="8"/>
  <c r="AZ31" i="8"/>
  <c r="AY31" i="8"/>
  <c r="AX31" i="8"/>
  <c r="AW31" i="8"/>
  <c r="AV31" i="8"/>
  <c r="AU31" i="8"/>
  <c r="AQ31" i="8"/>
  <c r="AP31" i="8"/>
  <c r="H31" i="8"/>
  <c r="AZ30" i="8"/>
  <c r="AY30" i="8"/>
  <c r="AX30" i="8"/>
  <c r="AW30" i="8"/>
  <c r="AV30" i="8"/>
  <c r="AU30" i="8"/>
  <c r="AQ30" i="8"/>
  <c r="AP30" i="8"/>
  <c r="H30" i="8"/>
  <c r="AZ29" i="8"/>
  <c r="AY29" i="8"/>
  <c r="AX29" i="8"/>
  <c r="AW29" i="8"/>
  <c r="AV29" i="8"/>
  <c r="AU29" i="8"/>
  <c r="AQ29" i="8"/>
  <c r="AP29" i="8"/>
  <c r="H29" i="8"/>
  <c r="AZ28" i="8"/>
  <c r="AY28" i="8"/>
  <c r="AX28" i="8"/>
  <c r="AW28" i="8"/>
  <c r="AV28" i="8"/>
  <c r="AU28" i="8"/>
  <c r="AQ28" i="8"/>
  <c r="AP28" i="8"/>
  <c r="H28" i="8"/>
  <c r="AZ27" i="8"/>
  <c r="AY27" i="8"/>
  <c r="AX27" i="8"/>
  <c r="AW27" i="8"/>
  <c r="AV27" i="8"/>
  <c r="AU27" i="8"/>
  <c r="AQ27" i="8"/>
  <c r="AP27" i="8"/>
  <c r="H27" i="8"/>
  <c r="AZ26" i="8"/>
  <c r="AY26" i="8"/>
  <c r="AX26" i="8"/>
  <c r="AW26" i="8"/>
  <c r="AV26" i="8"/>
  <c r="AU26" i="8"/>
  <c r="AQ26" i="8"/>
  <c r="AP26" i="8"/>
  <c r="H26" i="8"/>
  <c r="AZ25" i="8"/>
  <c r="AY25" i="8"/>
  <c r="AX25" i="8"/>
  <c r="AW25" i="8"/>
  <c r="AV25" i="8"/>
  <c r="AU25" i="8"/>
  <c r="AQ25" i="8"/>
  <c r="AP25" i="8"/>
  <c r="H25" i="8"/>
  <c r="AZ24" i="8"/>
  <c r="AY24" i="8"/>
  <c r="AX24" i="8"/>
  <c r="AW24" i="8"/>
  <c r="AV24" i="8"/>
  <c r="AU24" i="8"/>
  <c r="AQ24" i="8"/>
  <c r="AP24" i="8"/>
  <c r="H24" i="8"/>
  <c r="AZ23" i="8"/>
  <c r="AY23" i="8"/>
  <c r="AX23" i="8"/>
  <c r="AW23" i="8"/>
  <c r="AV23" i="8"/>
  <c r="AU23" i="8"/>
  <c r="AQ23" i="8"/>
  <c r="AP23" i="8"/>
  <c r="H23" i="8"/>
  <c r="AZ22" i="8"/>
  <c r="AY22" i="8"/>
  <c r="AX22" i="8"/>
  <c r="AW22" i="8"/>
  <c r="AV22" i="8"/>
  <c r="AU22" i="8"/>
  <c r="AQ22" i="8"/>
  <c r="AP22" i="8"/>
  <c r="H22" i="8"/>
  <c r="AZ21" i="8"/>
  <c r="AY21" i="8"/>
  <c r="AX21" i="8"/>
  <c r="AW21" i="8"/>
  <c r="AV21" i="8"/>
  <c r="AU21" i="8"/>
  <c r="AQ21" i="8"/>
  <c r="AP21" i="8"/>
  <c r="H21" i="8"/>
  <c r="AZ20" i="8"/>
  <c r="AY20" i="8"/>
  <c r="AX20" i="8"/>
  <c r="AW20" i="8"/>
  <c r="AV20" i="8"/>
  <c r="AU20" i="8"/>
  <c r="AQ20" i="8"/>
  <c r="AP20" i="8"/>
  <c r="H20" i="8"/>
  <c r="AZ19" i="8"/>
  <c r="AY19" i="8"/>
  <c r="AX19" i="8"/>
  <c r="AW19" i="8"/>
  <c r="AV19" i="8"/>
  <c r="AU19" i="8"/>
  <c r="AQ19" i="8"/>
  <c r="AP19" i="8"/>
  <c r="H19" i="8"/>
  <c r="AZ18" i="8"/>
  <c r="AY18" i="8"/>
  <c r="AX18" i="8"/>
  <c r="AW18" i="8"/>
  <c r="AV18" i="8"/>
  <c r="AU18" i="8"/>
  <c r="AQ18" i="8"/>
  <c r="AP18" i="8"/>
  <c r="H18" i="8"/>
  <c r="AZ17" i="8"/>
  <c r="AY17" i="8"/>
  <c r="AX17" i="8"/>
  <c r="AW17" i="8"/>
  <c r="AV17" i="8"/>
  <c r="AU17" i="8"/>
  <c r="AQ17" i="8"/>
  <c r="AP17" i="8"/>
  <c r="H17" i="8"/>
  <c r="AZ16" i="8"/>
  <c r="AY16" i="8"/>
  <c r="AX16" i="8"/>
  <c r="AW16" i="8"/>
  <c r="AV16" i="8"/>
  <c r="AU16" i="8"/>
  <c r="AQ16" i="8"/>
  <c r="AP16" i="8"/>
  <c r="H16" i="8"/>
  <c r="AZ15" i="8"/>
  <c r="AY15" i="8"/>
  <c r="AX15" i="8"/>
  <c r="AW15" i="8"/>
  <c r="AV15" i="8"/>
  <c r="AU15" i="8"/>
  <c r="AQ15" i="8"/>
  <c r="AP15" i="8"/>
  <c r="H15" i="8"/>
  <c r="AZ14" i="8"/>
  <c r="AY14" i="8"/>
  <c r="AX14" i="8"/>
  <c r="AW14" i="8"/>
  <c r="AV14" i="8"/>
  <c r="AU14" i="8"/>
  <c r="AQ14" i="8"/>
  <c r="AP14" i="8"/>
  <c r="H14" i="8"/>
  <c r="AZ13" i="8"/>
  <c r="AY13" i="8"/>
  <c r="AX13" i="8"/>
  <c r="AW13" i="8"/>
  <c r="AV13" i="8"/>
  <c r="AU13" i="8"/>
  <c r="AQ13" i="8"/>
  <c r="AP13" i="8"/>
  <c r="H13" i="8"/>
  <c r="AZ12" i="8"/>
  <c r="AY12" i="8"/>
  <c r="AX12" i="8"/>
  <c r="AW12" i="8"/>
  <c r="AV12" i="8"/>
  <c r="AU12" i="8"/>
  <c r="AQ12" i="8"/>
  <c r="AP12" i="8"/>
  <c r="H12" i="8"/>
  <c r="AZ11" i="8"/>
  <c r="AY11" i="8"/>
  <c r="AX11" i="8"/>
  <c r="AW11" i="8"/>
  <c r="AV11" i="8"/>
  <c r="AU11" i="8"/>
  <c r="AQ11" i="8"/>
  <c r="AP11" i="8"/>
  <c r="H11" i="8"/>
  <c r="AZ10" i="8"/>
  <c r="AY10" i="8"/>
  <c r="AX10" i="8"/>
  <c r="AW10" i="8"/>
  <c r="AV10" i="8"/>
  <c r="AU10" i="8"/>
  <c r="AQ10" i="8"/>
  <c r="AP10" i="8"/>
  <c r="H10" i="8"/>
  <c r="AZ9" i="8"/>
  <c r="AY9" i="8"/>
  <c r="AX9" i="8"/>
  <c r="AW9" i="8"/>
  <c r="AV9" i="8"/>
  <c r="AU9" i="8"/>
  <c r="AQ9" i="8"/>
  <c r="AP9" i="8"/>
  <c r="H9" i="8"/>
  <c r="AZ8" i="8"/>
  <c r="AY8" i="8"/>
  <c r="AX8" i="8"/>
  <c r="AW8" i="8"/>
  <c r="AV8" i="8"/>
  <c r="AU8" i="8"/>
  <c r="AQ8" i="8"/>
  <c r="AP8" i="8"/>
  <c r="H8" i="8"/>
  <c r="AZ7" i="8"/>
  <c r="AY7" i="8"/>
  <c r="AX7" i="8"/>
  <c r="AW7" i="8"/>
  <c r="AV7" i="8"/>
  <c r="AU7" i="8"/>
  <c r="AQ7" i="8"/>
  <c r="AP7" i="8"/>
  <c r="H7" i="8"/>
  <c r="AZ6" i="8"/>
  <c r="AY6" i="8"/>
  <c r="AX6" i="8"/>
  <c r="AW6" i="8"/>
  <c r="AV6" i="8"/>
  <c r="AU6" i="8"/>
  <c r="AQ6" i="8"/>
  <c r="AP6" i="8"/>
  <c r="H6" i="8"/>
  <c r="AZ5" i="8"/>
  <c r="AY5" i="8"/>
  <c r="AX5" i="8"/>
  <c r="AW5" i="8"/>
  <c r="AV5" i="8"/>
  <c r="AU5" i="8"/>
  <c r="AQ5" i="8"/>
  <c r="AP5" i="8"/>
  <c r="H5" i="8"/>
  <c r="AZ4" i="8"/>
  <c r="AY4" i="8"/>
  <c r="AX4" i="8"/>
  <c r="AW4" i="8"/>
  <c r="AV4" i="8"/>
  <c r="AU4" i="8"/>
  <c r="AQ4" i="8"/>
  <c r="AP4" i="8"/>
  <c r="H4" i="8"/>
  <c r="AZ3" i="8"/>
  <c r="AY3" i="8"/>
  <c r="AX3" i="8"/>
  <c r="AW3" i="8"/>
  <c r="AV3" i="8"/>
  <c r="AU3" i="8"/>
  <c r="AQ3" i="8"/>
  <c r="AP3" i="8"/>
  <c r="H3" i="8"/>
  <c r="AZ2" i="8"/>
  <c r="AY2" i="8"/>
  <c r="AX2" i="8"/>
  <c r="AW2" i="8"/>
  <c r="AV2" i="8"/>
  <c r="H2" i="8"/>
  <c r="AT567" i="8" l="1"/>
  <c r="F7" i="10" s="1"/>
  <c r="AU654" i="8"/>
  <c r="BF567" i="8"/>
  <c r="R7" i="10" s="1"/>
  <c r="BH568" i="8"/>
  <c r="T14" i="10" s="1"/>
  <c r="AR567" i="8"/>
  <c r="D7" i="10" s="1"/>
  <c r="AP567" i="8"/>
  <c r="B7" i="10" s="1"/>
  <c r="AQ567" i="8"/>
  <c r="C7" i="10" s="1"/>
  <c r="AZ567" i="8"/>
  <c r="L7" i="10" s="1"/>
  <c r="BC568" i="8"/>
  <c r="O14" i="10" s="1"/>
  <c r="AY568" i="8"/>
  <c r="K14" i="10" s="1"/>
  <c r="BA567" i="8"/>
  <c r="M7" i="10" s="1"/>
  <c r="BB567" i="8"/>
  <c r="N7" i="10" s="1"/>
  <c r="AP654" i="8"/>
  <c r="BC567" i="8"/>
  <c r="O7" i="10" s="1"/>
  <c r="AT568" i="8"/>
  <c r="F14" i="10" s="1"/>
  <c r="BF568" i="8"/>
  <c r="R14" i="10" s="1"/>
  <c r="BD567" i="8"/>
  <c r="P7" i="10" s="1"/>
  <c r="AX568" i="8"/>
  <c r="J14" i="10" s="1"/>
  <c r="AS567" i="8"/>
  <c r="E7" i="10" s="1"/>
  <c r="BE567" i="8"/>
  <c r="Q7" i="10" s="1"/>
  <c r="AV568" i="8"/>
  <c r="H14" i="10" s="1"/>
  <c r="BG567" i="8"/>
  <c r="S7" i="10" s="1"/>
  <c r="AW568" i="8"/>
  <c r="I14" i="10" s="1"/>
  <c r="AX567" i="8"/>
  <c r="J7" i="10" s="1"/>
  <c r="BI568" i="8"/>
  <c r="U14" i="10" s="1"/>
  <c r="AV567" i="8"/>
  <c r="H7" i="10" s="1"/>
  <c r="BH567" i="8"/>
  <c r="T7" i="10" s="1"/>
  <c r="AZ568" i="8"/>
  <c r="L14" i="10" s="1"/>
  <c r="AV654" i="8"/>
  <c r="AW567" i="8"/>
  <c r="I7" i="10" s="1"/>
  <c r="BI567" i="8"/>
  <c r="U7" i="10" s="1"/>
  <c r="BA568" i="8"/>
  <c r="M14" i="10" s="1"/>
  <c r="AW654" i="8"/>
  <c r="AP568" i="8"/>
  <c r="B14" i="10" s="1"/>
  <c r="BB568" i="8"/>
  <c r="N14" i="10" s="1"/>
  <c r="AP655" i="8"/>
  <c r="AY567" i="8"/>
  <c r="K7" i="10" s="1"/>
  <c r="AQ568" i="8"/>
  <c r="C14" i="10" s="1"/>
  <c r="AU655" i="8"/>
  <c r="AR568" i="8"/>
  <c r="D14" i="10" s="1"/>
  <c r="BD568" i="8"/>
  <c r="P14" i="10" s="1"/>
  <c r="AV655" i="8"/>
  <c r="AS568" i="8"/>
  <c r="E14" i="10" s="1"/>
  <c r="BE568" i="8"/>
  <c r="Q14" i="10" s="1"/>
  <c r="AW655" i="8"/>
  <c r="AU568" i="8"/>
  <c r="G14" i="10" s="1"/>
  <c r="BG568" i="8"/>
  <c r="S14" i="10" s="1"/>
  <c r="AU567" i="8"/>
  <c r="G7" i="10" s="1"/>
</calcChain>
</file>

<file path=xl/sharedStrings.xml><?xml version="1.0" encoding="utf-8"?>
<sst xmlns="http://schemas.openxmlformats.org/spreadsheetml/2006/main" count="5851" uniqueCount="1214">
  <si>
    <t>Test ID</t>
  </si>
  <si>
    <t>Vehicle Info</t>
  </si>
  <si>
    <t>Vehicle Type</t>
  </si>
  <si>
    <t>ATD</t>
  </si>
  <si>
    <t>Vehicle dV (kph)</t>
  </si>
  <si>
    <t>Vehicle Peak a (g)</t>
  </si>
  <si>
    <t>CEF0101</t>
  </si>
  <si>
    <t>2001 Lexus LS430</t>
  </si>
  <si>
    <t>car (sedan)</t>
  </si>
  <si>
    <t>Hybrid III</t>
  </si>
  <si>
    <t>CEF0103</t>
  </si>
  <si>
    <t>2001 Hyundai Elantra</t>
  </si>
  <si>
    <t>CEF0112</t>
  </si>
  <si>
    <t>CEF0123</t>
  </si>
  <si>
    <t>2002 Mitsubishi Lancer</t>
  </si>
  <si>
    <t>CEF0124</t>
  </si>
  <si>
    <t>2002 Volvo S40</t>
  </si>
  <si>
    <t>CEF0126</t>
  </si>
  <si>
    <t>2002 Subaru Impreza</t>
  </si>
  <si>
    <t>CEF0129</t>
  </si>
  <si>
    <t>2002 Lexus IS 300</t>
  </si>
  <si>
    <t>CEF0202</t>
  </si>
  <si>
    <t>2002 Toyota Camry</t>
  </si>
  <si>
    <t>CEF0203</t>
  </si>
  <si>
    <t>2002 Nissan Altima</t>
  </si>
  <si>
    <t>CEF0204</t>
  </si>
  <si>
    <t>2002 Volvo S60</t>
  </si>
  <si>
    <t>CEF0205</t>
  </si>
  <si>
    <t>2002 Hyundai XG 350</t>
  </si>
  <si>
    <t>CEF0206</t>
  </si>
  <si>
    <t>2002 Acura TL</t>
  </si>
  <si>
    <t>CEF0207</t>
  </si>
  <si>
    <t>2002 Lexus ES 300</t>
  </si>
  <si>
    <t>CEF0208</t>
  </si>
  <si>
    <t>2002 SAAB 9-5</t>
  </si>
  <si>
    <t>CEF0209</t>
  </si>
  <si>
    <t>2003 Cadillac CTS</t>
  </si>
  <si>
    <t>CEF0210</t>
  </si>
  <si>
    <t>2002 Jaguar X-Type</t>
  </si>
  <si>
    <t>CEF0211</t>
  </si>
  <si>
    <t>CEF0216</t>
  </si>
  <si>
    <t>2002 Audi A4</t>
  </si>
  <si>
    <t>CEF0217</t>
  </si>
  <si>
    <t>2002 Suzuki Aerio</t>
  </si>
  <si>
    <t>CEF0218</t>
  </si>
  <si>
    <t>2003 Toyota Corolla</t>
  </si>
  <si>
    <t>CEF0220</t>
  </si>
  <si>
    <t>2003 Honda Accord</t>
  </si>
  <si>
    <t>CEF0221</t>
  </si>
  <si>
    <t>CEF0222</t>
  </si>
  <si>
    <t>2002 Mini Cooper</t>
  </si>
  <si>
    <t>car (hatchback)</t>
  </si>
  <si>
    <t>CEF0223</t>
  </si>
  <si>
    <t>CEF0224</t>
  </si>
  <si>
    <t>2002 Acura RL</t>
  </si>
  <si>
    <t>CEF0301</t>
  </si>
  <si>
    <t>2003 Lincoln Town Car</t>
  </si>
  <si>
    <t>CEF0302</t>
  </si>
  <si>
    <t>2003 Infiniti Q45</t>
  </si>
  <si>
    <t>CEF0306</t>
  </si>
  <si>
    <t>2003 Saab 9-3</t>
  </si>
  <si>
    <t>CEF0307</t>
  </si>
  <si>
    <t>2003 Infiniti G35</t>
  </si>
  <si>
    <t>CEF0308</t>
  </si>
  <si>
    <t>2003 Mercedes-Benz E 500</t>
  </si>
  <si>
    <t>CEF0311</t>
  </si>
  <si>
    <t>2003 Mazda6</t>
  </si>
  <si>
    <t>CEF0313</t>
  </si>
  <si>
    <t>CEF0325</t>
  </si>
  <si>
    <t>2004 Suzuki Verona</t>
  </si>
  <si>
    <t>CEF0403</t>
  </si>
  <si>
    <t>CEF0404</t>
  </si>
  <si>
    <t>2004 Acura TL</t>
  </si>
  <si>
    <t>CEF0405</t>
  </si>
  <si>
    <t>2004 Acura TSX</t>
  </si>
  <si>
    <t>CEF0406</t>
  </si>
  <si>
    <t>2004 Chevrolet Malibu</t>
  </si>
  <si>
    <t>CEF0407</t>
  </si>
  <si>
    <t>2004 Nissan Maxima</t>
  </si>
  <si>
    <t>CEF0408</t>
  </si>
  <si>
    <t>2004 Mitsubishi Galant</t>
  </si>
  <si>
    <t>CEF0409</t>
  </si>
  <si>
    <t>2004 BMW 5-Series</t>
  </si>
  <si>
    <t>CEF0410</t>
  </si>
  <si>
    <t>2004 Hyundai Elantra</t>
  </si>
  <si>
    <t>CEF0414</t>
  </si>
  <si>
    <t>2004 Volvo S40</t>
  </si>
  <si>
    <t>CEF0415</t>
  </si>
  <si>
    <t>2005 Subaru Legacy</t>
  </si>
  <si>
    <t>CEF0416</t>
  </si>
  <si>
    <t>CEF0417</t>
  </si>
  <si>
    <t>2004 KIA Spectra</t>
  </si>
  <si>
    <t>CEF0418</t>
  </si>
  <si>
    <t>2004 Mazda 3</t>
  </si>
  <si>
    <t>CEF0419</t>
  </si>
  <si>
    <t>2005 Saturn Ion</t>
  </si>
  <si>
    <t>CEF0420</t>
  </si>
  <si>
    <t>2005 Suzuki Forenza</t>
  </si>
  <si>
    <t>CEF0421</t>
  </si>
  <si>
    <t>CEF0501</t>
  </si>
  <si>
    <t>2005 Chevrolet Cobalt</t>
  </si>
  <si>
    <t>CEF0502</t>
  </si>
  <si>
    <t>2005 Kia Spectra</t>
  </si>
  <si>
    <t>CEF0505</t>
  </si>
  <si>
    <t>2005 Volkswagen Jetta</t>
  </si>
  <si>
    <t>CEF0511</t>
  </si>
  <si>
    <t>2005 Buick LaCrosse</t>
  </si>
  <si>
    <t>CEF0513</t>
  </si>
  <si>
    <t>2005 Ford Five Hundred</t>
  </si>
  <si>
    <t>CEF0514</t>
  </si>
  <si>
    <t>2005 Kia Amanti</t>
  </si>
  <si>
    <t>CEF0515</t>
  </si>
  <si>
    <t>2005 Toyota Avalon</t>
  </si>
  <si>
    <t>CEF0516</t>
  </si>
  <si>
    <t>2005 Acura RL</t>
  </si>
  <si>
    <t>CEF0518</t>
  </si>
  <si>
    <t>2005 Chrysler 300</t>
  </si>
  <si>
    <t>CEF0519</t>
  </si>
  <si>
    <t>2005 Cadillac STS</t>
  </si>
  <si>
    <t>CEF0520</t>
  </si>
  <si>
    <t>2006 Lexus GS 300</t>
  </si>
  <si>
    <t>CEF0521</t>
  </si>
  <si>
    <t>2005 Pontiac G6</t>
  </si>
  <si>
    <t>CEF0522</t>
  </si>
  <si>
    <t>2006 Infiniti M35</t>
  </si>
  <si>
    <t>CEF0523</t>
  </si>
  <si>
    <t>2005 Audi A6</t>
  </si>
  <si>
    <t>CEF0524</t>
  </si>
  <si>
    <t>2006 BMW 325i</t>
  </si>
  <si>
    <t>CEF0525</t>
  </si>
  <si>
    <t>2006 Hyundai Sonata</t>
  </si>
  <si>
    <t>CEF0526</t>
  </si>
  <si>
    <t>CEF0528</t>
  </si>
  <si>
    <t>2006 Audi A3</t>
  </si>
  <si>
    <t>car (wagon)</t>
  </si>
  <si>
    <t>CEF0529</t>
  </si>
  <si>
    <t>2006 Volkswagen Passat</t>
  </si>
  <si>
    <t>CEF0530</t>
  </si>
  <si>
    <t>2006 Honda Civic</t>
  </si>
  <si>
    <t>CEF0531</t>
  </si>
  <si>
    <t>2006 Lexus IS250</t>
  </si>
  <si>
    <t>CEF0601</t>
  </si>
  <si>
    <t>2006 Ford Fusion</t>
  </si>
  <si>
    <t>CEF0603</t>
  </si>
  <si>
    <t>2006 Buick Lucerne</t>
  </si>
  <si>
    <t>CEF0604</t>
  </si>
  <si>
    <t>2006 Toyota Prius</t>
  </si>
  <si>
    <t>CEF0605</t>
  </si>
  <si>
    <t>2007 Dodge Caliber</t>
  </si>
  <si>
    <t>CEF0606</t>
  </si>
  <si>
    <t>2006 Kia Optima</t>
  </si>
  <si>
    <t>CEF0609</t>
  </si>
  <si>
    <t>2007 Hyundai Accent</t>
  </si>
  <si>
    <t>CEF0610</t>
  </si>
  <si>
    <t>2007 Toyota Yaris</t>
  </si>
  <si>
    <t>CEF0611</t>
  </si>
  <si>
    <t>2007 Honda Fit</t>
  </si>
  <si>
    <t>CEF0612</t>
  </si>
  <si>
    <t>2006 Scion xB</t>
  </si>
  <si>
    <t>CEF0613</t>
  </si>
  <si>
    <t>2007 Nissan Versa</t>
  </si>
  <si>
    <t>CEF0614</t>
  </si>
  <si>
    <t>2007 Chevrolet Aveo</t>
  </si>
  <si>
    <t>CEF0615</t>
  </si>
  <si>
    <t>CEF0702</t>
  </si>
  <si>
    <t>2007 Ford Fusion</t>
  </si>
  <si>
    <t>CEF0703</t>
  </si>
  <si>
    <t>2007 Nissan Altima</t>
  </si>
  <si>
    <t>CEF0704</t>
  </si>
  <si>
    <t>2007 Ford Mustang</t>
  </si>
  <si>
    <t>car (convertible)</t>
  </si>
  <si>
    <t>CEF0705</t>
  </si>
  <si>
    <t>2007 Mitsubishi Eclipse</t>
  </si>
  <si>
    <t>CEF0706</t>
  </si>
  <si>
    <t>2007 Toyota Camry Solara</t>
  </si>
  <si>
    <t>CEF0707</t>
  </si>
  <si>
    <t>2007 Audi A4 Cabriolet</t>
  </si>
  <si>
    <t>CEF0708</t>
  </si>
  <si>
    <t>2007 Pontiac G6</t>
  </si>
  <si>
    <t>CEF0710</t>
  </si>
  <si>
    <t>2007 Volkswagen Eos</t>
  </si>
  <si>
    <t>CEF0711</t>
  </si>
  <si>
    <t>2007 Volvo C70</t>
  </si>
  <si>
    <t>CEF0713</t>
  </si>
  <si>
    <t>2007 BMW 328i</t>
  </si>
  <si>
    <t>CEF0714</t>
  </si>
  <si>
    <t>2008 Chrysler Sebring</t>
  </si>
  <si>
    <t>CEF0715</t>
  </si>
  <si>
    <t>CEF0716</t>
  </si>
  <si>
    <t>2007 Saab 9-3</t>
  </si>
  <si>
    <t>CEF0721</t>
  </si>
  <si>
    <t>2008 Scion xD</t>
  </si>
  <si>
    <t>CEF0803</t>
  </si>
  <si>
    <t>2008 Dodge Avenger</t>
  </si>
  <si>
    <t>CEF0804</t>
  </si>
  <si>
    <t>2008 Mercedes C300</t>
  </si>
  <si>
    <t>CEF0807</t>
  </si>
  <si>
    <t>2008 Smart Fortwo</t>
  </si>
  <si>
    <t>CEF0817</t>
  </si>
  <si>
    <t>2009 Hyundai Genesis</t>
  </si>
  <si>
    <t>CEF0818</t>
  </si>
  <si>
    <t>2008 Chevrolet HHR</t>
  </si>
  <si>
    <t>CEF0819</t>
  </si>
  <si>
    <t>2008 Saturn Astra</t>
  </si>
  <si>
    <t>CEF0820</t>
  </si>
  <si>
    <t>2009 Honda Fit</t>
  </si>
  <si>
    <t>CEF0821</t>
  </si>
  <si>
    <t>2008 Nissan Sentra</t>
  </si>
  <si>
    <t>CEF0823</t>
  </si>
  <si>
    <t>2008 Suzuki SX4</t>
  </si>
  <si>
    <t>CEF0824</t>
  </si>
  <si>
    <t>2008 Chrysler PT Cruiser</t>
  </si>
  <si>
    <t>CEF0902</t>
  </si>
  <si>
    <t>2009 Ford Focus</t>
  </si>
  <si>
    <t>CEF0904</t>
  </si>
  <si>
    <t>2009 Honda Civic</t>
  </si>
  <si>
    <t>CEF0906</t>
  </si>
  <si>
    <t>2009 Volvo C30</t>
  </si>
  <si>
    <t>CEF0907</t>
  </si>
  <si>
    <t>2009 Chevrolet Cobalt</t>
  </si>
  <si>
    <t>CEF0908</t>
  </si>
  <si>
    <t>2009 Scion tC</t>
  </si>
  <si>
    <t>CEF0909</t>
  </si>
  <si>
    <t>2010 Kia Soul</t>
  </si>
  <si>
    <t>CEF0910</t>
  </si>
  <si>
    <t>2009 Nissan Cube</t>
  </si>
  <si>
    <t>CEF0911</t>
  </si>
  <si>
    <t>2010 Honda  Insight</t>
  </si>
  <si>
    <t>CEF0912</t>
  </si>
  <si>
    <t>2010 Kia Forte</t>
  </si>
  <si>
    <t>CEF0914</t>
  </si>
  <si>
    <t>2010 Ford Mustang</t>
  </si>
  <si>
    <t>CEF0915</t>
  </si>
  <si>
    <t>CEF1001</t>
  </si>
  <si>
    <t>CEF1002</t>
  </si>
  <si>
    <t>CEF1005</t>
  </si>
  <si>
    <t>2010 Chevrolet Impala</t>
  </si>
  <si>
    <t>CEF1006</t>
  </si>
  <si>
    <t>2011 Ford Fiesta</t>
  </si>
  <si>
    <t>CF00002</t>
  </si>
  <si>
    <t>1997 Toyota Camry</t>
  </si>
  <si>
    <t>CF00003</t>
  </si>
  <si>
    <t>1999 Daewoo Leganza</t>
  </si>
  <si>
    <t>CF00004</t>
  </si>
  <si>
    <t>2000 Nissan Altima</t>
  </si>
  <si>
    <t>CF00005</t>
  </si>
  <si>
    <t>2000 Subaru Legacy</t>
  </si>
  <si>
    <t>CF00006</t>
  </si>
  <si>
    <t>2000 BMW 328i</t>
  </si>
  <si>
    <t>CF00007</t>
  </si>
  <si>
    <t>2000 Volvo S80</t>
  </si>
  <si>
    <t>CF00010</t>
  </si>
  <si>
    <t>2000 Ford Taurus</t>
  </si>
  <si>
    <t>CF00012</t>
  </si>
  <si>
    <t>2000 Toyota Avalon</t>
  </si>
  <si>
    <t>CF00015</t>
  </si>
  <si>
    <t>2000 Nissan Maxima</t>
  </si>
  <si>
    <t>CF00016</t>
  </si>
  <si>
    <t>2000 Nissan Sentra</t>
  </si>
  <si>
    <t>CF00017</t>
  </si>
  <si>
    <t>2000 Lincoln LS</t>
  </si>
  <si>
    <t>CF00026</t>
  </si>
  <si>
    <t>2001 Dodge Stratus</t>
  </si>
  <si>
    <t>CF00027</t>
  </si>
  <si>
    <t>2001 Mercedes E 430</t>
  </si>
  <si>
    <t>CF00030</t>
  </si>
  <si>
    <t>2001 Chrysler LHS</t>
  </si>
  <si>
    <t>CF00031</t>
  </si>
  <si>
    <t>2001 Honda Civic</t>
  </si>
  <si>
    <t>CF00032</t>
  </si>
  <si>
    <t>2001 Lexus LS 430</t>
  </si>
  <si>
    <t>CF00033</t>
  </si>
  <si>
    <t>2001 Mercedes C320</t>
  </si>
  <si>
    <t>CF00034</t>
  </si>
  <si>
    <t>CF98019</t>
  </si>
  <si>
    <t>1999 Mitsubishi Galant</t>
  </si>
  <si>
    <t>CF98021</t>
  </si>
  <si>
    <t>1999 Saab 9-5</t>
  </si>
  <si>
    <t>CF99001</t>
  </si>
  <si>
    <t>1999 Volkswagen Jetta</t>
  </si>
  <si>
    <t>CF99003</t>
  </si>
  <si>
    <t>1999 Hyundai Sonata</t>
  </si>
  <si>
    <t>CF99004</t>
  </si>
  <si>
    <t>1999 Saab 9-3</t>
  </si>
  <si>
    <t>CF99005</t>
  </si>
  <si>
    <t>1999 Mazda Protege</t>
  </si>
  <si>
    <t>CF99006</t>
  </si>
  <si>
    <t>1999 Lexus GS400</t>
  </si>
  <si>
    <t>CF99007</t>
  </si>
  <si>
    <t>2000 Dodge Neon</t>
  </si>
  <si>
    <t>CF99008</t>
  </si>
  <si>
    <t>1999 Kia Sephia</t>
  </si>
  <si>
    <t>CF99014</t>
  </si>
  <si>
    <t>2000 Chevrolet Impala</t>
  </si>
  <si>
    <t>CF99015</t>
  </si>
  <si>
    <t>2000 Buick LeSabre</t>
  </si>
  <si>
    <t>CF99016</t>
  </si>
  <si>
    <t>1999 Cadillac Catera</t>
  </si>
  <si>
    <t>CF99017</t>
  </si>
  <si>
    <t>1999 Audi A6</t>
  </si>
  <si>
    <t>CF99018</t>
  </si>
  <si>
    <t>2000 Dodge Intrepid</t>
  </si>
  <si>
    <t>CF99019</t>
  </si>
  <si>
    <t>1999 Buick Park Avenue</t>
  </si>
  <si>
    <t>CF99020</t>
  </si>
  <si>
    <t>1999 Chrysler LHS</t>
  </si>
  <si>
    <t>CF99021</t>
  </si>
  <si>
    <t>2000 Cadillac Seville SLS</t>
  </si>
  <si>
    <t>CF99022</t>
  </si>
  <si>
    <t>2000 Saturn LS2</t>
  </si>
  <si>
    <t>CF99024</t>
  </si>
  <si>
    <t>1999 Mazda 626</t>
  </si>
  <si>
    <t>CF99025</t>
  </si>
  <si>
    <t>1999 Chevrolet Malibu</t>
  </si>
  <si>
    <t>CF99026</t>
  </si>
  <si>
    <t>1999 Pontiac Grand Am</t>
  </si>
  <si>
    <t>cf00025</t>
  </si>
  <si>
    <t>2000 Ford Focus</t>
  </si>
  <si>
    <t>average</t>
  </si>
  <si>
    <t>st dev</t>
  </si>
  <si>
    <t>CEF0104</t>
  </si>
  <si>
    <t>2001 Hyundai Santa Fe</t>
  </si>
  <si>
    <t>SUV</t>
  </si>
  <si>
    <t>CEF0105</t>
  </si>
  <si>
    <t>2001 Ford Escape</t>
  </si>
  <si>
    <t>CEF0106</t>
  </si>
  <si>
    <t>2001 Toyota RAV4</t>
  </si>
  <si>
    <t>CEF0113</t>
  </si>
  <si>
    <t>2001 Acura MDX</t>
  </si>
  <si>
    <t>CEF0114</t>
  </si>
  <si>
    <t>2001 Pontiac Aztek</t>
  </si>
  <si>
    <t>CEF0115</t>
  </si>
  <si>
    <t>2001 Mitsubishi Montero Sport</t>
  </si>
  <si>
    <t>CEF0116</t>
  </si>
  <si>
    <t>2001 Suzuki XL-7</t>
  </si>
  <si>
    <t>CEF0117</t>
  </si>
  <si>
    <t>2001 Toyota Highlander</t>
  </si>
  <si>
    <t>CEF0118</t>
  </si>
  <si>
    <t>2002 Isuzu Axiom</t>
  </si>
  <si>
    <t>CEF0119</t>
  </si>
  <si>
    <t>2002 Chevrolet Trailblazer</t>
  </si>
  <si>
    <t>CEF0120</t>
  </si>
  <si>
    <t>2002 Buick Rendezvous</t>
  </si>
  <si>
    <t>CEF0121</t>
  </si>
  <si>
    <t>2002 Isuzu Rodeo</t>
  </si>
  <si>
    <t>CEF0122</t>
  </si>
  <si>
    <t>2002 Jeep Liberty</t>
  </si>
  <si>
    <t>CEF0125</t>
  </si>
  <si>
    <t>2002 Ford Explorer</t>
  </si>
  <si>
    <t>CEF0127</t>
  </si>
  <si>
    <t>CEF0212</t>
  </si>
  <si>
    <t>2002 Saturn VUE</t>
  </si>
  <si>
    <t>CEF0213</t>
  </si>
  <si>
    <t>2002 Honda CR-V</t>
  </si>
  <si>
    <t>CEF0214</t>
  </si>
  <si>
    <t>2003 Subaru Forester</t>
  </si>
  <si>
    <t>CEF0215</t>
  </si>
  <si>
    <t>2002 Land Rover Freelander</t>
  </si>
  <si>
    <t>CEF0303</t>
  </si>
  <si>
    <t>2003 Mitsubishi Outlander</t>
  </si>
  <si>
    <t>CEF0304</t>
  </si>
  <si>
    <t>2003 Honda Element</t>
  </si>
  <si>
    <t>CEF0305</t>
  </si>
  <si>
    <t>2003 Volvo XC90</t>
  </si>
  <si>
    <t>CEF0309</t>
  </si>
  <si>
    <t>2003 Toyota 4Runner</t>
  </si>
  <si>
    <t>CEF0312</t>
  </si>
  <si>
    <t>2004 Chrysler Pacifica</t>
  </si>
  <si>
    <t>CEF0318</t>
  </si>
  <si>
    <t>2003 Kia Sorento</t>
  </si>
  <si>
    <t>CEF0319</t>
  </si>
  <si>
    <t>2003 Honda Pilot</t>
  </si>
  <si>
    <t>CEF0321</t>
  </si>
  <si>
    <t>2004 Mitsubishi Endeavor</t>
  </si>
  <si>
    <t>CEF0322</t>
  </si>
  <si>
    <t>2004 Lexus RX 330</t>
  </si>
  <si>
    <t>CEF0323</t>
  </si>
  <si>
    <t>2003 Nissan Murano</t>
  </si>
  <si>
    <t>CEF0324</t>
  </si>
  <si>
    <t>2003 Infiniti FX35</t>
  </si>
  <si>
    <t>CEF0326</t>
  </si>
  <si>
    <t>2004 Cadillac SRX</t>
  </si>
  <si>
    <t>CEF0411</t>
  </si>
  <si>
    <t>2004 Toyota RAV4</t>
  </si>
  <si>
    <t>CEF0413</t>
  </si>
  <si>
    <t>2005 Ford Escape</t>
  </si>
  <si>
    <t>CEF0527</t>
  </si>
  <si>
    <t>2005 Ford Freestyle</t>
  </si>
  <si>
    <t>CEF0607</t>
  </si>
  <si>
    <t>2006 Hyundai Tucson</t>
  </si>
  <si>
    <t>CEF0608</t>
  </si>
  <si>
    <t>2006 Subaru B9 Tribeca</t>
  </si>
  <si>
    <t>CEF0701</t>
  </si>
  <si>
    <t>2007 Ford Edge</t>
  </si>
  <si>
    <t>CEF0717</t>
  </si>
  <si>
    <t>2007 Nissan Xterra</t>
  </si>
  <si>
    <t>CEF0718</t>
  </si>
  <si>
    <t>2007 Nissan Pathfinder</t>
  </si>
  <si>
    <t>CEF0719</t>
  </si>
  <si>
    <t>2007 Chevrolet TrailBlazer</t>
  </si>
  <si>
    <t>CEF0720</t>
  </si>
  <si>
    <t>2007 Jeep Grand Cherokee</t>
  </si>
  <si>
    <t>CEF0722</t>
  </si>
  <si>
    <t>2008 BMW X3</t>
  </si>
  <si>
    <t>CEF0723</t>
  </si>
  <si>
    <t>2008 Jeep Wrangler</t>
  </si>
  <si>
    <t>CEF0724</t>
  </si>
  <si>
    <t>2008 Jeep Liberty</t>
  </si>
  <si>
    <t>CEF0725</t>
  </si>
  <si>
    <t>2008 Mazda CX-7</t>
  </si>
  <si>
    <t>CEF0726</t>
  </si>
  <si>
    <t>2008 Infiniti EX35</t>
  </si>
  <si>
    <t>CEF0727</t>
  </si>
  <si>
    <t>2008 Kia Sorento</t>
  </si>
  <si>
    <t>CEF0801</t>
  </si>
  <si>
    <t>2008 Hummer H3</t>
  </si>
  <si>
    <t>CEF0802</t>
  </si>
  <si>
    <t>2008 Mazda CX-9</t>
  </si>
  <si>
    <t>CEF0808</t>
  </si>
  <si>
    <t>2008 Jeep Patriot</t>
  </si>
  <si>
    <t>CEF0810</t>
  </si>
  <si>
    <t>2008 Suzuki Grand Vitara</t>
  </si>
  <si>
    <t>CEF0812</t>
  </si>
  <si>
    <t>2008 Nissan Rogue</t>
  </si>
  <si>
    <t>CEF0813</t>
  </si>
  <si>
    <t>2008 GMC Acadia</t>
  </si>
  <si>
    <t>CEF0814</t>
  </si>
  <si>
    <t>2008 Audi Q7</t>
  </si>
  <si>
    <t>CEF0815</t>
  </si>
  <si>
    <t>2009 Volkswagen Tiguan</t>
  </si>
  <si>
    <t>CEF0816</t>
  </si>
  <si>
    <t>2009 Ford Escape</t>
  </si>
  <si>
    <t>CEF0903</t>
  </si>
  <si>
    <t>2009 Toyota Venza</t>
  </si>
  <si>
    <t>CEF0905</t>
  </si>
  <si>
    <t>2009 Audi Q5</t>
  </si>
  <si>
    <t>CEF0913</t>
  </si>
  <si>
    <t>2009 Dodge Journey</t>
  </si>
  <si>
    <t>CEF0916</t>
  </si>
  <si>
    <t>2010 Volvo XC60</t>
  </si>
  <si>
    <t>CEF1003</t>
  </si>
  <si>
    <t>2010 Honda Accord Crosstour</t>
  </si>
  <si>
    <t>CEF1004</t>
  </si>
  <si>
    <t>2010 Hyundai Tucson</t>
  </si>
  <si>
    <t>CF00014</t>
  </si>
  <si>
    <t>2000 Isuzu Rodeo</t>
  </si>
  <si>
    <t>CF00020</t>
  </si>
  <si>
    <t>2000 Nissan Xterra</t>
  </si>
  <si>
    <t>CF00021</t>
  </si>
  <si>
    <t>2000 Isuzu Trooper</t>
  </si>
  <si>
    <t>CF00022</t>
  </si>
  <si>
    <t>2001 Mitsubishi Montero</t>
  </si>
  <si>
    <t>CF00023</t>
  </si>
  <si>
    <t>2001 BMW X5</t>
  </si>
  <si>
    <t>CF00024</t>
  </si>
  <si>
    <t>2001 Isuzu Trooper</t>
  </si>
  <si>
    <t>CF00029</t>
  </si>
  <si>
    <t>CF98008</t>
  </si>
  <si>
    <t>1998 Jeep Wrangler</t>
  </si>
  <si>
    <t>CF98012</t>
  </si>
  <si>
    <t>1998 Jeep Cherokee</t>
  </si>
  <si>
    <t>CF98013</t>
  </si>
  <si>
    <t>1998 Kia Sportage</t>
  </si>
  <si>
    <t>CF98016</t>
  </si>
  <si>
    <t>1998 Isuzu Amigo</t>
  </si>
  <si>
    <t>CF98017</t>
  </si>
  <si>
    <t>1998 Honda CRV</t>
  </si>
  <si>
    <t>CF98018</t>
  </si>
  <si>
    <t>1999 Subaru Forester</t>
  </si>
  <si>
    <t>CF98020</t>
  </si>
  <si>
    <t>1999 Suzuki Grand Vitara</t>
  </si>
  <si>
    <t>CF98022</t>
  </si>
  <si>
    <t>1999 Lexus RX300</t>
  </si>
  <si>
    <t>CF99009</t>
  </si>
  <si>
    <t>1999 Jeep Grand Cherokee</t>
  </si>
  <si>
    <t>CF99010</t>
  </si>
  <si>
    <t>1999 Land Rover Discovery</t>
  </si>
  <si>
    <t>CF99011</t>
  </si>
  <si>
    <t>1999 Mitsubishi Montero Sport</t>
  </si>
  <si>
    <t>CF99012</t>
  </si>
  <si>
    <t>1999 Mercedes-Benz ML320</t>
  </si>
  <si>
    <t>CF99013</t>
  </si>
  <si>
    <t>1999 Dodge Durango</t>
  </si>
  <si>
    <t>CEF0102</t>
  </si>
  <si>
    <t>2001 Dodge Grand Caravan</t>
  </si>
  <si>
    <t>minivan</t>
  </si>
  <si>
    <t>CEF0111</t>
  </si>
  <si>
    <t>CEF0201</t>
  </si>
  <si>
    <t>2002 Kia Sedona</t>
  </si>
  <si>
    <t>CEF0310</t>
  </si>
  <si>
    <t>2004 Toyota Sienna</t>
  </si>
  <si>
    <t>CEF0314</t>
  </si>
  <si>
    <t>CEF0317</t>
  </si>
  <si>
    <t>2004 Nissan Quest</t>
  </si>
  <si>
    <t>CEF0327</t>
  </si>
  <si>
    <t>2004 Ford Freestar</t>
  </si>
  <si>
    <t>CEF0508</t>
  </si>
  <si>
    <t>2005 Chevrolet Uplander</t>
  </si>
  <si>
    <t>CEF0509</t>
  </si>
  <si>
    <t>2005 Honda Odyssey</t>
  </si>
  <si>
    <t>CEF0602</t>
  </si>
  <si>
    <t>2006 Kia Sedona</t>
  </si>
  <si>
    <t>CEF0806</t>
  </si>
  <si>
    <t>2008 Dodge Grand Caravan</t>
  </si>
  <si>
    <t>CF00011</t>
  </si>
  <si>
    <t>2000 Mazda MPV</t>
  </si>
  <si>
    <t>CF00028</t>
  </si>
  <si>
    <t>CF98023</t>
  </si>
  <si>
    <t>1999 Nissan Quest</t>
  </si>
  <si>
    <t>CF98024</t>
  </si>
  <si>
    <t>1999 Honda Odyssey</t>
  </si>
  <si>
    <t>CF99002</t>
  </si>
  <si>
    <t>1999 Ford Windstar</t>
  </si>
  <si>
    <t>CEF0107</t>
  </si>
  <si>
    <t>2001 Chevrolet Silverado</t>
  </si>
  <si>
    <t>pickup</t>
  </si>
  <si>
    <t>CEF0108</t>
  </si>
  <si>
    <t>2001 Toyota Tundra</t>
  </si>
  <si>
    <t>CEF0109</t>
  </si>
  <si>
    <t>2001 Dodge Ram 1500</t>
  </si>
  <si>
    <t>CEF0110</t>
  </si>
  <si>
    <t>2001 Ford F-150</t>
  </si>
  <si>
    <t>CEF0128</t>
  </si>
  <si>
    <t>2002 Dodge Ram 1500</t>
  </si>
  <si>
    <t>CEF0328</t>
  </si>
  <si>
    <t>2004 Ford F150</t>
  </si>
  <si>
    <t>CEF0412</t>
  </si>
  <si>
    <t>2004 Nissan Titan</t>
  </si>
  <si>
    <t>CEF0503</t>
  </si>
  <si>
    <t>2005 Dodge Dakota</t>
  </si>
  <si>
    <t>CEF0504</t>
  </si>
  <si>
    <t>2005 Nissan Frontier</t>
  </si>
  <si>
    <t>CEF0506</t>
  </si>
  <si>
    <t>2005 Chevrolet Colorado</t>
  </si>
  <si>
    <t>CEF0507</t>
  </si>
  <si>
    <t>2005 Ford Ranger</t>
  </si>
  <si>
    <t>CEF0510</t>
  </si>
  <si>
    <t>2005 Toyota Tacoma</t>
  </si>
  <si>
    <t>CEF0712</t>
  </si>
  <si>
    <t>2007 Toyota Tundra</t>
  </si>
  <si>
    <t>CEF0805</t>
  </si>
  <si>
    <t>2008 Dodge Dakota</t>
  </si>
  <si>
    <t>CEF0811</t>
  </si>
  <si>
    <t>2008 Chevrolet Colorado</t>
  </si>
  <si>
    <t>CEF0822</t>
  </si>
  <si>
    <t>2009 Honda Ridgeline</t>
  </si>
  <si>
    <t>CEF0825</t>
  </si>
  <si>
    <t>2009 Chevrolet Silverado</t>
  </si>
  <si>
    <t>CF10015</t>
  </si>
  <si>
    <t>2008 Dodge Ram</t>
  </si>
  <si>
    <t>CF10016</t>
  </si>
  <si>
    <t>CF98007</t>
  </si>
  <si>
    <t>1998 Ford Ranger</t>
  </si>
  <si>
    <t>Average</t>
  </si>
  <si>
    <t>Car</t>
  </si>
  <si>
    <t>Minivan</t>
  </si>
  <si>
    <t>Pickup</t>
  </si>
  <si>
    <t>All groups</t>
  </si>
  <si>
    <t>St dev</t>
  </si>
  <si>
    <t>Avg</t>
  </si>
  <si>
    <t>All Data</t>
  </si>
  <si>
    <t>Head</t>
  </si>
  <si>
    <t>Label</t>
  </si>
  <si>
    <t>x</t>
  </si>
  <si>
    <t>y</t>
  </si>
  <si>
    <t>z</t>
  </si>
  <si>
    <t>Driver Head Peak a - x (g)</t>
  </si>
  <si>
    <t>Driver Head Peak a - y (g)</t>
  </si>
  <si>
    <t>Driver Head Peak a - z (g)</t>
  </si>
  <si>
    <t>Driver Head Peak a - R (g)</t>
  </si>
  <si>
    <t>Driver Chest Peak a - x (g)</t>
  </si>
  <si>
    <t>Driver Chest Peak a - y (g)</t>
  </si>
  <si>
    <t>Driver Chest Peak a - z (g)</t>
  </si>
  <si>
    <t>Driver Chest Peak a - R (g)</t>
  </si>
  <si>
    <t>Passenger Head Peak a - x (g)</t>
  </si>
  <si>
    <t>Passenger Head Peak a - y (g)</t>
  </si>
  <si>
    <t>Passenger Head Peak a - z (g)</t>
  </si>
  <si>
    <t>Passenger Head Peak a - R (g)</t>
  </si>
  <si>
    <t>Passenger Chest Peak a - x (g)</t>
  </si>
  <si>
    <t>Passenger Chest Peak a - y (g)</t>
  </si>
  <si>
    <t>Passenger Chest Peak a - z (g)</t>
  </si>
  <si>
    <t>Passenger Chest Peak a - R (g)</t>
  </si>
  <si>
    <t>Passenger Pelvis Peak a - x (g)</t>
  </si>
  <si>
    <t>Passenger Pelvis Peak a - y (g)</t>
  </si>
  <si>
    <t>Passenger Pelvis Peak a - z (g)</t>
  </si>
  <si>
    <t>Passenger Pelvis Peak a - R (g)</t>
  </si>
  <si>
    <t>CEF1007 (Driver)</t>
  </si>
  <si>
    <t>2011 Mercedes-Benz GLK</t>
  </si>
  <si>
    <t>CEF1008 (Driver)</t>
  </si>
  <si>
    <t>2011 Scion tC</t>
  </si>
  <si>
    <t>CEF1009 (Driver)</t>
  </si>
  <si>
    <t>2010 Suzuki Kizashi</t>
  </si>
  <si>
    <t>CEF1010 (Driver)</t>
  </si>
  <si>
    <t>2011 Mazda 2</t>
  </si>
  <si>
    <t>CEF1011 (Driver)</t>
  </si>
  <si>
    <t>2011 Volkswagen Jetta</t>
  </si>
  <si>
    <t>CEF1102 (Driver)</t>
  </si>
  <si>
    <t>2011 Chevrolet Volt</t>
  </si>
  <si>
    <t>CEF1103 (Driver)</t>
  </si>
  <si>
    <t>2011 Nissan Juke</t>
  </si>
  <si>
    <t>CEF1104 (Driver)</t>
  </si>
  <si>
    <t>2011 Nissan Leaf</t>
  </si>
  <si>
    <t>CEF1105 (Driver)</t>
  </si>
  <si>
    <t>2011 Honda CR-Z</t>
  </si>
  <si>
    <t>CEF1106 (Driver)</t>
  </si>
  <si>
    <t>2012 Fiat 500</t>
  </si>
  <si>
    <t>CEF1107 (Driver)</t>
  </si>
  <si>
    <t>2012 Hyundai Accent</t>
  </si>
  <si>
    <t>CEF1108 (Driver)</t>
  </si>
  <si>
    <t>CEF1109 (Driver)</t>
  </si>
  <si>
    <t>2012 Chevrolet Sonic</t>
  </si>
  <si>
    <t>CEF1110 (Driver)</t>
  </si>
  <si>
    <t>2012 Scion xD</t>
  </si>
  <si>
    <t>CEF1201 (Driver)</t>
  </si>
  <si>
    <t>2012 Kia Rio</t>
  </si>
  <si>
    <t>CEF1202 (Driver)</t>
  </si>
  <si>
    <t>2013 Mazda CX-5</t>
  </si>
  <si>
    <t>CEF1203 (Driver)</t>
  </si>
  <si>
    <t>2012 Scion iQ</t>
  </si>
  <si>
    <t>CEF1204 (Driver)</t>
  </si>
  <si>
    <t>2013 Scion FR-S</t>
  </si>
  <si>
    <t>CEF1205 (Driver)</t>
  </si>
  <si>
    <t>2012 Toyota Prius Plug-in</t>
  </si>
  <si>
    <t>CEF1206 (Driver)</t>
  </si>
  <si>
    <t>2013 Ford Escape</t>
  </si>
  <si>
    <t>CEF1207 (Driver)</t>
  </si>
  <si>
    <t>2013 Dodge Dart</t>
  </si>
  <si>
    <t>CEF1208 (Driver)</t>
  </si>
  <si>
    <t>2013 Nissan Altima</t>
  </si>
  <si>
    <t>CEF1301 (Driver)</t>
  </si>
  <si>
    <t>2014 Mazda 6</t>
  </si>
  <si>
    <t>CEF1302 (Driver)</t>
  </si>
  <si>
    <t>2013 BMW X1</t>
  </si>
  <si>
    <t>CEF1303 (Driver)</t>
  </si>
  <si>
    <t>2013 Buick Encore</t>
  </si>
  <si>
    <t>CEF1304 (Driver)</t>
  </si>
  <si>
    <t>2014 Fiat 500  L</t>
  </si>
  <si>
    <t>CEF1305 (Driver)</t>
  </si>
  <si>
    <t>2014 Jeep Cherokee</t>
  </si>
  <si>
    <t>CEF1306 (Driver)</t>
  </si>
  <si>
    <t>2013  Chevrolet Spark</t>
  </si>
  <si>
    <t>CEF1307 (Driver)</t>
  </si>
  <si>
    <t>2014 Maserati Ghibli</t>
  </si>
  <si>
    <t>CEF1308 (Driver)</t>
  </si>
  <si>
    <t>2014 Mitsubishi Mirage</t>
  </si>
  <si>
    <t>CEF1401 (Driver)</t>
  </si>
  <si>
    <t>2014 BMW 2 Series</t>
  </si>
  <si>
    <t>CEF1402 (Driver)</t>
  </si>
  <si>
    <t>2014 Nissan Rogue</t>
  </si>
  <si>
    <t>CEF1403 (Driver)</t>
  </si>
  <si>
    <t>2015 Subaru WRX</t>
  </si>
  <si>
    <t>CEF1404 (Driver)</t>
  </si>
  <si>
    <t>2014 Ford C-Max</t>
  </si>
  <si>
    <t>CEF1405 (Driver)</t>
  </si>
  <si>
    <t>2014 Mazda 5</t>
  </si>
  <si>
    <t>CEF1406 (Driver)</t>
  </si>
  <si>
    <t>2014 Hyundai Veloster</t>
  </si>
  <si>
    <t>CEF1501 (Driver)</t>
  </si>
  <si>
    <t>2016 Audi Q3</t>
  </si>
  <si>
    <t>CEF1504 (Driver)</t>
  </si>
  <si>
    <t>2015 Jeep Renegade</t>
  </si>
  <si>
    <t>CEF1601 (Driver)</t>
  </si>
  <si>
    <t>2016 Chevrolet Silverado 1500</t>
  </si>
  <si>
    <t>CEF1602 (Driver)</t>
  </si>
  <si>
    <t>2016 Toyota Tundra</t>
  </si>
  <si>
    <t>CEF1603 (Driver)</t>
  </si>
  <si>
    <t>2016 Ram 1500</t>
  </si>
  <si>
    <t>CEF1604 (Driver)</t>
  </si>
  <si>
    <t>2016 Ford F-150</t>
  </si>
  <si>
    <t>CEF1605 (Driver)</t>
  </si>
  <si>
    <t>2016 BMW X1</t>
  </si>
  <si>
    <t>car (coupe)</t>
  </si>
  <si>
    <t>CEF1607 (Driver)</t>
  </si>
  <si>
    <t>2016 Dodge Challenger</t>
  </si>
  <si>
    <t>CF15001 (Driver)</t>
  </si>
  <si>
    <t>2015 Honda CR-V</t>
  </si>
  <si>
    <t>CF15002 (Driver)</t>
  </si>
  <si>
    <t>2015 Toyota RAV4</t>
  </si>
  <si>
    <t>CEF1608 (Driver)</t>
  </si>
  <si>
    <t>2016 Mazda CX-3</t>
  </si>
  <si>
    <t>CEF1609 (Driver)</t>
  </si>
  <si>
    <t>2016 Buick Envision</t>
  </si>
  <si>
    <t>CEF1610 (Driver)</t>
  </si>
  <si>
    <t>2017 BMW i3</t>
  </si>
  <si>
    <t>CEF1611 (Driver)</t>
  </si>
  <si>
    <t>2016 Tesla Model S</t>
  </si>
  <si>
    <t>CEF1701 (Driver)</t>
  </si>
  <si>
    <t>2017 Toyota Tacoma</t>
  </si>
  <si>
    <t>CEF1702 (Driver)</t>
  </si>
  <si>
    <t>2017 Honda CR-V</t>
  </si>
  <si>
    <t>CEF1703</t>
  </si>
  <si>
    <t>2017 Chevrolet Bolt</t>
  </si>
  <si>
    <t>CEF1801</t>
  </si>
  <si>
    <t>2018 Hyundai Kona</t>
  </si>
  <si>
    <t>CEF1802</t>
  </si>
  <si>
    <t>2019 Subaru Ascent</t>
  </si>
  <si>
    <t>CEF1803</t>
  </si>
  <si>
    <t>2019 Volkswagen Jetta</t>
  </si>
  <si>
    <t>CEF1901</t>
  </si>
  <si>
    <t>2019 Volvo XC40</t>
  </si>
  <si>
    <t>CEF1902</t>
  </si>
  <si>
    <t>2019 Hyundai Nexo</t>
  </si>
  <si>
    <t>CEF1903</t>
  </si>
  <si>
    <t>2019 Audi e-tron</t>
  </si>
  <si>
    <t>CEF1904</t>
  </si>
  <si>
    <t>2019 Tesla model 3</t>
  </si>
  <si>
    <t>CEF2101</t>
  </si>
  <si>
    <t>2021 Ford Mustang Mach-E</t>
  </si>
  <si>
    <t>CEF2102</t>
  </si>
  <si>
    <t>2021 Volvo XC40 Recharge</t>
  </si>
  <si>
    <t>CEF2106</t>
  </si>
  <si>
    <t>2021 Volkswagen ID.4</t>
  </si>
  <si>
    <t>CEF2119</t>
  </si>
  <si>
    <t>2021 Tesla Model Y</t>
  </si>
  <si>
    <t>CEF2227</t>
  </si>
  <si>
    <t>2023 Genesis G80 EV</t>
  </si>
  <si>
    <t>CEF2228</t>
  </si>
  <si>
    <t>2022 Rivian R1T</t>
  </si>
  <si>
    <t>CEF2229</t>
  </si>
  <si>
    <t>2022 Rivian R1S</t>
  </si>
  <si>
    <t>CEF2301</t>
  </si>
  <si>
    <t>2023 Subaru Solterra</t>
  </si>
  <si>
    <t>CEF2103</t>
  </si>
  <si>
    <t>2021 Buick Encore</t>
  </si>
  <si>
    <t>CEF2104</t>
  </si>
  <si>
    <t>2021 Hyundai Tucson</t>
  </si>
  <si>
    <t>CEF2105</t>
  </si>
  <si>
    <t>2021 Audi Q3</t>
  </si>
  <si>
    <t>CEF2107</t>
  </si>
  <si>
    <t>2022 Mitsubishi Eclipse Cross</t>
  </si>
  <si>
    <t>CEF2108</t>
  </si>
  <si>
    <t>2021 Volvo XC40</t>
  </si>
  <si>
    <t>CEF2109</t>
  </si>
  <si>
    <t>2021 Mazda CX-5</t>
  </si>
  <si>
    <t>CEF2110</t>
  </si>
  <si>
    <t>2021 Toyota RAV4</t>
  </si>
  <si>
    <t>CEF2111</t>
  </si>
  <si>
    <t>2021 Honda HR-V</t>
  </si>
  <si>
    <t>CEF2112</t>
  </si>
  <si>
    <t>2021 Nissan Rogue</t>
  </si>
  <si>
    <t>CEF2113</t>
  </si>
  <si>
    <t>2021 Subaru Forester</t>
  </si>
  <si>
    <t>CEF2116</t>
  </si>
  <si>
    <t>2021 Chevrolet Equinox</t>
  </si>
  <si>
    <t>CEF2117</t>
  </si>
  <si>
    <t>2021 Jeep Compass</t>
  </si>
  <si>
    <t>CEF2118</t>
  </si>
  <si>
    <t>2021 Jeep Renegade</t>
  </si>
  <si>
    <t>CEF2201</t>
  </si>
  <si>
    <t>2022 Volkswagen Atlas</t>
  </si>
  <si>
    <t>CEF2202</t>
  </si>
  <si>
    <t>2021 Nissan Murano</t>
  </si>
  <si>
    <t>CEF2203</t>
  </si>
  <si>
    <t>2022 Toyota Highlander</t>
  </si>
  <si>
    <t>CEF2204</t>
  </si>
  <si>
    <t>2021 Jeep Wrangler</t>
  </si>
  <si>
    <t>CEF2205</t>
  </si>
  <si>
    <t>2022 Honda Pilot</t>
  </si>
  <si>
    <t>CEF2206</t>
  </si>
  <si>
    <t>2022 Chevrolet Traverse</t>
  </si>
  <si>
    <t>CEF2207</t>
  </si>
  <si>
    <t>2022 Ford Explorer</t>
  </si>
  <si>
    <t>CEF2208</t>
  </si>
  <si>
    <t>2022 Subaru Ascent</t>
  </si>
  <si>
    <t>CEF2209</t>
  </si>
  <si>
    <t>2021 Mazda CX-9</t>
  </si>
  <si>
    <t>CEF2211</t>
  </si>
  <si>
    <t>2022 Hyundai Palisade</t>
  </si>
  <si>
    <t>CEF2213</t>
  </si>
  <si>
    <t>CEF2214</t>
  </si>
  <si>
    <t>2022 Jeep Grand Cherokee</t>
  </si>
  <si>
    <t>CEF2215</t>
  </si>
  <si>
    <t>2022 Chevrolet Colorado</t>
  </si>
  <si>
    <t>CEF2216</t>
  </si>
  <si>
    <t>2022 Ford Ranger</t>
  </si>
  <si>
    <t>CEF2218</t>
  </si>
  <si>
    <t>2022 Nissan Frontier</t>
  </si>
  <si>
    <t>CEF2219</t>
  </si>
  <si>
    <t>2022 Jeep Gladiator</t>
  </si>
  <si>
    <t>CEF2220</t>
  </si>
  <si>
    <t>2022 Toyota Tacoma</t>
  </si>
  <si>
    <t>CEF2226</t>
  </si>
  <si>
    <t>2022 Ford Escape</t>
  </si>
  <si>
    <t>CEF2230</t>
  </si>
  <si>
    <t>2022 Tesla Model Y</t>
  </si>
  <si>
    <t>CEF2302</t>
  </si>
  <si>
    <t>2022 Honda Civic</t>
  </si>
  <si>
    <t>CEF2303</t>
  </si>
  <si>
    <t>2022 Kia Forte</t>
  </si>
  <si>
    <t>CEF2304</t>
  </si>
  <si>
    <t>2022 Nissan Sentra</t>
  </si>
  <si>
    <t>CEF2305</t>
  </si>
  <si>
    <t>2022 Subaru Crosstrek</t>
  </si>
  <si>
    <t>CEF2306</t>
  </si>
  <si>
    <t>2023 Toyota Corolla</t>
  </si>
  <si>
    <t>CEF2307</t>
  </si>
  <si>
    <t>2023 Toyota Camry</t>
  </si>
  <si>
    <t>CEF2308</t>
  </si>
  <si>
    <t>2023 Nissan Altima</t>
  </si>
  <si>
    <t>CEF2309</t>
  </si>
  <si>
    <t>2023 Subaru Outback</t>
  </si>
  <si>
    <t>CEF2310</t>
  </si>
  <si>
    <t>2023 Volkswagen Jetta</t>
  </si>
  <si>
    <t>CEF2311</t>
  </si>
  <si>
    <t>2023 Hyundai Sonata</t>
  </si>
  <si>
    <t>CEF2312</t>
  </si>
  <si>
    <t>2023 Kia K5</t>
  </si>
  <si>
    <t>CEF2313</t>
  </si>
  <si>
    <t>2023 Honda Accord</t>
  </si>
  <si>
    <t>CEF2314</t>
  </si>
  <si>
    <t>2023 Rivian R1S</t>
  </si>
  <si>
    <t>CEF2315</t>
  </si>
  <si>
    <t>2023 Kia Carnival</t>
  </si>
  <si>
    <t>CEF2316</t>
  </si>
  <si>
    <t>2023 Honda Odyssey</t>
  </si>
  <si>
    <t>CEF2317</t>
  </si>
  <si>
    <t>2023 Chevrolet Silverado</t>
  </si>
  <si>
    <t>CEF2318</t>
  </si>
  <si>
    <t>2023 Toyota Tundra</t>
  </si>
  <si>
    <t>CEF2319</t>
  </si>
  <si>
    <t>2023 Toyota Sienna</t>
  </si>
  <si>
    <t>CEF2320</t>
  </si>
  <si>
    <t>2023 Chrysler Pacifica</t>
  </si>
  <si>
    <t>CEF2321</t>
  </si>
  <si>
    <t>2023 Honda Pilot</t>
  </si>
  <si>
    <t>CEF2322</t>
  </si>
  <si>
    <t>2023 Acura MDX</t>
  </si>
  <si>
    <t>CEF2323</t>
  </si>
  <si>
    <t>2023 Audi Q5</t>
  </si>
  <si>
    <t>CEF2324</t>
  </si>
  <si>
    <t>2023 BMW X3</t>
  </si>
  <si>
    <t>CEF2325</t>
  </si>
  <si>
    <t>2023 Cadillac XT6</t>
  </si>
  <si>
    <t>CEF2326</t>
  </si>
  <si>
    <t>2023 Lincoln Aviator</t>
  </si>
  <si>
    <t>CEF2327</t>
  </si>
  <si>
    <t>2023 Volvo XC60</t>
  </si>
  <si>
    <t>CEF2328</t>
  </si>
  <si>
    <t>2023 Lexus RX</t>
  </si>
  <si>
    <t>CEF2329</t>
  </si>
  <si>
    <t>2023 Ram 1500</t>
  </si>
  <si>
    <t>CEF2330</t>
  </si>
  <si>
    <t>2022 Jeep Grand Cherokee L</t>
  </si>
  <si>
    <t>CEF2331</t>
  </si>
  <si>
    <t>2023 Ford Maverick</t>
  </si>
  <si>
    <t>CEF2332</t>
  </si>
  <si>
    <t>2023 Ford F-150</t>
  </si>
  <si>
    <t>CEF2333</t>
  </si>
  <si>
    <t>2023 Kia Telluride</t>
  </si>
  <si>
    <t>CEF2334</t>
  </si>
  <si>
    <t>2024 Mercedes-Benz GLE-Class</t>
  </si>
  <si>
    <t>CEF2335</t>
  </si>
  <si>
    <t>2023 Subaru Legacy</t>
  </si>
  <si>
    <t>CEF2336</t>
  </si>
  <si>
    <t>2023 Lexus ES 350</t>
  </si>
  <si>
    <t>CEF2337</t>
  </si>
  <si>
    <t>2024 Lexus UX</t>
  </si>
  <si>
    <t>CEF2338</t>
  </si>
  <si>
    <t>2023 Hyundai Ioniq 6</t>
  </si>
  <si>
    <t>CEF2339</t>
  </si>
  <si>
    <t>2023 Toyota Prius</t>
  </si>
  <si>
    <t>CEF2340</t>
  </si>
  <si>
    <t>2024 Toyota Venza</t>
  </si>
  <si>
    <t>CEF2341</t>
  </si>
  <si>
    <t>2023 Toyota Corolla Cross</t>
  </si>
  <si>
    <t>CEF2342</t>
  </si>
  <si>
    <t>2024 Mazda CX-90</t>
  </si>
  <si>
    <t>CEF2343</t>
  </si>
  <si>
    <t>2024 Honda CR-V</t>
  </si>
  <si>
    <t>CEF2344</t>
  </si>
  <si>
    <t>2024 Honda HR-V</t>
  </si>
  <si>
    <t>CEF2345</t>
  </si>
  <si>
    <t>2024 Acura Integra</t>
  </si>
  <si>
    <t>CEF2346</t>
  </si>
  <si>
    <t>2024 Hyundai Kona</t>
  </si>
  <si>
    <t>CEF2347</t>
  </si>
  <si>
    <t>2024 Genesis GV60</t>
  </si>
  <si>
    <t>CEF2349</t>
  </si>
  <si>
    <t>2024 Mazda CX-50</t>
  </si>
  <si>
    <t>CEF2350</t>
  </si>
  <si>
    <t>2024 Mazda 3</t>
  </si>
  <si>
    <t>CEF2351</t>
  </si>
  <si>
    <t>CEF2402</t>
  </si>
  <si>
    <t>2024 Genesis GV70</t>
  </si>
  <si>
    <t>CEF2403</t>
  </si>
  <si>
    <t>2024 Genesis GV80</t>
  </si>
  <si>
    <t>CEF2404</t>
  </si>
  <si>
    <t>2024 Hyundai Elantra</t>
  </si>
  <si>
    <t>CEF2405</t>
  </si>
  <si>
    <t>2024 Jeep Wagoneer</t>
  </si>
  <si>
    <t>CEF2406</t>
  </si>
  <si>
    <t>2024 Ford Expedition</t>
  </si>
  <si>
    <t>CEF2407</t>
  </si>
  <si>
    <t>2023 Chevrolet Tahoe</t>
  </si>
  <si>
    <t>CEF2409</t>
  </si>
  <si>
    <t>2024 Genesis G80</t>
  </si>
  <si>
    <t>CEF2410</t>
  </si>
  <si>
    <t>2024 Genesis Electrified G80</t>
  </si>
  <si>
    <t>CEF2411</t>
  </si>
  <si>
    <t>2024 Genesis G90</t>
  </si>
  <si>
    <t>CEF2412</t>
  </si>
  <si>
    <t>2024 Hyundai Ioniq 5</t>
  </si>
  <si>
    <t>CEF2413</t>
  </si>
  <si>
    <t>2024 Nissan Pathfinder</t>
  </si>
  <si>
    <t>CEF2414</t>
  </si>
  <si>
    <t>2024 Rivian R1T</t>
  </si>
  <si>
    <t>CEF2416</t>
  </si>
  <si>
    <t>2024 Hyundai Santa Fe</t>
  </si>
  <si>
    <t>CEF2417</t>
  </si>
  <si>
    <t>2024 Subaru Crosstrek</t>
  </si>
  <si>
    <t>CEF2418</t>
  </si>
  <si>
    <t>2024 Subaru Impreza</t>
  </si>
  <si>
    <t>CEF2419</t>
  </si>
  <si>
    <t>2024 Lincoln Nautilus</t>
  </si>
  <si>
    <t>CEF2420</t>
  </si>
  <si>
    <t>2024 Mazda CX-5</t>
  </si>
  <si>
    <t>CEF2422</t>
  </si>
  <si>
    <t>2024 Lexus NX</t>
  </si>
  <si>
    <t>CEF2423</t>
  </si>
  <si>
    <t>2024 Mazda CX-90 PHEV</t>
  </si>
  <si>
    <t>CEF2424</t>
  </si>
  <si>
    <t>2025 Honda Pilot</t>
  </si>
  <si>
    <t>CEF2425</t>
  </si>
  <si>
    <t>2024 Chevrolet Trax</t>
  </si>
  <si>
    <t>CEF2426</t>
  </si>
  <si>
    <t>2024 BMW X5</t>
  </si>
  <si>
    <t>CEF2427</t>
  </si>
  <si>
    <t>2024 Buick Envista</t>
  </si>
  <si>
    <t>CEF2428</t>
  </si>
  <si>
    <t>2024 Hyundai Santa Cruz</t>
  </si>
  <si>
    <t>CEF2429</t>
  </si>
  <si>
    <t>2024 Hyundai Tucson</t>
  </si>
  <si>
    <t>CEF2430</t>
  </si>
  <si>
    <t>2024 Volvo XC90</t>
  </si>
  <si>
    <t>CEF2431</t>
  </si>
  <si>
    <t>2024 Kia Seltos</t>
  </si>
  <si>
    <t>CEF2432</t>
  </si>
  <si>
    <t>2025 Toyota Camry</t>
  </si>
  <si>
    <t>CEF2433</t>
  </si>
  <si>
    <t>2024 Subaru Solterra</t>
  </si>
  <si>
    <t>CEF2434</t>
  </si>
  <si>
    <t>2024 Subaru WRX</t>
  </si>
  <si>
    <t>CEF2435</t>
  </si>
  <si>
    <t>2024 Mercedes-Benz E-Class</t>
  </si>
  <si>
    <t>CEF2437</t>
  </si>
  <si>
    <t>2024 Honda Prologue</t>
  </si>
  <si>
    <t>CEF2438</t>
  </si>
  <si>
    <t>2025 Genesis GV70</t>
  </si>
  <si>
    <t>CEF2439</t>
  </si>
  <si>
    <t>2024 Genesis Electrified GV70</t>
  </si>
  <si>
    <t>CEF2440</t>
  </si>
  <si>
    <t>2024 Acura ZDX</t>
  </si>
  <si>
    <t>CEF2441</t>
  </si>
  <si>
    <t>2024 Infiniti QX60</t>
  </si>
  <si>
    <t>CEF2442</t>
  </si>
  <si>
    <t>2024 Nissan Altima</t>
  </si>
  <si>
    <t>CEF2443</t>
  </si>
  <si>
    <t>2024 Mercedes-Benz C-Class</t>
  </si>
  <si>
    <t>CEF2444</t>
  </si>
  <si>
    <t>2024 Mercedes-Benz GLC</t>
  </si>
  <si>
    <t>CEF2445</t>
  </si>
  <si>
    <t>2025 Mazda CX-70</t>
  </si>
  <si>
    <t>CEF2446</t>
  </si>
  <si>
    <t>2025 Mazda CX-70 PHEV</t>
  </si>
  <si>
    <t>CEF2447</t>
  </si>
  <si>
    <t>2025 Rivian R1S</t>
  </si>
  <si>
    <t>CEF2448</t>
  </si>
  <si>
    <t>2025 Rivian R1T</t>
  </si>
  <si>
    <t>CEF2449</t>
  </si>
  <si>
    <t>2024 Volvo XC90 Recharge</t>
  </si>
  <si>
    <t>CEF2450</t>
  </si>
  <si>
    <t>2025 Kia Sorento</t>
  </si>
  <si>
    <t>CEF2451</t>
  </si>
  <si>
    <t>2024 Cadillac Lyriq</t>
  </si>
  <si>
    <t>CEF2452</t>
  </si>
  <si>
    <t>2025 Subaru Forester</t>
  </si>
  <si>
    <t>CEF2453</t>
  </si>
  <si>
    <t>2024 Toyota bZ4X</t>
  </si>
  <si>
    <t>CEF2454</t>
  </si>
  <si>
    <t>2025 Toyota Tundra</t>
  </si>
  <si>
    <t>CEF2456</t>
  </si>
  <si>
    <t>2025 Infiniti QX80</t>
  </si>
  <si>
    <t>CEF2457</t>
  </si>
  <si>
    <t>2025 Hyundai Palisade</t>
  </si>
  <si>
    <t>CEF2501</t>
  </si>
  <si>
    <t>2025 Hyundai Santa Fe</t>
  </si>
  <si>
    <t>CEF2502</t>
  </si>
  <si>
    <t>2025 Audi Q7</t>
  </si>
  <si>
    <t>CEF2503</t>
  </si>
  <si>
    <t>2024 Audi Q8</t>
  </si>
  <si>
    <t>CEF2504</t>
  </si>
  <si>
    <t>2024 Chevrolet Traverse</t>
  </si>
  <si>
    <t>CEF2505</t>
  </si>
  <si>
    <t>2024 GMC Acadia</t>
  </si>
  <si>
    <t>CEF2506</t>
  </si>
  <si>
    <t>2025 Buick Enclave</t>
  </si>
  <si>
    <t>CEF2507</t>
  </si>
  <si>
    <t>2025 Genesis G80</t>
  </si>
  <si>
    <t>CEF2508</t>
  </si>
  <si>
    <t>2025 Hyundai Elantra</t>
  </si>
  <si>
    <t>2025 Kia K4</t>
  </si>
  <si>
    <t>CEF2512</t>
  </si>
  <si>
    <t>2025 Honda Civic</t>
  </si>
  <si>
    <t>CEF2513</t>
  </si>
  <si>
    <t>2025 Nissan Kicks</t>
  </si>
  <si>
    <t>CEF2514</t>
  </si>
  <si>
    <t>2025 Nissan Sentra</t>
  </si>
  <si>
    <t>CEF2515</t>
  </si>
  <si>
    <t>2025 Audi Q6 e-tron</t>
  </si>
  <si>
    <t>CEF2516</t>
  </si>
  <si>
    <t>2024 Toyota Tacoma</t>
  </si>
  <si>
    <t>CEF2517</t>
  </si>
  <si>
    <t>2025 Nissan Rogue</t>
  </si>
  <si>
    <t>CEF2518</t>
  </si>
  <si>
    <t>2025 Chevrolet Colorado</t>
  </si>
  <si>
    <t>CEF2519</t>
  </si>
  <si>
    <t>2025 Ford Bronco  Sport</t>
  </si>
  <si>
    <t>CEF2520</t>
  </si>
  <si>
    <t>2025 Nissan Armada</t>
  </si>
  <si>
    <t>CEF2521</t>
  </si>
  <si>
    <t>CEF2522</t>
  </si>
  <si>
    <t>CEF2523</t>
  </si>
  <si>
    <t>2025 Toyota Prius</t>
  </si>
  <si>
    <t>CEF2524</t>
  </si>
  <si>
    <t>2025 Hyundai Sonata</t>
  </si>
  <si>
    <t>CEF2525</t>
  </si>
  <si>
    <t>2025 Volkswagen Taos</t>
  </si>
  <si>
    <t>CEF2526</t>
  </si>
  <si>
    <t>2026 Honda Passport</t>
  </si>
  <si>
    <t>CEF2527</t>
  </si>
  <si>
    <t>2025 BMW X3</t>
  </si>
  <si>
    <t>CEF2528</t>
  </si>
  <si>
    <t>2025 Nissan Murano</t>
  </si>
  <si>
    <t>CEF2529</t>
  </si>
  <si>
    <t>2025 Tesla Model 3</t>
  </si>
  <si>
    <t>CEF2530</t>
  </si>
  <si>
    <t>2025 Ford Bronco</t>
  </si>
  <si>
    <t>CEF2531</t>
  </si>
  <si>
    <t>2025 Genesis G90</t>
  </si>
  <si>
    <t>CEF2532</t>
  </si>
  <si>
    <t>2025 Acura ADX</t>
  </si>
  <si>
    <t>CEF2533</t>
  </si>
  <si>
    <t>2025 Volvo XC90</t>
  </si>
  <si>
    <t>CEF2534</t>
  </si>
  <si>
    <t>2025 Volvo XC90 Plug-In Hybrid</t>
  </si>
  <si>
    <t>CEF2535</t>
  </si>
  <si>
    <t>2025 Nissan Ariya</t>
  </si>
  <si>
    <t>CEF2536</t>
  </si>
  <si>
    <t>2025 Tesla Cybertruck</t>
  </si>
  <si>
    <t>CEF2537</t>
  </si>
  <si>
    <t>2024 Jeep Wrangler</t>
  </si>
  <si>
    <t>CEF2538</t>
  </si>
  <si>
    <t>2025 BMW i4</t>
  </si>
  <si>
    <t>CEF2539</t>
  </si>
  <si>
    <t>2025 Toyota 4Runner</t>
  </si>
  <si>
    <t>CEF2540</t>
  </si>
  <si>
    <t>2025 Chevrolet Blazer EV</t>
  </si>
  <si>
    <t>CEF2541</t>
  </si>
  <si>
    <t>2025 Ford F-150 Lightning</t>
  </si>
  <si>
    <t>CEF2542</t>
  </si>
  <si>
    <t>2025 Toyota Grand Highlander</t>
  </si>
  <si>
    <t>CEF2543</t>
  </si>
  <si>
    <t>2025 Volkswagen ID.Buzz</t>
  </si>
  <si>
    <t>CEF2544</t>
  </si>
  <si>
    <t>2026 Kia Sportage</t>
  </si>
  <si>
    <t>CEF2545</t>
  </si>
  <si>
    <t>2025 Audi A5</t>
  </si>
  <si>
    <t>CEF2547</t>
  </si>
  <si>
    <t>2025 Kia EV6</t>
  </si>
  <si>
    <t>CEF2548</t>
  </si>
  <si>
    <t>2025 Mitsubishi Outlander</t>
  </si>
  <si>
    <t>CEF2550</t>
  </si>
  <si>
    <t>2025 Audi Q4 e-tron</t>
  </si>
  <si>
    <t>CEF2552</t>
  </si>
  <si>
    <t>2026 Hyundai Ioniq 9</t>
  </si>
  <si>
    <t>CEF2553</t>
  </si>
  <si>
    <t>2025 Hyundai Santa Cruz</t>
  </si>
  <si>
    <t>Resultant Driver Head a / Vehicle Peak a</t>
  </si>
  <si>
    <t>Resultant Driver Chest a / Vehicle Peak a</t>
  </si>
  <si>
    <t>Resultant Passenger Head a / Vehicle Peak a</t>
  </si>
  <si>
    <t>Resultant Passenger Chest a / Vehicle Peak a</t>
  </si>
  <si>
    <t>Resultant Passenger Pelvis a / Vehicle Peak a</t>
  </si>
  <si>
    <t>Driver Head a x / Head a r</t>
  </si>
  <si>
    <t>Driver Head a y / Head a r</t>
  </si>
  <si>
    <t>Driver Head a z / Head a r</t>
  </si>
  <si>
    <t>Driver Chest a x / Chest a r</t>
  </si>
  <si>
    <t>Driver Chest a y / Chest a r</t>
  </si>
  <si>
    <t>Driver Chest a z / Chest a r</t>
  </si>
  <si>
    <t>Passenger Head a x / Head a r</t>
  </si>
  <si>
    <t>Passenger Head a y / Head a r</t>
  </si>
  <si>
    <t>Passenger Head a z / Head a r</t>
  </si>
  <si>
    <t>Passenger Chest a x / Chest a r</t>
  </si>
  <si>
    <t>Passenger Chest a y / Chest a r</t>
  </si>
  <si>
    <t>Passenger Chest a z / Chest a r</t>
  </si>
  <si>
    <t>Passenger Pelvis a x / Pelvis a r</t>
  </si>
  <si>
    <t>Passenger Pelvis a y / Pelvis a r</t>
  </si>
  <si>
    <t>Passenger Pelvis a z / Pelvis a r</t>
  </si>
  <si>
    <t>Pelvis</t>
  </si>
  <si>
    <t>X : Resultant</t>
  </si>
  <si>
    <t>Y : Resultant</t>
  </si>
  <si>
    <t>Z : Resultant</t>
  </si>
  <si>
    <t>St Dev</t>
  </si>
  <si>
    <t>X / Resultant</t>
  </si>
  <si>
    <t>Y / Resultant</t>
  </si>
  <si>
    <t>Z / Resultant</t>
  </si>
  <si>
    <t>Driver ax / ar</t>
  </si>
  <si>
    <t>Chest</t>
  </si>
  <si>
    <t>Passenger ax / ar</t>
  </si>
  <si>
    <t>Driver ay / ar</t>
  </si>
  <si>
    <t>Passenger ay / ar</t>
  </si>
  <si>
    <t>Driver az / ar</t>
  </si>
  <si>
    <t>Passenger az / ar</t>
  </si>
  <si>
    <t>Driver Head vs Chest</t>
  </si>
  <si>
    <t>All driver head components by vehicle</t>
  </si>
  <si>
    <t>All driver chest components by vehicle</t>
  </si>
  <si>
    <t>All passenger head components by vehicle</t>
  </si>
  <si>
    <t>All passenger chest components by vehicle</t>
  </si>
  <si>
    <t>All passenger pelvis components by vehicle</t>
  </si>
  <si>
    <t>Passenger Head vs Chest vs Pelvis</t>
  </si>
  <si>
    <t>Driver Body vs Vehicle accel</t>
  </si>
  <si>
    <t>Passenger Body vs Vehicle accel</t>
  </si>
  <si>
    <t>Driver Head vs Passenger Head</t>
  </si>
  <si>
    <t>Driver</t>
  </si>
  <si>
    <t>Passenger</t>
  </si>
  <si>
    <t>Driver Chest vs Passenger Chest</t>
  </si>
  <si>
    <t>Vehicle Test Weight (kg)</t>
  </si>
  <si>
    <t>Driver Upper Neck Peak F - x (N)</t>
  </si>
  <si>
    <t>Passenger Upper Neck Peak F - x (N)</t>
  </si>
  <si>
    <t>Passenger Lumbar Peak F - x (N)</t>
  </si>
  <si>
    <t>Driver Upper Neck Peak F - z Compression (N)</t>
  </si>
  <si>
    <t>Driver Upper Neck Peak F - z Tension (N)</t>
  </si>
  <si>
    <t>Passenger Upper Neck Peak F - z Compression (N)</t>
  </si>
  <si>
    <t>Passenger Upper Neck Peak F - z Tension (N)</t>
  </si>
  <si>
    <t>Passenger Lumbar Peak F - z Compression (N)</t>
  </si>
  <si>
    <t>Passenger Lumbar Peak F - z Tension (N)</t>
  </si>
  <si>
    <t>Driver Upper Neck Peak F - R (N)</t>
  </si>
  <si>
    <t>Passenger Upper Neck Peak F - R (N)</t>
  </si>
  <si>
    <t>Passenger Lumbar Peak F - R (N)</t>
  </si>
  <si>
    <t>Vehicle Peak F (N)</t>
  </si>
  <si>
    <t>CEF2554</t>
  </si>
  <si>
    <t>2026 Hyundai Palisade</t>
  </si>
  <si>
    <t>CEF2555</t>
  </si>
  <si>
    <t>2025 Volvo EX90</t>
  </si>
  <si>
    <t>CEF2556</t>
  </si>
  <si>
    <t>2025 Volkswagen Tiguan</t>
  </si>
  <si>
    <t>CEF2557</t>
  </si>
  <si>
    <t>2026 Lexus NX</t>
  </si>
  <si>
    <t>CEF2558</t>
  </si>
  <si>
    <t>2025 Jeep Gladiator</t>
  </si>
  <si>
    <t>CEF2559</t>
  </si>
  <si>
    <t>2025 Ram 1500</t>
  </si>
  <si>
    <t>CEF2560</t>
  </si>
  <si>
    <t>2026 Genesis G80</t>
  </si>
  <si>
    <t>CEF2561</t>
  </si>
  <si>
    <t>2026 Kia Sorento</t>
  </si>
  <si>
    <t>CEF2562</t>
  </si>
  <si>
    <t>2026 Subaru Crosstrek</t>
  </si>
  <si>
    <t>CEF2563</t>
  </si>
  <si>
    <t>2026 Volkswagen Atlas</t>
  </si>
  <si>
    <t>CEF2564</t>
  </si>
  <si>
    <t>2026 Volkswagen Atlas Cross Sport</t>
  </si>
  <si>
    <t>CEF2565</t>
  </si>
  <si>
    <t>2026 Mercedes-Benz E-Class</t>
  </si>
  <si>
    <t>CEF2566</t>
  </si>
  <si>
    <t>2026 Subaru Forester</t>
  </si>
  <si>
    <t>CEF2567</t>
  </si>
  <si>
    <t>2025 Subaru WRX</t>
  </si>
  <si>
    <t>CEF2568</t>
  </si>
  <si>
    <t>2025 Ford Ranger</t>
  </si>
  <si>
    <t>CEF2569</t>
  </si>
  <si>
    <t>2025 Chevrolet Equinox</t>
  </si>
  <si>
    <t>CEF2570</t>
  </si>
  <si>
    <t>2026 Infiniti QX60</t>
  </si>
  <si>
    <t>CEF2601</t>
  </si>
  <si>
    <t>2026 Subaru Ascent</t>
  </si>
  <si>
    <t>CEF2602</t>
  </si>
  <si>
    <t>2026 Subaru Outback</t>
  </si>
  <si>
    <t>CEF2604</t>
  </si>
  <si>
    <t>2026 Toyota Sequoia</t>
  </si>
  <si>
    <t>CEF2605</t>
  </si>
  <si>
    <t>2026 Toyota Corolla</t>
  </si>
  <si>
    <t>CEF2606</t>
  </si>
  <si>
    <t>2026 Toyota bZ</t>
  </si>
  <si>
    <t>CEF2607</t>
  </si>
  <si>
    <t>2026 Nissan Leaf</t>
  </si>
  <si>
    <t>CEF2608</t>
  </si>
  <si>
    <t>2026 Nissan Sentra</t>
  </si>
  <si>
    <t>CEF2609</t>
  </si>
  <si>
    <t>2026 Honda Ridgeline</t>
  </si>
  <si>
    <t>CEF2610</t>
  </si>
  <si>
    <t>2026 Audi A3</t>
  </si>
  <si>
    <t>CEF2611</t>
  </si>
  <si>
    <t>2026 BMW 330i</t>
  </si>
  <si>
    <t>CEF2612</t>
  </si>
  <si>
    <t>2026 Kia K4</t>
  </si>
  <si>
    <t>CEF2613</t>
  </si>
  <si>
    <t>CEF2614</t>
  </si>
  <si>
    <t>2026 Mazda CX-5</t>
  </si>
  <si>
    <t>CEF2615</t>
  </si>
  <si>
    <t>2026 Audi A6</t>
  </si>
  <si>
    <t>CEF2616</t>
  </si>
  <si>
    <t>2026 Cadillac CT5</t>
  </si>
  <si>
    <t>CEF2617</t>
  </si>
  <si>
    <t>2026 Toyota Tacoma</t>
  </si>
  <si>
    <t>CEF2618</t>
  </si>
  <si>
    <t>2026 Lexus IS 350</t>
  </si>
  <si>
    <t>CEF2619</t>
  </si>
  <si>
    <t>2026 Nissan Kicks</t>
  </si>
  <si>
    <t>CEF2620</t>
  </si>
  <si>
    <t>2026 BMW X1</t>
  </si>
  <si>
    <t>CEF2623</t>
  </si>
  <si>
    <t>2026 Subaru Crosstrek Hybrid</t>
  </si>
  <si>
    <t>CEF2603</t>
  </si>
  <si>
    <t>2026 Toyota Land Cruiser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</si>
</sst>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21">
    <xf numFmtId="0" fontId="0" fillId="0" borderId="0" xfId="0"/>
    <xf numFmtId="0" fontId="8" fillId="0" borderId="0" xfId="0" applyFont="1"/>
    <xf numFmtId="0" fontId="9" fillId="0" borderId="0" xfId="0" applyFont="1"/>
    <xf numFmtId="2" fontId="9" fillId="0" borderId="0" xfId="0" applyNumberFormat="1" applyFont="1"/>
    <xf numFmtId="0" fontId="10" fillId="0" borderId="0" xfId="0" applyFont="1"/>
    <xf numFmtId="0" fontId="11" fillId="0" borderId="1" xfId="1"/>
    <xf numFmtId="0" fontId="9" fillId="0" borderId="1" xfId="1" applyFont="1"/>
    <xf numFmtId="0" fontId="10" fillId="0" borderId="1" xfId="1" applyFont="1"/>
    <xf numFmtId="0" fontId="9" fillId="0" borderId="1" xfId="1" applyFont="1" applyAlignment="1">
      <alignment vertical="center"/>
    </xf>
    <xf numFmtId="0" fontId="0" fillId="0" borderId="1" xfId="1" applyFont="1"/>
    <xf numFmtId="2" fontId="12" fillId="0" borderId="0" xfId="0" applyNumberFormat="1" applyFont="1"/>
    <xf numFmtId="2" fontId="9" fillId="0" borderId="1" xfId="1" applyNumberFormat="1" applyFont="1"/>
    <xf numFmtId="0" fontId="7" fillId="0" borderId="0" xfId="0" applyFont="1"/>
    <xf numFmtId="2" fontId="7" fillId="0" borderId="0" xfId="0" applyNumberFormat="1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2DCDB"/>
      <color rgb="FFDCE6F2"/>
      <color rgb="FFE6E0EC"/>
      <color rgb="FFE6D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Plots!$B$73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0837131462537427E-3"/>
                  <c:y val="-0.1360572586193716"/>
                </c:manualLayout>
              </c:layout>
              <c:tx>
                <c:rich>
                  <a:bodyPr/>
                  <a:lstStyle/>
                  <a:p>
                    <a:fld id="{0F2705F5-76C9-4D08-A190-0278BD7B7B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B63-4C55-A95B-F0D4BA2AE9D0}"/>
                </c:ext>
              </c:extLst>
            </c:dLbl>
            <c:dLbl>
              <c:idx val="1"/>
              <c:layout>
                <c:manualLayout>
                  <c:x val="-7.1001273967817487E-17"/>
                  <c:y val="-0.13120288968733276"/>
                </c:manualLayout>
              </c:layout>
              <c:tx>
                <c:rich>
                  <a:bodyPr/>
                  <a:lstStyle/>
                  <a:p>
                    <a:fld id="{482A892D-2B5B-4C12-9116-3112861D1F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B63-4C55-A95B-F0D4BA2AE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Plots!$B$79:$B$80</c:f>
                <c:numCache>
                  <c:formatCode>General</c:formatCode>
                  <c:ptCount val="2"/>
                  <c:pt idx="0">
                    <c:v>0.13690347349859014</c:v>
                  </c:pt>
                  <c:pt idx="1">
                    <c:v>0.11307643602559167</c:v>
                  </c:pt>
                </c:numCache>
              </c:numRef>
            </c:plus>
            <c:minus>
              <c:numRef>
                <c:f>Plots!$B$79:$B$80</c:f>
                <c:numCache>
                  <c:formatCode>General</c:formatCode>
                  <c:ptCount val="2"/>
                  <c:pt idx="0">
                    <c:v>0.13690347349859014</c:v>
                  </c:pt>
                  <c:pt idx="1">
                    <c:v>0.11307643602559167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Plots!$A$74:$A$75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Plots!$B$74:$B$75</c:f>
              <c:numCache>
                <c:formatCode>General</c:formatCode>
                <c:ptCount val="2"/>
                <c:pt idx="0">
                  <c:v>0.48197527905766813</c:v>
                </c:pt>
                <c:pt idx="1">
                  <c:v>0.3093360267151346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Plots!$B$84:$B$85</c15:f>
                <c15:dlblRangeCache>
                  <c:ptCount val="2"/>
                  <c:pt idx="0">
                    <c:v>0.48 ±
0.14</c:v>
                  </c:pt>
                  <c:pt idx="1">
                    <c:v>0.31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9B63-4C55-A95B-F0D4BA2AE9D0}"/>
            </c:ext>
          </c:extLst>
        </c:ser>
        <c:ser>
          <c:idx val="1"/>
          <c:order val="1"/>
          <c:tx>
            <c:strRef>
              <c:f>Plots!$C$73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1776355018729455"/>
                </c:manualLayout>
              </c:layout>
              <c:tx>
                <c:rich>
                  <a:bodyPr/>
                  <a:lstStyle/>
                  <a:p>
                    <a:fld id="{EA222D1D-A4A3-43F5-8D15-1D31A377AF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B63-4C55-A95B-F0D4BA2AE9D0}"/>
                </c:ext>
              </c:extLst>
            </c:dLbl>
            <c:dLbl>
              <c:idx val="1"/>
              <c:layout>
                <c:manualLayout>
                  <c:x val="0"/>
                  <c:y val="-0.11753879672807889"/>
                </c:manualLayout>
              </c:layout>
              <c:tx>
                <c:rich>
                  <a:bodyPr/>
                  <a:lstStyle/>
                  <a:p>
                    <a:fld id="{7D64CEDB-E935-4A7C-88D6-394AA9B4E8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B63-4C55-A95B-F0D4BA2AE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Plots!$C$79:$C$80</c:f>
                <c:numCache>
                  <c:formatCode>General</c:formatCode>
                  <c:ptCount val="2"/>
                  <c:pt idx="0">
                    <c:v>0.14250087750633014</c:v>
                  </c:pt>
                  <c:pt idx="1">
                    <c:v>0.11994233374950858</c:v>
                  </c:pt>
                </c:numCache>
              </c:numRef>
            </c:plus>
            <c:minus>
              <c:numRef>
                <c:f>Plots!$C$79:$C$80</c:f>
                <c:numCache>
                  <c:formatCode>General</c:formatCode>
                  <c:ptCount val="2"/>
                  <c:pt idx="0">
                    <c:v>0.14250087750633014</c:v>
                  </c:pt>
                  <c:pt idx="1">
                    <c:v>0.11994233374950858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Plots!$A$74:$A$75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Plots!$C$74:$C$75</c:f>
              <c:numCache>
                <c:formatCode>General</c:formatCode>
                <c:ptCount val="2"/>
                <c:pt idx="0">
                  <c:v>0.50659394953655101</c:v>
                </c:pt>
                <c:pt idx="1">
                  <c:v>0.32662568701620259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Plots!$C$84:$C$85</c15:f>
                <c15:dlblRangeCache>
                  <c:ptCount val="2"/>
                  <c:pt idx="0">
                    <c:v>0.51 ±
0.14</c:v>
                  </c:pt>
                  <c:pt idx="1">
                    <c:v>0.33 ±
0.12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9B63-4C55-A95B-F0D4BA2AE9D0}"/>
            </c:ext>
          </c:extLst>
        </c:ser>
        <c:ser>
          <c:idx val="2"/>
          <c:order val="2"/>
          <c:tx>
            <c:strRef>
              <c:f>Plots!$D$73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1001273967817487E-17"/>
                  <c:y val="-0.15196888617078205"/>
                </c:manualLayout>
              </c:layout>
              <c:tx>
                <c:rich>
                  <a:bodyPr/>
                  <a:lstStyle/>
                  <a:p>
                    <a:fld id="{DC889228-9758-41DC-9486-DCCE91D98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B63-4C55-A95B-F0D4BA2AE9D0}"/>
                </c:ext>
              </c:extLst>
            </c:dLbl>
            <c:dLbl>
              <c:idx val="1"/>
              <c:layout>
                <c:manualLayout>
                  <c:x val="-1.4200254793563497E-16"/>
                  <c:y val="-0.1360572586193716"/>
                </c:manualLayout>
              </c:layout>
              <c:tx>
                <c:rich>
                  <a:bodyPr/>
                  <a:lstStyle/>
                  <a:p>
                    <a:fld id="{1D486752-78A6-4811-88D6-79E307918C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B63-4C55-A95B-F0D4BA2AE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Plots!$D$79:$D$80</c:f>
                <c:numCache>
                  <c:formatCode>General</c:formatCode>
                  <c:ptCount val="2"/>
                  <c:pt idx="0">
                    <c:v>0.1241030251735486</c:v>
                  </c:pt>
                  <c:pt idx="1">
                    <c:v>0.13391386274777742</c:v>
                  </c:pt>
                </c:numCache>
              </c:numRef>
            </c:plus>
            <c:minus>
              <c:numRef>
                <c:f>Plots!$D$79:$D$80</c:f>
                <c:numCache>
                  <c:formatCode>General</c:formatCode>
                  <c:ptCount val="2"/>
                  <c:pt idx="0">
                    <c:v>0.1241030251735486</c:v>
                  </c:pt>
                  <c:pt idx="1">
                    <c:v>0.13391386274777742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Plots!$A$74:$A$75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Plots!$D$74:$D$75</c:f>
              <c:numCache>
                <c:formatCode>General</c:formatCode>
                <c:ptCount val="2"/>
                <c:pt idx="0">
                  <c:v>0.44727250566196847</c:v>
                </c:pt>
                <c:pt idx="1">
                  <c:v>0.30413396706596024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Plots!$D$84:$D$85</c15:f>
                <c15:dlblRangeCache>
                  <c:ptCount val="2"/>
                  <c:pt idx="0">
                    <c:v>0.45 ±
0.12</c:v>
                  </c:pt>
                  <c:pt idx="1">
                    <c:v>0.3 ±
0.13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9B63-4C55-A95B-F0D4BA2AE9D0}"/>
            </c:ext>
          </c:extLst>
        </c:ser>
        <c:ser>
          <c:idx val="3"/>
          <c:order val="3"/>
          <c:tx>
            <c:strRef>
              <c:f>Plots!$E$73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5129462579313507"/>
                </c:manualLayout>
              </c:layout>
              <c:tx>
                <c:rich>
                  <a:bodyPr/>
                  <a:lstStyle/>
                  <a:p>
                    <a:fld id="{12995AED-0990-4E49-9605-7BAD9389C7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B63-4C55-A95B-F0D4BA2AE9D0}"/>
                </c:ext>
              </c:extLst>
            </c:dLbl>
            <c:dLbl>
              <c:idx val="1"/>
              <c:layout>
                <c:manualLayout>
                  <c:x val="-1.4200254793563497E-16"/>
                  <c:y val="-0.10275093647274677"/>
                </c:manualLayout>
              </c:layout>
              <c:tx>
                <c:rich>
                  <a:bodyPr/>
                  <a:lstStyle/>
                  <a:p>
                    <a:fld id="{74E87EE0-DC0F-41D7-A127-927B3DF32F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B63-4C55-A95B-F0D4BA2AE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Plots!$E$79:$E$80</c:f>
                <c:numCache>
                  <c:formatCode>General</c:formatCode>
                  <c:ptCount val="2"/>
                  <c:pt idx="0">
                    <c:v>0.17413263558048531</c:v>
                  </c:pt>
                  <c:pt idx="1">
                    <c:v>0.11344019213023843</c:v>
                  </c:pt>
                </c:numCache>
              </c:numRef>
            </c:plus>
            <c:minus>
              <c:numRef>
                <c:f>Plots!$E$79:$E$80</c:f>
                <c:numCache>
                  <c:formatCode>General</c:formatCode>
                  <c:ptCount val="2"/>
                  <c:pt idx="0">
                    <c:v>0.17413263558048531</c:v>
                  </c:pt>
                  <c:pt idx="1">
                    <c:v>0.11344019213023843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Plots!$A$74:$A$75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Plots!$E$74:$E$75</c:f>
              <c:numCache>
                <c:formatCode>General</c:formatCode>
                <c:ptCount val="2"/>
                <c:pt idx="0">
                  <c:v>0.46004067004371157</c:v>
                </c:pt>
                <c:pt idx="1">
                  <c:v>0.36902471270535336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Plots!$E$84:$E$85</c15:f>
                <c15:dlblRangeCache>
                  <c:ptCount val="2"/>
                  <c:pt idx="0">
                    <c:v>0.46 ±
0.17</c:v>
                  </c:pt>
                  <c:pt idx="1">
                    <c:v>0.37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9B63-4C55-A95B-F0D4BA2AE9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3601072"/>
        <c:axId val="693603040"/>
      </c:barChart>
      <c:catAx>
        <c:axId val="69360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03040"/>
        <c:crosses val="autoZero"/>
        <c:auto val="1"/>
        <c:lblAlgn val="ctr"/>
        <c:lblOffset val="100"/>
        <c:noMultiLvlLbl val="0"/>
      </c:catAx>
      <c:valAx>
        <c:axId val="693603040"/>
        <c:scaling>
          <c:orientation val="minMax"/>
          <c:max val="0.8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A Z : Resultant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0107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Plots!$B$108</c:f>
              <c:strCache>
                <c:ptCount val="1"/>
                <c:pt idx="0">
                  <c:v>Head</c:v>
                </c:pt>
              </c:strCache>
            </c:strRef>
          </c:tx>
          <c:spPr>
            <a:solidFill>
              <a:srgbClr val="DCE6F2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Plots!$B$115:$B$117</c:f>
                <c:numCache>
                  <c:formatCode>General</c:formatCode>
                  <c:ptCount val="3"/>
                  <c:pt idx="0">
                    <c:v>0.10775458206802296</c:v>
                  </c:pt>
                  <c:pt idx="1">
                    <c:v>0.17237025684385238</c:v>
                  </c:pt>
                  <c:pt idx="2">
                    <c:v>0.14314064006490324</c:v>
                  </c:pt>
                </c:numCache>
              </c:numRef>
            </c:plus>
            <c:minus>
              <c:numRef>
                <c:f>Plots!$B$115:$B$117</c:f>
                <c:numCache>
                  <c:formatCode>General</c:formatCode>
                  <c:ptCount val="3"/>
                  <c:pt idx="0">
                    <c:v>0.10775458206802296</c:v>
                  </c:pt>
                  <c:pt idx="1">
                    <c:v>0.17237025684385238</c:v>
                  </c:pt>
                  <c:pt idx="2">
                    <c:v>0.14314064006490324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Plots!$A$109:$A$111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Plots!$B$109:$B$111</c:f>
              <c:numCache>
                <c:formatCode>0.00</c:formatCode>
                <c:ptCount val="3"/>
                <c:pt idx="0">
                  <c:v>0.86853142445902431</c:v>
                </c:pt>
                <c:pt idx="1">
                  <c:v>0.36015252050215696</c:v>
                </c:pt>
                <c:pt idx="2">
                  <c:v>0.48921462697065432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84-44DD-BB34-5E15D56E0341}"/>
            </c:ext>
          </c:extLst>
        </c:ser>
        <c:ser>
          <c:idx val="1"/>
          <c:order val="1"/>
          <c:tx>
            <c:strRef>
              <c:f>Plots!$C$108</c:f>
              <c:strCache>
                <c:ptCount val="1"/>
                <c:pt idx="0">
                  <c:v>Chest</c:v>
                </c:pt>
              </c:strCache>
            </c:strRef>
          </c:tx>
          <c:spPr>
            <a:solidFill>
              <a:srgbClr val="F2DCDB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Plots!$C$115:$C$117</c:f>
                <c:numCache>
                  <c:formatCode>General</c:formatCode>
                  <c:ptCount val="3"/>
                  <c:pt idx="0">
                    <c:v>4.4778154666493923E-2</c:v>
                  </c:pt>
                  <c:pt idx="1">
                    <c:v>9.0893733680692659E-2</c:v>
                  </c:pt>
                  <c:pt idx="2">
                    <c:v>0.11780671189139669</c:v>
                  </c:pt>
                </c:numCache>
              </c:numRef>
            </c:plus>
            <c:minus>
              <c:numRef>
                <c:f>Plots!$C$115:$C$117</c:f>
                <c:numCache>
                  <c:formatCode>General</c:formatCode>
                  <c:ptCount val="3"/>
                  <c:pt idx="0">
                    <c:v>4.4778154666493923E-2</c:v>
                  </c:pt>
                  <c:pt idx="1">
                    <c:v>9.0893733680692659E-2</c:v>
                  </c:pt>
                  <c:pt idx="2">
                    <c:v>0.11780671189139669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Plots!$A$109:$A$111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Plots!$C$109:$C$111</c:f>
              <c:numCache>
                <c:formatCode>0.00</c:formatCode>
                <c:ptCount val="3"/>
                <c:pt idx="0">
                  <c:v>0.92716752361562327</c:v>
                </c:pt>
                <c:pt idx="1">
                  <c:v>0.35816697256404934</c:v>
                </c:pt>
                <c:pt idx="2">
                  <c:v>0.32181330827665222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84-44DD-BB34-5E15D56E03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70083880"/>
        <c:axId val="670089128"/>
      </c:barChart>
      <c:catAx>
        <c:axId val="67008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089128"/>
        <c:crosses val="autoZero"/>
        <c:auto val="1"/>
        <c:lblAlgn val="ctr"/>
        <c:lblOffset val="100"/>
        <c:noMultiLvlLbl val="0"/>
      </c:catAx>
      <c:valAx>
        <c:axId val="670089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Driver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Acceleration Ratio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083880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Plots!$B$184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CF-4A37-BDD3-7356846C3C08}"/>
              </c:ext>
            </c:extLst>
          </c:dPt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Plots!$B$190:$B$191</c:f>
                <c:numCache>
                  <c:formatCode>General</c:formatCode>
                  <c:ptCount val="2"/>
                  <c:pt idx="0">
                    <c:v>1.0703246063708463</c:v>
                  </c:pt>
                  <c:pt idx="1">
                    <c:v>0.24290073855232078</c:v>
                  </c:pt>
                </c:numCache>
              </c:numRef>
            </c:plus>
            <c:minus>
              <c:numRef>
                <c:f>Plots!$B$190:$B$191</c:f>
                <c:numCache>
                  <c:formatCode>General</c:formatCode>
                  <c:ptCount val="2"/>
                  <c:pt idx="0">
                    <c:v>1.0703246063708463</c:v>
                  </c:pt>
                  <c:pt idx="1">
                    <c:v>0.24290073855232078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Plots!$A$185:$A$186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Plots!$B$185:$B$186</c:f>
              <c:numCache>
                <c:formatCode>0.00</c:formatCode>
                <c:ptCount val="2"/>
                <c:pt idx="0">
                  <c:v>1.522912996622692</c:v>
                </c:pt>
                <c:pt idx="1">
                  <c:v>1.0481130790513953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CF-4A37-BDD3-7356846C3C08}"/>
            </c:ext>
          </c:extLst>
        </c:ser>
        <c:ser>
          <c:idx val="1"/>
          <c:order val="1"/>
          <c:tx>
            <c:strRef>
              <c:f>Plots!$C$184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Plots!$C$190:$C$191</c:f>
                <c:numCache>
                  <c:formatCode>General</c:formatCode>
                  <c:ptCount val="2"/>
                  <c:pt idx="0">
                    <c:v>0.51840162349638963</c:v>
                  </c:pt>
                  <c:pt idx="1">
                    <c:v>0.23806489784929721</c:v>
                  </c:pt>
                </c:numCache>
              </c:numRef>
            </c:plus>
            <c:minus>
              <c:numRef>
                <c:f>Plots!$C$190:$C$191</c:f>
                <c:numCache>
                  <c:formatCode>General</c:formatCode>
                  <c:ptCount val="2"/>
                  <c:pt idx="0">
                    <c:v>0.51840162349638963</c:v>
                  </c:pt>
                  <c:pt idx="1">
                    <c:v>0.23806489784929721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Plots!$A$185:$A$186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Plots!$C$185:$C$186</c:f>
              <c:numCache>
                <c:formatCode>0.00</c:formatCode>
                <c:ptCount val="2"/>
                <c:pt idx="0">
                  <c:v>1.2749581056715591</c:v>
                </c:pt>
                <c:pt idx="1">
                  <c:v>0.97140291569708082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CF-4A37-BDD3-7356846C3C08}"/>
            </c:ext>
          </c:extLst>
        </c:ser>
        <c:ser>
          <c:idx val="2"/>
          <c:order val="2"/>
          <c:tx>
            <c:strRef>
              <c:f>Plots!$D$184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Plots!$D$190:$D$191</c:f>
                <c:numCache>
                  <c:formatCode>General</c:formatCode>
                  <c:ptCount val="2"/>
                  <c:pt idx="0">
                    <c:v>0.71425005292929755</c:v>
                  </c:pt>
                  <c:pt idx="1">
                    <c:v>0.15780877988296516</c:v>
                  </c:pt>
                </c:numCache>
              </c:numRef>
            </c:plus>
            <c:minus>
              <c:numRef>
                <c:f>Plots!$D$190:$D$191</c:f>
                <c:numCache>
                  <c:formatCode>General</c:formatCode>
                  <c:ptCount val="2"/>
                  <c:pt idx="0">
                    <c:v>0.71425005292929755</c:v>
                  </c:pt>
                  <c:pt idx="1">
                    <c:v>0.15780877988296516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Plots!$A$185:$A$186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Plots!$D$185:$D$186</c:f>
              <c:numCache>
                <c:formatCode>0.00</c:formatCode>
                <c:ptCount val="2"/>
                <c:pt idx="0">
                  <c:v>1.8328150018597724</c:v>
                </c:pt>
                <c:pt idx="1">
                  <c:v>1.267082704461806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CF-4A37-BDD3-7356846C3C08}"/>
            </c:ext>
          </c:extLst>
        </c:ser>
        <c:ser>
          <c:idx val="3"/>
          <c:order val="3"/>
          <c:tx>
            <c:strRef>
              <c:f>Plots!$E$184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Plots!$E$190:$E$191</c:f>
                <c:numCache>
                  <c:formatCode>General</c:formatCode>
                  <c:ptCount val="2"/>
                  <c:pt idx="0">
                    <c:v>0.8127867039338954</c:v>
                  </c:pt>
                  <c:pt idx="1">
                    <c:v>0.24633662031409578</c:v>
                  </c:pt>
                </c:numCache>
              </c:numRef>
            </c:plus>
            <c:minus>
              <c:numRef>
                <c:f>Plots!$E$190:$E$191</c:f>
                <c:numCache>
                  <c:formatCode>General</c:formatCode>
                  <c:ptCount val="2"/>
                  <c:pt idx="0">
                    <c:v>0.8127867039338954</c:v>
                  </c:pt>
                  <c:pt idx="1">
                    <c:v>0.24633662031409578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Plots!$A$185:$A$186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Plots!$E$185:$E$186</c:f>
              <c:numCache>
                <c:formatCode>0.00</c:formatCode>
                <c:ptCount val="2"/>
                <c:pt idx="0">
                  <c:v>1.4550239702876839</c:v>
                </c:pt>
                <c:pt idx="1">
                  <c:v>0.9073021337291749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CF-4A37-BDD3-7356846C3C08}"/>
            </c:ext>
          </c:extLst>
        </c:ser>
        <c:ser>
          <c:idx val="4"/>
          <c:order val="4"/>
          <c:tx>
            <c:strRef>
              <c:f>Plots!$F$184</c:f>
              <c:strCache>
                <c:ptCount val="1"/>
                <c:pt idx="0">
                  <c:v>All Data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Plots!$F$190:$F$191</c:f>
                <c:numCache>
                  <c:formatCode>General</c:formatCode>
                  <c:ptCount val="2"/>
                  <c:pt idx="0">
                    <c:v>0.85009253975881804</c:v>
                  </c:pt>
                  <c:pt idx="1">
                    <c:v>0.24763373129327848</c:v>
                  </c:pt>
                </c:numCache>
              </c:numRef>
            </c:plus>
            <c:minus>
              <c:numRef>
                <c:f>Plots!$F$190:$F$191</c:f>
                <c:numCache>
                  <c:formatCode>General</c:formatCode>
                  <c:ptCount val="2"/>
                  <c:pt idx="0">
                    <c:v>0.85009253975881804</c:v>
                  </c:pt>
                  <c:pt idx="1">
                    <c:v>0.24763373129327848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Plots!$A$185:$A$186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Plots!$F$185:$F$186</c:f>
              <c:numCache>
                <c:formatCode>0.00</c:formatCode>
                <c:ptCount val="2"/>
                <c:pt idx="0">
                  <c:v>1.4229206508158767</c:v>
                </c:pt>
                <c:pt idx="1">
                  <c:v>1.0111403408642894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CF-4A37-BDD3-7356846C3C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5"/>
        <c:axId val="693601072"/>
        <c:axId val="693603040"/>
      </c:barChart>
      <c:catAx>
        <c:axId val="69360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3603040"/>
        <c:crosses val="autoZero"/>
        <c:auto val="1"/>
        <c:lblAlgn val="ctr"/>
        <c:lblOffset val="100"/>
        <c:noMultiLvlLbl val="0"/>
      </c:catAx>
      <c:valAx>
        <c:axId val="693603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Driver : Vehicle Acceleration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3601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Plots!$B$219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462886773324484E-17"/>
                  <c:y val="-6.2276114370361804E-2"/>
                </c:manualLayout>
              </c:layout>
              <c:tx>
                <c:rich>
                  <a:bodyPr/>
                  <a:lstStyle/>
                  <a:p>
                    <a:fld id="{5ECAD5E6-8607-46BD-B0CA-AF99841BCD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551-4858-B26B-48F548F1EC70}"/>
                </c:ext>
              </c:extLst>
            </c:dLbl>
            <c:dLbl>
              <c:idx val="1"/>
              <c:layout>
                <c:manualLayout>
                  <c:x val="-6.9851547093297937E-17"/>
                  <c:y val="-8.4797075132607355E-2"/>
                </c:manualLayout>
              </c:layout>
              <c:tx>
                <c:rich>
                  <a:bodyPr/>
                  <a:lstStyle/>
                  <a:p>
                    <a:fld id="{C3858F81-A052-4F55-AD18-7187DF4FDB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551-4858-B26B-48F548F1EC70}"/>
                </c:ext>
              </c:extLst>
            </c:dLbl>
            <c:dLbl>
              <c:idx val="2"/>
              <c:layout>
                <c:manualLayout>
                  <c:x val="0"/>
                  <c:y val="-0.10456987670050208"/>
                </c:manualLayout>
              </c:layout>
              <c:tx>
                <c:rich>
                  <a:bodyPr/>
                  <a:lstStyle/>
                  <a:p>
                    <a:fld id="{E4C7A4AB-2019-49D5-9D2A-8393A56ED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551-4858-B26B-48F548F1EC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Plots!$B$226:$B$228</c:f>
                <c:numCache>
                  <c:formatCode>General</c:formatCode>
                  <c:ptCount val="3"/>
                  <c:pt idx="0">
                    <c:v>0.10104038063945149</c:v>
                  </c:pt>
                  <c:pt idx="1">
                    <c:v>0.17747649667926368</c:v>
                  </c:pt>
                  <c:pt idx="2">
                    <c:v>0.13690347349859014</c:v>
                  </c:pt>
                </c:numCache>
              </c:numRef>
            </c:plus>
            <c:minus>
              <c:numRef>
                <c:f>Plots!$B$226:$B$228</c:f>
                <c:numCache>
                  <c:formatCode>General</c:formatCode>
                  <c:ptCount val="3"/>
                  <c:pt idx="0">
                    <c:v>0.10104038063945149</c:v>
                  </c:pt>
                  <c:pt idx="1">
                    <c:v>0.17747649667926368</c:v>
                  </c:pt>
                  <c:pt idx="2">
                    <c:v>0.13690347349859014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Plots!$A$220:$A$222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Plots!$B$220:$B$222</c:f>
              <c:numCache>
                <c:formatCode>General</c:formatCode>
                <c:ptCount val="3"/>
                <c:pt idx="0">
                  <c:v>0.8757967579617536</c:v>
                </c:pt>
                <c:pt idx="1">
                  <c:v>0.36791619312085111</c:v>
                </c:pt>
                <c:pt idx="2">
                  <c:v>0.48197527905766813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Plots!$B$232:$B$234</c15:f>
                <c15:dlblRangeCache>
                  <c:ptCount val="3"/>
                  <c:pt idx="0">
                    <c:v>0.88 ±
0.1</c:v>
                  </c:pt>
                  <c:pt idx="1">
                    <c:v>0.37 ±
0.18</c:v>
                  </c:pt>
                  <c:pt idx="2">
                    <c:v>0.48 ±
0.14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D551-4858-B26B-48F548F1EC70}"/>
            </c:ext>
          </c:extLst>
        </c:ser>
        <c:ser>
          <c:idx val="1"/>
          <c:order val="1"/>
          <c:tx>
            <c:strRef>
              <c:f>Plots!$C$219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5.2389523085985046E-2"/>
                </c:manualLayout>
              </c:layout>
              <c:tx>
                <c:rich>
                  <a:bodyPr/>
                  <a:lstStyle/>
                  <a:p>
                    <a:fld id="{7639D39D-44EB-43BA-AFE4-4BCF736EA7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551-4858-B26B-48F548F1EC70}"/>
                </c:ext>
              </c:extLst>
            </c:dLbl>
            <c:dLbl>
              <c:idx val="1"/>
              <c:layout>
                <c:manualLayout>
                  <c:x val="0"/>
                  <c:y val="-9.5519582301138509E-2"/>
                </c:manualLayout>
              </c:layout>
              <c:tx>
                <c:rich>
                  <a:bodyPr/>
                  <a:lstStyle/>
                  <a:p>
                    <a:fld id="{34009F68-ECF0-4A5F-B0EC-F9F0C4AE1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551-4858-B26B-48F548F1EC70}"/>
                </c:ext>
              </c:extLst>
            </c:dLbl>
            <c:dLbl>
              <c:idx val="2"/>
              <c:layout>
                <c:manualLayout>
                  <c:x val="0"/>
                  <c:y val="-9.4474496945516157E-2"/>
                </c:manualLayout>
              </c:layout>
              <c:tx>
                <c:rich>
                  <a:bodyPr/>
                  <a:lstStyle/>
                  <a:p>
                    <a:fld id="{E24C16A5-2926-49C9-8AAE-8B4305962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551-4858-B26B-48F548F1EC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Plots!$C$226:$C$228</c:f>
                <c:numCache>
                  <c:formatCode>General</c:formatCode>
                  <c:ptCount val="3"/>
                  <c:pt idx="0">
                    <c:v>0.10334395365971676</c:v>
                  </c:pt>
                  <c:pt idx="1">
                    <c:v>0.16380365267130162</c:v>
                  </c:pt>
                  <c:pt idx="2">
                    <c:v>0.14250087750633014</c:v>
                  </c:pt>
                </c:numCache>
              </c:numRef>
            </c:plus>
            <c:minus>
              <c:numRef>
                <c:f>Plots!$C$226:$C$228</c:f>
                <c:numCache>
                  <c:formatCode>General</c:formatCode>
                  <c:ptCount val="3"/>
                  <c:pt idx="0">
                    <c:v>0.10334395365971676</c:v>
                  </c:pt>
                  <c:pt idx="1">
                    <c:v>0.16380365267130162</c:v>
                  </c:pt>
                  <c:pt idx="2">
                    <c:v>0.14250087750633014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Plots!$A$220:$A$222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Plots!$C$220:$C$222</c:f>
              <c:numCache>
                <c:formatCode>General</c:formatCode>
                <c:ptCount val="3"/>
                <c:pt idx="0">
                  <c:v>0.86028175088679215</c:v>
                </c:pt>
                <c:pt idx="1">
                  <c:v>0.36013238169759076</c:v>
                </c:pt>
                <c:pt idx="2">
                  <c:v>0.50659394953655101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Plots!$C$232:$C$234</c15:f>
                <c15:dlblRangeCache>
                  <c:ptCount val="3"/>
                  <c:pt idx="0">
                    <c:v>0.86 ±
0.1</c:v>
                  </c:pt>
                  <c:pt idx="1">
                    <c:v>0.36 ±
0.16</c:v>
                  </c:pt>
                  <c:pt idx="2">
                    <c:v>0.51 ±
0.14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D551-4858-B26B-48F548F1EC70}"/>
            </c:ext>
          </c:extLst>
        </c:ser>
        <c:ser>
          <c:idx val="2"/>
          <c:order val="2"/>
          <c:tx>
            <c:strRef>
              <c:f>Plots!$D$219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25773546648968E-17"/>
                  <c:y val="-3.3452637402244703E-2"/>
                </c:manualLayout>
              </c:layout>
              <c:tx>
                <c:rich>
                  <a:bodyPr/>
                  <a:lstStyle/>
                  <a:p>
                    <a:fld id="{044D8459-5F08-43F6-887A-C5675AF345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551-4858-B26B-48F548F1EC70}"/>
                </c:ext>
              </c:extLst>
            </c:dLbl>
            <c:dLbl>
              <c:idx val="1"/>
              <c:layout>
                <c:manualLayout>
                  <c:x val="0"/>
                  <c:y val="-0.10014950473698372"/>
                </c:manualLayout>
              </c:layout>
              <c:tx>
                <c:rich>
                  <a:bodyPr/>
                  <a:lstStyle/>
                  <a:p>
                    <a:fld id="{5952FDCA-BC08-44C3-9CC8-CC31E8EE6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551-4858-B26B-48F548F1EC70}"/>
                </c:ext>
              </c:extLst>
            </c:dLbl>
            <c:dLbl>
              <c:idx val="2"/>
              <c:layout>
                <c:manualLayout>
                  <c:x val="-1.3970309418659587E-16"/>
                  <c:y val="-9.0472082924074909E-2"/>
                </c:manualLayout>
              </c:layout>
              <c:tx>
                <c:rich>
                  <a:bodyPr/>
                  <a:lstStyle/>
                  <a:p>
                    <a:fld id="{57AA0D48-461D-4335-9DD6-004687F6B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551-4858-B26B-48F548F1EC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Plots!$D$226:$D$228</c:f>
                <c:numCache>
                  <c:formatCode>General</c:formatCode>
                  <c:ptCount val="3"/>
                  <c:pt idx="0">
                    <c:v>7.7427419162193062E-2</c:v>
                  </c:pt>
                  <c:pt idx="1">
                    <c:v>0.17797226408847022</c:v>
                  </c:pt>
                  <c:pt idx="2">
                    <c:v>0.1241030251735486</c:v>
                  </c:pt>
                </c:numCache>
              </c:numRef>
            </c:plus>
            <c:minus>
              <c:numRef>
                <c:f>Plots!$D$226:$D$228</c:f>
                <c:numCache>
                  <c:formatCode>General</c:formatCode>
                  <c:ptCount val="3"/>
                  <c:pt idx="0">
                    <c:v>7.7427419162193062E-2</c:v>
                  </c:pt>
                  <c:pt idx="1">
                    <c:v>0.17797226408847022</c:v>
                  </c:pt>
                  <c:pt idx="2">
                    <c:v>0.1241030251735486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Plots!$A$220:$A$222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Plots!$D$220:$D$222</c:f>
              <c:numCache>
                <c:formatCode>General</c:formatCode>
                <c:ptCount val="3"/>
                <c:pt idx="0">
                  <c:v>0.90224265751029686</c:v>
                </c:pt>
                <c:pt idx="1">
                  <c:v>0.31170804109929917</c:v>
                </c:pt>
                <c:pt idx="2">
                  <c:v>0.44727250566196847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Plots!$D$232:$D$234</c15:f>
                <c15:dlblRangeCache>
                  <c:ptCount val="3"/>
                  <c:pt idx="0">
                    <c:v>0.9 ±
0.08</c:v>
                  </c:pt>
                  <c:pt idx="1">
                    <c:v>0.31 ±
0.18</c:v>
                  </c:pt>
                  <c:pt idx="2">
                    <c:v>0.45 ±
0.12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D551-4858-B26B-48F548F1EC70}"/>
            </c:ext>
          </c:extLst>
        </c:ser>
        <c:ser>
          <c:idx val="3"/>
          <c:order val="3"/>
          <c:tx>
            <c:strRef>
              <c:f>Plots!$E$219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6792247089724944E-2"/>
                </c:manualLayout>
              </c:layout>
              <c:tx>
                <c:rich>
                  <a:bodyPr/>
                  <a:lstStyle/>
                  <a:p>
                    <a:fld id="{A4CA8E99-E2F9-43FE-A45D-8B40A8062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551-4858-B26B-48F548F1EC70}"/>
                </c:ext>
              </c:extLst>
            </c:dLbl>
            <c:dLbl>
              <c:idx val="1"/>
              <c:layout>
                <c:manualLayout>
                  <c:x val="2.4690832081040431E-3"/>
                  <c:y val="-0.11445646798487884"/>
                </c:manualLayout>
              </c:layout>
              <c:tx>
                <c:rich>
                  <a:bodyPr/>
                  <a:lstStyle/>
                  <a:p>
                    <a:fld id="{002C0644-6214-46A8-BD48-35E541668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551-4858-B26B-48F548F1EC70}"/>
                </c:ext>
              </c:extLst>
            </c:dLbl>
            <c:dLbl>
              <c:idx val="2"/>
              <c:layout>
                <c:manualLayout>
                  <c:x val="0"/>
                  <c:y val="-0.10436070722903414"/>
                </c:manualLayout>
              </c:layout>
              <c:tx>
                <c:rich>
                  <a:bodyPr/>
                  <a:lstStyle/>
                  <a:p>
                    <a:fld id="{909B06E9-6438-461F-B938-F7C315A8AE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551-4858-B26B-48F548F1EC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Plots!$E$226:$E$228</c:f>
                <c:numCache>
                  <c:formatCode>General</c:formatCode>
                  <c:ptCount val="3"/>
                  <c:pt idx="0">
                    <c:v>0.15856084203110785</c:v>
                  </c:pt>
                  <c:pt idx="1">
                    <c:v>0.18414605421332578</c:v>
                  </c:pt>
                  <c:pt idx="2">
                    <c:v>0.17413263558048531</c:v>
                  </c:pt>
                </c:numCache>
              </c:numRef>
            </c:plus>
            <c:minus>
              <c:numRef>
                <c:f>Plots!$E$226:$E$228</c:f>
                <c:numCache>
                  <c:formatCode>General</c:formatCode>
                  <c:ptCount val="3"/>
                  <c:pt idx="0">
                    <c:v>0.15856084203110785</c:v>
                  </c:pt>
                  <c:pt idx="1">
                    <c:v>0.18414605421332578</c:v>
                  </c:pt>
                  <c:pt idx="2">
                    <c:v>0.17413263558048531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Plots!$A$220:$A$222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Plots!$E$220:$E$222</c:f>
              <c:numCache>
                <c:formatCode>General</c:formatCode>
                <c:ptCount val="3"/>
                <c:pt idx="0">
                  <c:v>0.85720855220039849</c:v>
                </c:pt>
                <c:pt idx="1">
                  <c:v>0.34131168466268363</c:v>
                </c:pt>
                <c:pt idx="2">
                  <c:v>0.46004067004371157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Plots!$E$232:$E$234</c15:f>
                <c15:dlblRangeCache>
                  <c:ptCount val="3"/>
                  <c:pt idx="0">
                    <c:v>0.86 ±
0.16</c:v>
                  </c:pt>
                  <c:pt idx="1">
                    <c:v>0.34 ±
0.18</c:v>
                  </c:pt>
                  <c:pt idx="2">
                    <c:v>0.46 ±
0.17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D551-4858-B26B-48F548F1EC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593834368"/>
        <c:axId val="59383338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Plots!$F$219</c15:sqref>
                        </c15:formulaRef>
                      </c:ext>
                    </c:extLst>
                    <c:strCache>
                      <c:ptCount val="1"/>
                      <c:pt idx="0">
                        <c:v>All Data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Plots!$A$220:$A$222</c15:sqref>
                        </c15:formulaRef>
                      </c:ext>
                    </c:extLst>
                    <c:strCache>
                      <c:ptCount val="3"/>
                      <c:pt idx="0">
                        <c:v>x</c:v>
                      </c:pt>
                      <c:pt idx="1">
                        <c:v>y</c:v>
                      </c:pt>
                      <c:pt idx="2">
                        <c:v>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Plots!$F$220:$F$222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0.86853142445902431</c:v>
                      </c:pt>
                      <c:pt idx="1">
                        <c:v>0.36015252050215696</c:v>
                      </c:pt>
                      <c:pt idx="2">
                        <c:v>0.48921462697065432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D551-4858-B26B-48F548F1EC70}"/>
                  </c:ext>
                </c:extLst>
              </c15:ser>
            </c15:filteredBarSeries>
          </c:ext>
        </c:extLst>
      </c:barChart>
      <c:catAx>
        <c:axId val="5938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3384"/>
        <c:crosses val="autoZero"/>
        <c:auto val="1"/>
        <c:lblAlgn val="ctr"/>
        <c:lblOffset val="100"/>
        <c:noMultiLvlLbl val="0"/>
      </c:catAx>
      <c:valAx>
        <c:axId val="593833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Driver</a:t>
                </a:r>
                <a:r>
                  <a:rPr lang="en-US" baseline="0"/>
                  <a:t> </a:t>
                </a:r>
                <a:r>
                  <a:rPr lang="en-US"/>
                  <a:t>Head Acceleration Component : Resultnat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4368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Plots!$B$240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633483392035541E-17"/>
                  <c:y val="-2.7777777777777776E-2"/>
                </c:manualLayout>
              </c:layout>
              <c:tx>
                <c:rich>
                  <a:bodyPr/>
                  <a:lstStyle/>
                  <a:p>
                    <a:fld id="{BAD20786-02FE-4D52-8C0E-11839C69F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84E-401F-B6CF-6E7E854D79E1}"/>
                </c:ext>
              </c:extLst>
            </c:dLbl>
            <c:dLbl>
              <c:idx val="1"/>
              <c:layout>
                <c:manualLayout>
                  <c:x val="0"/>
                  <c:y val="-8.7962962962963048E-2"/>
                </c:manualLayout>
              </c:layout>
              <c:tx>
                <c:rich>
                  <a:bodyPr/>
                  <a:lstStyle/>
                  <a:p>
                    <a:fld id="{B8C0D294-56E7-4DC8-97E9-83FEDB2077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84E-401F-B6CF-6E7E854D79E1}"/>
                </c:ext>
              </c:extLst>
            </c:dLbl>
            <c:dLbl>
              <c:idx val="2"/>
              <c:layout>
                <c:manualLayout>
                  <c:x val="0"/>
                  <c:y val="-6.4814814814814811E-2"/>
                </c:manualLayout>
              </c:layout>
              <c:tx>
                <c:rich>
                  <a:bodyPr/>
                  <a:lstStyle/>
                  <a:p>
                    <a:fld id="{0CBDAD62-E383-4E6C-877C-CB27B51863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84E-401F-B6CF-6E7E854D79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Plots!$B$247:$B$249</c:f>
                <c:numCache>
                  <c:formatCode>General</c:formatCode>
                  <c:ptCount val="3"/>
                  <c:pt idx="0">
                    <c:v>4.0102279497310218E-2</c:v>
                  </c:pt>
                  <c:pt idx="1">
                    <c:v>8.8102649249976295E-2</c:v>
                  </c:pt>
                  <c:pt idx="2">
                    <c:v>0.11307643602559167</c:v>
                  </c:pt>
                </c:numCache>
              </c:numRef>
            </c:plus>
            <c:minus>
              <c:numRef>
                <c:f>Plots!$B$247:$B$249</c:f>
                <c:numCache>
                  <c:formatCode>General</c:formatCode>
                  <c:ptCount val="3"/>
                  <c:pt idx="0">
                    <c:v>4.0102279497310218E-2</c:v>
                  </c:pt>
                  <c:pt idx="1">
                    <c:v>8.8102649249976295E-2</c:v>
                  </c:pt>
                  <c:pt idx="2">
                    <c:v>0.11307643602559167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Plots!$A$241:$A$243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Plots!$B$241:$B$243</c:f>
              <c:numCache>
                <c:formatCode>General</c:formatCode>
                <c:ptCount val="3"/>
                <c:pt idx="0">
                  <c:v>0.92905925104101883</c:v>
                </c:pt>
                <c:pt idx="1">
                  <c:v>0.36650963372879236</c:v>
                </c:pt>
                <c:pt idx="2">
                  <c:v>0.3093360267151346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Plots!$B$253:$B$255</c15:f>
                <c15:dlblRangeCache>
                  <c:ptCount val="3"/>
                  <c:pt idx="0">
                    <c:v>0.93 ±
0.04</c:v>
                  </c:pt>
                  <c:pt idx="1">
                    <c:v>0.37 ±
0.09</c:v>
                  </c:pt>
                  <c:pt idx="2">
                    <c:v>0.31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784E-401F-B6CF-6E7E854D79E1}"/>
            </c:ext>
          </c:extLst>
        </c:ser>
        <c:ser>
          <c:idx val="1"/>
          <c:order val="1"/>
          <c:tx>
            <c:strRef>
              <c:f>Plots!$C$240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5266966784071083E-17"/>
                  <c:y val="-2.7777777777777783E-2"/>
                </c:manualLayout>
              </c:layout>
              <c:tx>
                <c:rich>
                  <a:bodyPr/>
                  <a:lstStyle/>
                  <a:p>
                    <a:fld id="{77C87F8B-CB0F-4B48-955E-D976DBDF0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84E-401F-B6CF-6E7E854D79E1}"/>
                </c:ext>
              </c:extLst>
            </c:dLbl>
            <c:dLbl>
              <c:idx val="1"/>
              <c:layout>
                <c:manualLayout>
                  <c:x val="0"/>
                  <c:y val="-0.10648148148148148"/>
                </c:manualLayout>
              </c:layout>
              <c:tx>
                <c:rich>
                  <a:bodyPr/>
                  <a:lstStyle/>
                  <a:p>
                    <a:fld id="{528A78D8-0636-4309-AFAE-1FBC4660E7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84E-401F-B6CF-6E7E854D79E1}"/>
                </c:ext>
              </c:extLst>
            </c:dLbl>
            <c:dLbl>
              <c:idx val="2"/>
              <c:layout>
                <c:manualLayout>
                  <c:x val="-9.0533933568142166E-17"/>
                  <c:y val="-5.0925925925925972E-2"/>
                </c:manualLayout>
              </c:layout>
              <c:tx>
                <c:rich>
                  <a:bodyPr/>
                  <a:lstStyle/>
                  <a:p>
                    <a:fld id="{A7ACD398-5472-43B0-8859-A89714A320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84E-401F-B6CF-6E7E854D79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Plots!$C$247:$C$249</c:f>
                <c:numCache>
                  <c:formatCode>General</c:formatCode>
                  <c:ptCount val="3"/>
                  <c:pt idx="0">
                    <c:v>4.6386776237796939E-2</c:v>
                  </c:pt>
                  <c:pt idx="1">
                    <c:v>9.1147661612675651E-2</c:v>
                  </c:pt>
                  <c:pt idx="2">
                    <c:v>0.11994233374950858</c:v>
                  </c:pt>
                </c:numCache>
              </c:numRef>
            </c:plus>
            <c:minus>
              <c:numRef>
                <c:f>Plots!$C$247:$C$249</c:f>
                <c:numCache>
                  <c:formatCode>General</c:formatCode>
                  <c:ptCount val="3"/>
                  <c:pt idx="0">
                    <c:v>4.6386776237796939E-2</c:v>
                  </c:pt>
                  <c:pt idx="1">
                    <c:v>9.1147661612675651E-2</c:v>
                  </c:pt>
                  <c:pt idx="2">
                    <c:v>0.11994233374950858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Plots!$A$241:$A$243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Plots!$C$241:$C$243</c:f>
              <c:numCache>
                <c:formatCode>General</c:formatCode>
                <c:ptCount val="3"/>
                <c:pt idx="0">
                  <c:v>0.92594930174899859</c:v>
                </c:pt>
                <c:pt idx="1">
                  <c:v>0.35050717329751779</c:v>
                </c:pt>
                <c:pt idx="2">
                  <c:v>0.32662568701620259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Plots!$C$253:$C$255</c15:f>
                <c15:dlblRangeCache>
                  <c:ptCount val="3"/>
                  <c:pt idx="0">
                    <c:v>0.93 ±
0.05</c:v>
                  </c:pt>
                  <c:pt idx="1">
                    <c:v>0.35 ±
0.09</c:v>
                  </c:pt>
                  <c:pt idx="2">
                    <c:v>0.33 ±
0.12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784E-401F-B6CF-6E7E854D79E1}"/>
            </c:ext>
          </c:extLst>
        </c:ser>
        <c:ser>
          <c:idx val="2"/>
          <c:order val="2"/>
          <c:tx>
            <c:strRef>
              <c:f>Plots!$D$240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3148148148148147E-2"/>
                </c:manualLayout>
              </c:layout>
              <c:tx>
                <c:rich>
                  <a:bodyPr/>
                  <a:lstStyle/>
                  <a:p>
                    <a:fld id="{69F8C513-1D70-4033-B0F3-C098A8765B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84E-401F-B6CF-6E7E854D79E1}"/>
                </c:ext>
              </c:extLst>
            </c:dLbl>
            <c:dLbl>
              <c:idx val="1"/>
              <c:layout>
                <c:manualLayout>
                  <c:x val="0"/>
                  <c:y val="-6.9444444444444448E-2"/>
                </c:manualLayout>
              </c:layout>
              <c:tx>
                <c:rich>
                  <a:bodyPr/>
                  <a:lstStyle/>
                  <a:p>
                    <a:fld id="{D0F28721-0DD3-4177-A5BC-5B107CAA3A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84E-401F-B6CF-6E7E854D79E1}"/>
                </c:ext>
              </c:extLst>
            </c:dLbl>
            <c:dLbl>
              <c:idx val="2"/>
              <c:layout>
                <c:manualLayout>
                  <c:x val="-1.3653836280433272E-16"/>
                  <c:y val="-8.5633339391244637E-2"/>
                </c:manualLayout>
              </c:layout>
              <c:tx>
                <c:rich>
                  <a:bodyPr/>
                  <a:lstStyle/>
                  <a:p>
                    <a:fld id="{7F3C5013-3C1C-4EF4-A479-8E558492C1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84E-401F-B6CF-6E7E854D79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Plots!$D$247:$D$249</c:f>
                <c:numCache>
                  <c:formatCode>General</c:formatCode>
                  <c:ptCount val="3"/>
                  <c:pt idx="0">
                    <c:v>4.0184257047942464E-2</c:v>
                  </c:pt>
                  <c:pt idx="1">
                    <c:v>7.9350454450008656E-2</c:v>
                  </c:pt>
                  <c:pt idx="2">
                    <c:v>0.13391386274777742</c:v>
                  </c:pt>
                </c:numCache>
              </c:numRef>
            </c:plus>
            <c:minus>
              <c:numRef>
                <c:f>Plots!$D$247:$D$249</c:f>
                <c:numCache>
                  <c:formatCode>General</c:formatCode>
                  <c:ptCount val="3"/>
                  <c:pt idx="0">
                    <c:v>4.0184257047942464E-2</c:v>
                  </c:pt>
                  <c:pt idx="1">
                    <c:v>7.9350454450008656E-2</c:v>
                  </c:pt>
                  <c:pt idx="2">
                    <c:v>0.13391386274777742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Plots!$A$241:$A$243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Plots!$D$241:$D$243</c:f>
              <c:numCache>
                <c:formatCode>General</c:formatCode>
                <c:ptCount val="3"/>
                <c:pt idx="0">
                  <c:v>0.93420904975291763</c:v>
                </c:pt>
                <c:pt idx="1">
                  <c:v>0.34278338819459997</c:v>
                </c:pt>
                <c:pt idx="2">
                  <c:v>0.30413396706596024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Plots!$D$253:$D$255</c15:f>
                <c15:dlblRangeCache>
                  <c:ptCount val="3"/>
                  <c:pt idx="0">
                    <c:v>0.93 ±
0.04</c:v>
                  </c:pt>
                  <c:pt idx="1">
                    <c:v>0.34 ±
0.08</c:v>
                  </c:pt>
                  <c:pt idx="2">
                    <c:v>0.3 ±
0.13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784E-401F-B6CF-6E7E854D79E1}"/>
            </c:ext>
          </c:extLst>
        </c:ser>
        <c:ser>
          <c:idx val="3"/>
          <c:order val="3"/>
          <c:tx>
            <c:strRef>
              <c:f>Plots!$E$240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5266966784071083E-17"/>
                  <c:y val="-1.3888888888888892E-2"/>
                </c:manualLayout>
              </c:layout>
              <c:tx>
                <c:rich>
                  <a:bodyPr/>
                  <a:lstStyle/>
                  <a:p>
                    <a:fld id="{01A279BC-7ADC-48B9-91D0-AE07FA00D4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84E-401F-B6CF-6E7E854D79E1}"/>
                </c:ext>
              </c:extLst>
            </c:dLbl>
            <c:dLbl>
              <c:idx val="1"/>
              <c:layout>
                <c:manualLayout>
                  <c:x val="2.4691358024691358E-3"/>
                  <c:y val="-9.2592592592592587E-2"/>
                </c:manualLayout>
              </c:layout>
              <c:tx>
                <c:rich>
                  <a:bodyPr/>
                  <a:lstStyle/>
                  <a:p>
                    <a:fld id="{4B241DC7-5E33-4846-8FB9-0FA129B130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84E-401F-B6CF-6E7E854D79E1}"/>
                </c:ext>
              </c:extLst>
            </c:dLbl>
            <c:dLbl>
              <c:idx val="2"/>
              <c:layout>
                <c:manualLayout>
                  <c:x val="0"/>
                  <c:y val="-4.6296296296296335E-2"/>
                </c:manualLayout>
              </c:layout>
              <c:tx>
                <c:rich>
                  <a:bodyPr/>
                  <a:lstStyle/>
                  <a:p>
                    <a:fld id="{4A48D74E-0826-4B29-8CFB-C087C66C9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84E-401F-B6CF-6E7E854D79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Plots!$E$247:$E$249</c:f>
                <c:numCache>
                  <c:formatCode>General</c:formatCode>
                  <c:ptCount val="3"/>
                  <c:pt idx="0">
                    <c:v>5.9333403544719096E-2</c:v>
                  </c:pt>
                  <c:pt idx="1">
                    <c:v>0.10566107146809087</c:v>
                  </c:pt>
                  <c:pt idx="2">
                    <c:v>0.11344019213023843</c:v>
                  </c:pt>
                </c:numCache>
              </c:numRef>
            </c:plus>
            <c:minus>
              <c:numRef>
                <c:f>Plots!$E$247:$E$249</c:f>
                <c:numCache>
                  <c:formatCode>General</c:formatCode>
                  <c:ptCount val="3"/>
                  <c:pt idx="0">
                    <c:v>5.9333403544719096E-2</c:v>
                  </c:pt>
                  <c:pt idx="1">
                    <c:v>0.10566107146809087</c:v>
                  </c:pt>
                  <c:pt idx="2">
                    <c:v>0.11344019213023843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Plots!$A$241:$A$243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Plots!$E$241:$E$243</c:f>
              <c:numCache>
                <c:formatCode>General</c:formatCode>
                <c:ptCount val="3"/>
                <c:pt idx="0">
                  <c:v>0.92048540682525015</c:v>
                </c:pt>
                <c:pt idx="1">
                  <c:v>0.35918124898496878</c:v>
                </c:pt>
                <c:pt idx="2">
                  <c:v>0.36902471270535336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Plots!$E$253:$E$255</c15:f>
                <c15:dlblRangeCache>
                  <c:ptCount val="3"/>
                  <c:pt idx="0">
                    <c:v>0.92 ±
0.06</c:v>
                  </c:pt>
                  <c:pt idx="1">
                    <c:v>0.36 ±
0.11</c:v>
                  </c:pt>
                  <c:pt idx="2">
                    <c:v>0.37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784E-401F-B6CF-6E7E854D79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593834368"/>
        <c:axId val="59383338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Plots!$F$240</c15:sqref>
                        </c15:formulaRef>
                      </c:ext>
                    </c:extLst>
                    <c:strCache>
                      <c:ptCount val="1"/>
                      <c:pt idx="0">
                        <c:v>All Data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Plots!$A$241:$A$243</c15:sqref>
                        </c15:formulaRef>
                      </c:ext>
                    </c:extLst>
                    <c:strCache>
                      <c:ptCount val="3"/>
                      <c:pt idx="0">
                        <c:v>x</c:v>
                      </c:pt>
                      <c:pt idx="1">
                        <c:v>y</c:v>
                      </c:pt>
                      <c:pt idx="2">
                        <c:v>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Plots!$F$241:$F$243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0.92716752361562327</c:v>
                      </c:pt>
                      <c:pt idx="1">
                        <c:v>0.35816697256404934</c:v>
                      </c:pt>
                      <c:pt idx="2">
                        <c:v>0.32181330827665222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784E-401F-B6CF-6E7E854D79E1}"/>
                  </c:ext>
                </c:extLst>
              </c15:ser>
            </c15:filteredBarSeries>
          </c:ext>
        </c:extLst>
      </c:barChart>
      <c:catAx>
        <c:axId val="5938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3384"/>
        <c:crosses val="autoZero"/>
        <c:auto val="1"/>
        <c:lblAlgn val="ctr"/>
        <c:lblOffset val="100"/>
        <c:noMultiLvlLbl val="0"/>
      </c:catAx>
      <c:valAx>
        <c:axId val="5938333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Driver</a:t>
                </a:r>
                <a:r>
                  <a:rPr lang="en-US" baseline="0"/>
                  <a:t> Chest</a:t>
                </a:r>
                <a:r>
                  <a:rPr lang="en-US"/>
                  <a:t> Acceleration Component : Resultnat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4368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Plots!$B$127</c:f>
              <c:strCache>
                <c:ptCount val="1"/>
                <c:pt idx="0">
                  <c:v>Head</c:v>
                </c:pt>
              </c:strCache>
            </c:strRef>
          </c:tx>
          <c:spPr>
            <a:solidFill>
              <a:srgbClr val="DCE6F2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Plots!$B$134:$B$136</c:f>
                <c:numCache>
                  <c:formatCode>General</c:formatCode>
                  <c:ptCount val="3"/>
                  <c:pt idx="0">
                    <c:v>0.16417555000595355</c:v>
                  </c:pt>
                  <c:pt idx="1">
                    <c:v>0.10324977728094517</c:v>
                  </c:pt>
                  <c:pt idx="2">
                    <c:v>9.0676109067247976E-2</c:v>
                  </c:pt>
                </c:numCache>
              </c:numRef>
            </c:plus>
            <c:minus>
              <c:numRef>
                <c:f>Plots!$B$134:$B$136</c:f>
                <c:numCache>
                  <c:formatCode>General</c:formatCode>
                  <c:ptCount val="3"/>
                  <c:pt idx="0">
                    <c:v>0.16417555000595355</c:v>
                  </c:pt>
                  <c:pt idx="1">
                    <c:v>0.10324977728094517</c:v>
                  </c:pt>
                  <c:pt idx="2">
                    <c:v>9.0676109067247976E-2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Plots!$A$128:$A$130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Plots!$B$128:$B$130</c:f>
              <c:numCache>
                <c:formatCode>0.00</c:formatCode>
                <c:ptCount val="3"/>
                <c:pt idx="0">
                  <c:v>0.62364231098760203</c:v>
                </c:pt>
                <c:pt idx="1">
                  <c:v>0.24848482080052753</c:v>
                </c:pt>
                <c:pt idx="2">
                  <c:v>0.87099455990329511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2D-42EE-A57E-1B3DB2DB2C35}"/>
            </c:ext>
          </c:extLst>
        </c:ser>
        <c:ser>
          <c:idx val="1"/>
          <c:order val="1"/>
          <c:tx>
            <c:strRef>
              <c:f>Plots!$C$127</c:f>
              <c:strCache>
                <c:ptCount val="1"/>
                <c:pt idx="0">
                  <c:v>Chest</c:v>
                </c:pt>
              </c:strCache>
            </c:strRef>
          </c:tx>
          <c:spPr>
            <a:solidFill>
              <a:srgbClr val="F2DCDB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Plots!$C$134:$C$136</c:f>
                <c:numCache>
                  <c:formatCode>General</c:formatCode>
                  <c:ptCount val="3"/>
                  <c:pt idx="0">
                    <c:v>0.15855199969634354</c:v>
                  </c:pt>
                  <c:pt idx="1">
                    <c:v>0.15428102129629545</c:v>
                  </c:pt>
                  <c:pt idx="2">
                    <c:v>0.22349864360046309</c:v>
                  </c:pt>
                </c:numCache>
              </c:numRef>
            </c:plus>
            <c:minus>
              <c:numRef>
                <c:f>Plots!$C$134:$C$136</c:f>
                <c:numCache>
                  <c:formatCode>General</c:formatCode>
                  <c:ptCount val="3"/>
                  <c:pt idx="0">
                    <c:v>0.15855199969634354</c:v>
                  </c:pt>
                  <c:pt idx="1">
                    <c:v>0.15428102129629545</c:v>
                  </c:pt>
                  <c:pt idx="2">
                    <c:v>0.22349864360046309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Plots!$A$128:$A$130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Plots!$C$128:$C$130</c:f>
              <c:numCache>
                <c:formatCode>0.00</c:formatCode>
                <c:ptCount val="3"/>
                <c:pt idx="0">
                  <c:v>0.73299016204356793</c:v>
                </c:pt>
                <c:pt idx="1">
                  <c:v>0.57505318371293401</c:v>
                </c:pt>
                <c:pt idx="2">
                  <c:v>0.51766582334663525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2D-42EE-A57E-1B3DB2DB2C35}"/>
            </c:ext>
          </c:extLst>
        </c:ser>
        <c:ser>
          <c:idx val="2"/>
          <c:order val="2"/>
          <c:tx>
            <c:strRef>
              <c:f>Plots!$D$127</c:f>
              <c:strCache>
                <c:ptCount val="1"/>
                <c:pt idx="0">
                  <c:v>Pelvis</c:v>
                </c:pt>
              </c:strCache>
            </c:strRef>
          </c:tx>
          <c:spPr>
            <a:solidFill>
              <a:srgbClr val="E6E0EC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Plots!$D$134:$D$136</c:f>
                <c:numCache>
                  <c:formatCode>General</c:formatCode>
                  <c:ptCount val="3"/>
                  <c:pt idx="0">
                    <c:v>9.370290380500694E-2</c:v>
                  </c:pt>
                  <c:pt idx="1">
                    <c:v>9.0765715264018804E-2</c:v>
                  </c:pt>
                  <c:pt idx="2">
                    <c:v>0.12851576851069083</c:v>
                  </c:pt>
                </c:numCache>
              </c:numRef>
            </c:plus>
            <c:minus>
              <c:numRef>
                <c:f>Plots!$D$134:$D$136</c:f>
                <c:numCache>
                  <c:formatCode>General</c:formatCode>
                  <c:ptCount val="3"/>
                  <c:pt idx="0">
                    <c:v>9.370290380500694E-2</c:v>
                  </c:pt>
                  <c:pt idx="1">
                    <c:v>9.0765715264018804E-2</c:v>
                  </c:pt>
                  <c:pt idx="2">
                    <c:v>0.12851576851069083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Plots!$A$128:$A$130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Plots!$D$128:$D$130</c:f>
              <c:numCache>
                <c:formatCode>0.00</c:formatCode>
                <c:ptCount val="3"/>
                <c:pt idx="0">
                  <c:v>0.78979552175931067</c:v>
                </c:pt>
                <c:pt idx="1">
                  <c:v>0.41218168508707798</c:v>
                </c:pt>
                <c:pt idx="2">
                  <c:v>0.63486909611208608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4-4156-AD6E-A5485E1937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70083880"/>
        <c:axId val="670089128"/>
      </c:barChart>
      <c:catAx>
        <c:axId val="67008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089128"/>
        <c:crosses val="autoZero"/>
        <c:auto val="1"/>
        <c:lblAlgn val="ctr"/>
        <c:lblOffset val="100"/>
        <c:noMultiLvlLbl val="0"/>
      </c:catAx>
      <c:valAx>
        <c:axId val="67008912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a:t>Passenger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a:t> Acceleration Ratio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083880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Plots!$B$3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9063641723930808E-2"/>
                </c:manualLayout>
              </c:layout>
              <c:tx>
                <c:rich>
                  <a:bodyPr/>
                  <a:lstStyle/>
                  <a:p>
                    <a:fld id="{829BFBAB-9D02-4EC9-BC3C-9877A3A30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5B0-472F-AD6B-8FC2AD1102DF}"/>
                </c:ext>
              </c:extLst>
            </c:dLbl>
            <c:dLbl>
              <c:idx val="1"/>
              <c:layout>
                <c:manualLayout>
                  <c:x val="-7.1311943685028185E-17"/>
                  <c:y val="-5.132189703659211E-2"/>
                </c:manualLayout>
              </c:layout>
              <c:tx>
                <c:rich>
                  <a:bodyPr/>
                  <a:lstStyle/>
                  <a:p>
                    <a:fld id="{38C18EED-4A2D-4D60-ACA1-F007CF74F8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5B0-472F-AD6B-8FC2AD1102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Plots!$B$9:$B$10</c:f>
                <c:numCache>
                  <c:formatCode>General</c:formatCode>
                  <c:ptCount val="2"/>
                  <c:pt idx="0">
                    <c:v>0.10104038063945149</c:v>
                  </c:pt>
                  <c:pt idx="1">
                    <c:v>4.0102279497310218E-2</c:v>
                  </c:pt>
                </c:numCache>
              </c:numRef>
            </c:plus>
            <c:minus>
              <c:numRef>
                <c:f>Plots!$B$9:$B$10</c:f>
                <c:numCache>
                  <c:formatCode>General</c:formatCode>
                  <c:ptCount val="2"/>
                  <c:pt idx="0">
                    <c:v>0.10104038063945149</c:v>
                  </c:pt>
                  <c:pt idx="1">
                    <c:v>4.0102279497310218E-2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Plots!$A$4:$A$5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Plots!$B$4:$B$5</c:f>
              <c:numCache>
                <c:formatCode>General</c:formatCode>
                <c:ptCount val="2"/>
                <c:pt idx="0">
                  <c:v>0.8757967579617536</c:v>
                </c:pt>
                <c:pt idx="1">
                  <c:v>0.92905925104101883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Plots!$B$14:$B$15</c15:f>
                <c15:dlblRangeCache>
                  <c:ptCount val="2"/>
                  <c:pt idx="0">
                    <c:v>0.88 ±
0.1</c:v>
                  </c:pt>
                  <c:pt idx="1">
                    <c:v>0.93 ±
0.04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5B0-472F-AD6B-8FC2AD1102DF}"/>
            </c:ext>
          </c:extLst>
        </c:ser>
        <c:ser>
          <c:idx val="1"/>
          <c:order val="1"/>
          <c:tx>
            <c:strRef>
              <c:f>Plots!$C$3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9063641723930808E-2"/>
                </c:manualLayout>
              </c:layout>
              <c:tx>
                <c:rich>
                  <a:bodyPr/>
                  <a:lstStyle/>
                  <a:p>
                    <a:fld id="{EA616949-45D0-4427-8C4F-B85D0D08FB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5B0-472F-AD6B-8FC2AD1102DF}"/>
                </c:ext>
              </c:extLst>
            </c:dLbl>
            <c:dLbl>
              <c:idx val="1"/>
              <c:layout>
                <c:manualLayout>
                  <c:x val="0"/>
                  <c:y val="-4.1990643029939004E-2"/>
                </c:manualLayout>
              </c:layout>
              <c:tx>
                <c:rich>
                  <a:bodyPr/>
                  <a:lstStyle/>
                  <a:p>
                    <a:fld id="{10D2F4CE-D580-49A3-8CEC-0C4E4D6A8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5B0-472F-AD6B-8FC2AD1102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Plots!$C$9:$C$10</c:f>
                <c:numCache>
                  <c:formatCode>General</c:formatCode>
                  <c:ptCount val="2"/>
                  <c:pt idx="0">
                    <c:v>0.10334395365971676</c:v>
                  </c:pt>
                  <c:pt idx="1">
                    <c:v>4.6386776237796939E-2</c:v>
                  </c:pt>
                </c:numCache>
              </c:numRef>
            </c:plus>
            <c:minus>
              <c:numRef>
                <c:f>Plots!$C$9:$C$10</c:f>
                <c:numCache>
                  <c:formatCode>General</c:formatCode>
                  <c:ptCount val="2"/>
                  <c:pt idx="0">
                    <c:v>0.10334395365971676</c:v>
                  </c:pt>
                  <c:pt idx="1">
                    <c:v>4.6386776237796939E-2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Plots!$A$4:$A$5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Plots!$C$4:$C$5</c:f>
              <c:numCache>
                <c:formatCode>General</c:formatCode>
                <c:ptCount val="2"/>
                <c:pt idx="0">
                  <c:v>0.86028175088679215</c:v>
                </c:pt>
                <c:pt idx="1">
                  <c:v>0.92594930174899859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Plots!$C$14:$C$15</c15:f>
                <c15:dlblRangeCache>
                  <c:ptCount val="2"/>
                  <c:pt idx="0">
                    <c:v>0.86 ±
0.1</c:v>
                  </c:pt>
                  <c:pt idx="1">
                    <c:v>0.93 ±
0.05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65B0-472F-AD6B-8FC2AD1102DF}"/>
            </c:ext>
          </c:extLst>
        </c:ser>
        <c:ser>
          <c:idx val="2"/>
          <c:order val="2"/>
          <c:tx>
            <c:strRef>
              <c:f>Plots!$D$3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5.1177887132237462E-2"/>
                </c:manualLayout>
              </c:layout>
              <c:tx>
                <c:rich>
                  <a:bodyPr/>
                  <a:lstStyle/>
                  <a:p>
                    <a:fld id="{BEAE7AF4-9F27-4A66-AA9B-89F4DE669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5B0-472F-AD6B-8FC2AD1102DF}"/>
                </c:ext>
              </c:extLst>
            </c:dLbl>
            <c:dLbl>
              <c:idx val="1"/>
              <c:layout>
                <c:manualLayout>
                  <c:x val="-1.4262388737005637E-16"/>
                  <c:y val="-3.7325016026612451E-2"/>
                </c:manualLayout>
              </c:layout>
              <c:tx>
                <c:rich>
                  <a:bodyPr/>
                  <a:lstStyle/>
                  <a:p>
                    <a:fld id="{4289FE92-AD79-4451-AA03-95046A124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5B0-472F-AD6B-8FC2AD1102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Plots!$D$9:$D$10</c:f>
                <c:numCache>
                  <c:formatCode>General</c:formatCode>
                  <c:ptCount val="2"/>
                  <c:pt idx="0">
                    <c:v>7.7427419162193062E-2</c:v>
                  </c:pt>
                  <c:pt idx="1">
                    <c:v>4.0184257047942464E-2</c:v>
                  </c:pt>
                </c:numCache>
              </c:numRef>
            </c:plus>
            <c:minus>
              <c:numRef>
                <c:f>Plots!$D$9:$D$10</c:f>
                <c:numCache>
                  <c:formatCode>General</c:formatCode>
                  <c:ptCount val="2"/>
                  <c:pt idx="0">
                    <c:v>7.7427419162193062E-2</c:v>
                  </c:pt>
                  <c:pt idx="1">
                    <c:v>4.0184257047942464E-2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Plots!$A$4:$A$5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Plots!$D$4:$D$5</c:f>
              <c:numCache>
                <c:formatCode>General</c:formatCode>
                <c:ptCount val="2"/>
                <c:pt idx="0">
                  <c:v>0.90224265751029686</c:v>
                </c:pt>
                <c:pt idx="1">
                  <c:v>0.93420904975291763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Plots!$D$14:$D$15</c15:f>
                <c15:dlblRangeCache>
                  <c:ptCount val="2"/>
                  <c:pt idx="0">
                    <c:v>0.9 ±
0.08</c:v>
                  </c:pt>
                  <c:pt idx="1">
                    <c:v>0.93 ±
0.04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5B0-472F-AD6B-8FC2AD1102DF}"/>
            </c:ext>
          </c:extLst>
        </c:ser>
        <c:ser>
          <c:idx val="3"/>
          <c:order val="3"/>
          <c:tx>
            <c:strRef>
              <c:f>Plots!$E$3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9.3024520257821819E-2"/>
                </c:manualLayout>
              </c:layout>
              <c:tx>
                <c:rich>
                  <a:bodyPr/>
                  <a:lstStyle/>
                  <a:p>
                    <a:fld id="{E185351B-A0A8-48A8-B3AF-27B85691AB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5B0-472F-AD6B-8FC2AD1102DF}"/>
                </c:ext>
              </c:extLst>
            </c:dLbl>
            <c:dLbl>
              <c:idx val="1"/>
              <c:layout>
                <c:manualLayout>
                  <c:x val="0"/>
                  <c:y val="-3.7325016026612451E-2"/>
                </c:manualLayout>
              </c:layout>
              <c:tx>
                <c:rich>
                  <a:bodyPr/>
                  <a:lstStyle/>
                  <a:p>
                    <a:fld id="{8E480C9D-85F5-4382-866C-DB5E8C521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5B0-472F-AD6B-8FC2AD1102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Plots!$E$9:$E$10</c:f>
                <c:numCache>
                  <c:formatCode>General</c:formatCode>
                  <c:ptCount val="2"/>
                  <c:pt idx="0">
                    <c:v>0.15856084203110785</c:v>
                  </c:pt>
                  <c:pt idx="1">
                    <c:v>5.9333403544719096E-2</c:v>
                  </c:pt>
                </c:numCache>
              </c:numRef>
            </c:plus>
            <c:minus>
              <c:numRef>
                <c:f>Plots!$E$9:$E$10</c:f>
                <c:numCache>
                  <c:formatCode>General</c:formatCode>
                  <c:ptCount val="2"/>
                  <c:pt idx="0">
                    <c:v>0.15856084203110785</c:v>
                  </c:pt>
                  <c:pt idx="1">
                    <c:v>5.9333403544719096E-2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Plots!$A$4:$A$5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Plots!$E$4:$E$5</c:f>
              <c:numCache>
                <c:formatCode>General</c:formatCode>
                <c:ptCount val="2"/>
                <c:pt idx="0">
                  <c:v>0.85720855220039849</c:v>
                </c:pt>
                <c:pt idx="1">
                  <c:v>0.92048540682525015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Plots!$E$14:$E$15</c15:f>
                <c15:dlblRangeCache>
                  <c:ptCount val="2"/>
                  <c:pt idx="0">
                    <c:v>0.86 ±
0.16</c:v>
                  </c:pt>
                  <c:pt idx="1">
                    <c:v>0.92 ±
0.06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65B0-472F-AD6B-8FC2AD1102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390336"/>
        <c:axId val="554399936"/>
      </c:barChart>
      <c:catAx>
        <c:axId val="55439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9936"/>
        <c:crosses val="autoZero"/>
        <c:auto val="1"/>
        <c:lblAlgn val="ctr"/>
        <c:lblOffset val="100"/>
        <c:noMultiLvlLbl val="0"/>
      </c:catAx>
      <c:valAx>
        <c:axId val="554399936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Driver A X : Resultant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0336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Plots!$B$19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2311822435982828"/>
                </c:manualLayout>
              </c:layout>
              <c:tx>
                <c:rich>
                  <a:bodyPr/>
                  <a:lstStyle/>
                  <a:p>
                    <a:fld id="{530B5224-5E78-43C8-A0A8-973BFE916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858-471E-9B84-6CDFD0F6DDD5}"/>
                </c:ext>
              </c:extLst>
            </c:dLbl>
            <c:dLbl>
              <c:idx val="1"/>
              <c:layout>
                <c:manualLayout>
                  <c:x val="0"/>
                  <c:y val="-0.11709285434736233"/>
                </c:manualLayout>
              </c:layout>
              <c:tx>
                <c:rich>
                  <a:bodyPr/>
                  <a:lstStyle/>
                  <a:p>
                    <a:fld id="{19E93042-0990-4A2D-B04A-3D258CE766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858-471E-9B84-6CDFD0F6DDD5}"/>
                </c:ext>
              </c:extLst>
            </c:dLbl>
            <c:dLbl>
              <c:idx val="2"/>
              <c:layout>
                <c:manualLayout>
                  <c:x val="-1.4184235465935107E-16"/>
                  <c:y val="-7.6716008020685664E-2"/>
                </c:manualLayout>
              </c:layout>
              <c:tx>
                <c:rich>
                  <a:bodyPr/>
                  <a:lstStyle/>
                  <a:p>
                    <a:fld id="{3F459031-CCFD-4BDA-83B7-99BE2E8527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858-471E-9B84-6CDFD0F6DD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Plots!$B$26:$B$28</c:f>
                <c:numCache>
                  <c:formatCode>General</c:formatCode>
                  <c:ptCount val="3"/>
                  <c:pt idx="0">
                    <c:v>0.17310878104399968</c:v>
                  </c:pt>
                  <c:pt idx="1">
                    <c:v>0.16572869189524167</c:v>
                  </c:pt>
                  <c:pt idx="2">
                    <c:v>0.10633726147482654</c:v>
                  </c:pt>
                </c:numCache>
              </c:numRef>
            </c:plus>
            <c:minus>
              <c:numRef>
                <c:f>Plots!$B$26:$B$28</c:f>
                <c:numCache>
                  <c:formatCode>General</c:formatCode>
                  <c:ptCount val="3"/>
                  <c:pt idx="0">
                    <c:v>0.17310878104399968</c:v>
                  </c:pt>
                  <c:pt idx="1">
                    <c:v>0.16572869189524167</c:v>
                  </c:pt>
                  <c:pt idx="2">
                    <c:v>0.10633726147482654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Plots!$A$20:$A$22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Plots!$B$20:$B$22</c:f>
              <c:numCache>
                <c:formatCode>General</c:formatCode>
                <c:ptCount val="3"/>
                <c:pt idx="0">
                  <c:v>0.64190730961775944</c:v>
                </c:pt>
                <c:pt idx="1">
                  <c:v>0.72761809719568671</c:v>
                </c:pt>
                <c:pt idx="2">
                  <c:v>0.76380758427488893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Plots!$B$32:$B$34</c15:f>
                <c15:dlblRangeCache>
                  <c:ptCount val="3"/>
                  <c:pt idx="0">
                    <c:v>0.64 ±
0.17</c:v>
                  </c:pt>
                  <c:pt idx="1">
                    <c:v>0.73 ±
0.17</c:v>
                  </c:pt>
                  <c:pt idx="2">
                    <c:v>0.76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858-471E-9B84-6CDFD0F6DDD5}"/>
            </c:ext>
          </c:extLst>
        </c:ser>
        <c:ser>
          <c:idx val="1"/>
          <c:order val="1"/>
          <c:tx>
            <c:strRef>
              <c:f>Plots!$C$19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60588664837769E-17"/>
                  <c:y val="-0.17355812533163856"/>
                </c:manualLayout>
              </c:layout>
              <c:tx>
                <c:rich>
                  <a:bodyPr/>
                  <a:lstStyle/>
                  <a:p>
                    <a:fld id="{982AFDF6-574F-4281-ABA4-F3AD91BF2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858-471E-9B84-6CDFD0F6DDD5}"/>
                </c:ext>
              </c:extLst>
            </c:dLbl>
            <c:dLbl>
              <c:idx val="1"/>
              <c:layout>
                <c:manualLayout>
                  <c:x val="0"/>
                  <c:y val="-0.12113053898003001"/>
                </c:manualLayout>
              </c:layout>
              <c:tx>
                <c:rich>
                  <a:bodyPr/>
                  <a:lstStyle/>
                  <a:p>
                    <a:fld id="{3736CC27-C854-4C03-8487-ED722AD7FF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858-471E-9B84-6CDFD0F6DDD5}"/>
                </c:ext>
              </c:extLst>
            </c:dLbl>
            <c:dLbl>
              <c:idx val="2"/>
              <c:layout>
                <c:manualLayout>
                  <c:x val="-1.9342362713773086E-3"/>
                  <c:y val="-8.8829061918688682E-2"/>
                </c:manualLayout>
              </c:layout>
              <c:tx>
                <c:rich>
                  <a:bodyPr/>
                  <a:lstStyle/>
                  <a:p>
                    <a:fld id="{E5BC78ED-C629-4DE6-90AF-5100B4056B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858-471E-9B84-6CDFD0F6DD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Plots!$C$26:$C$28</c:f>
                <c:numCache>
                  <c:formatCode>General</c:formatCode>
                  <c:ptCount val="3"/>
                  <c:pt idx="0">
                    <c:v>0.15940714090055191</c:v>
                  </c:pt>
                  <c:pt idx="1">
                    <c:v>0.1570735539375267</c:v>
                  </c:pt>
                  <c:pt idx="2">
                    <c:v>8.4358637130423339E-2</c:v>
                  </c:pt>
                </c:numCache>
              </c:numRef>
            </c:plus>
            <c:minus>
              <c:numRef>
                <c:f>Plots!$C$26:$C$28</c:f>
                <c:numCache>
                  <c:formatCode>General</c:formatCode>
                  <c:ptCount val="3"/>
                  <c:pt idx="0">
                    <c:v>0.15940714090055191</c:v>
                  </c:pt>
                  <c:pt idx="1">
                    <c:v>0.1570735539375267</c:v>
                  </c:pt>
                  <c:pt idx="2">
                    <c:v>8.4358637130423339E-2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Plots!$A$20:$A$22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Plots!$C$20:$C$22</c:f>
              <c:numCache>
                <c:formatCode>General</c:formatCode>
                <c:ptCount val="3"/>
                <c:pt idx="0">
                  <c:v>0.59978978053517584</c:v>
                </c:pt>
                <c:pt idx="1">
                  <c:v>0.72914930543914036</c:v>
                </c:pt>
                <c:pt idx="2">
                  <c:v>0.78863390453123905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Plots!$C$32:$C$34</c15:f>
                <c15:dlblRangeCache>
                  <c:ptCount val="3"/>
                  <c:pt idx="0">
                    <c:v>0.6 ±
0.16</c:v>
                  </c:pt>
                  <c:pt idx="1">
                    <c:v>0.73 ±
0.16</c:v>
                  </c:pt>
                  <c:pt idx="2">
                    <c:v>0.79 ±
0.08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858-471E-9B84-6CDFD0F6DDD5}"/>
            </c:ext>
          </c:extLst>
        </c:ser>
        <c:ser>
          <c:idx val="2"/>
          <c:order val="2"/>
          <c:tx>
            <c:strRef>
              <c:f>Plots!$D$19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60588664837769E-17"/>
                  <c:y val="-0.15343201604137136"/>
                </c:manualLayout>
              </c:layout>
              <c:tx>
                <c:rich>
                  <a:bodyPr/>
                  <a:lstStyle/>
                  <a:p>
                    <a:fld id="{30AA94EB-3FE8-43A5-B86E-CFDD168C8C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858-471E-9B84-6CDFD0F6DDD5}"/>
                </c:ext>
              </c:extLst>
            </c:dLbl>
            <c:dLbl>
              <c:idx val="1"/>
              <c:layout>
                <c:manualLayout>
                  <c:x val="-7.0921177329675537E-17"/>
                  <c:y val="-6.0565269490014999E-2"/>
                </c:manualLayout>
              </c:layout>
              <c:tx>
                <c:rich>
                  <a:bodyPr/>
                  <a:lstStyle/>
                  <a:p>
                    <a:fld id="{D1467388-0C6E-4420-A6B6-7DBF3D0052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858-471E-9B84-6CDFD0F6DDD5}"/>
                </c:ext>
              </c:extLst>
            </c:dLbl>
            <c:dLbl>
              <c:idx val="2"/>
              <c:layout>
                <c:manualLayout>
                  <c:x val="0"/>
                  <c:y val="-8.8829061918688682E-2"/>
                </c:manualLayout>
              </c:layout>
              <c:tx>
                <c:rich>
                  <a:bodyPr/>
                  <a:lstStyle/>
                  <a:p>
                    <a:fld id="{9DD8AA6F-48D3-460A-BCA4-5AEA521B39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858-471E-9B84-6CDFD0F6DD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Plots!$D$26:$D$28</c:f>
                <c:numCache>
                  <c:formatCode>General</c:formatCode>
                  <c:ptCount val="3"/>
                  <c:pt idx="0">
                    <c:v>0.22532778260060521</c:v>
                  </c:pt>
                  <c:pt idx="1">
                    <c:v>8.1406160108840664E-2</c:v>
                  </c:pt>
                  <c:pt idx="2">
                    <c:v>0.13487941292067723</c:v>
                  </c:pt>
                </c:numCache>
              </c:numRef>
            </c:plus>
            <c:minus>
              <c:numRef>
                <c:f>Plots!$D$26:$D$28</c:f>
                <c:numCache>
                  <c:formatCode>General</c:formatCode>
                  <c:ptCount val="3"/>
                  <c:pt idx="0">
                    <c:v>0.22532778260060521</c:v>
                  </c:pt>
                  <c:pt idx="1">
                    <c:v>8.1406160108840664E-2</c:v>
                  </c:pt>
                  <c:pt idx="2">
                    <c:v>0.13487941292067723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Plots!$A$20:$A$22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Plots!$D$20:$D$22</c:f>
              <c:numCache>
                <c:formatCode>General</c:formatCode>
                <c:ptCount val="3"/>
                <c:pt idx="0">
                  <c:v>0.67633455532420972</c:v>
                </c:pt>
                <c:pt idx="1">
                  <c:v>0.867950556199373</c:v>
                </c:pt>
                <c:pt idx="2">
                  <c:v>0.7948118246990532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Plots!$D$32:$D$34</c15:f>
                <c15:dlblRangeCache>
                  <c:ptCount val="3"/>
                  <c:pt idx="0">
                    <c:v>0.68 ±
0.23</c:v>
                  </c:pt>
                  <c:pt idx="1">
                    <c:v>0.87 ±
0.08</c:v>
                  </c:pt>
                  <c:pt idx="2">
                    <c:v>0.79 ±
0.13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7858-471E-9B84-6CDFD0F6DDD5}"/>
            </c:ext>
          </c:extLst>
        </c:ser>
        <c:ser>
          <c:idx val="3"/>
          <c:order val="3"/>
          <c:tx>
            <c:strRef>
              <c:f>Plots!$E$19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60588664837769E-17"/>
                  <c:y val="-0.10094211581669166"/>
                </c:manualLayout>
              </c:layout>
              <c:tx>
                <c:rich>
                  <a:bodyPr/>
                  <a:lstStyle/>
                  <a:p>
                    <a:fld id="{629844D1-82B7-42D2-ACE7-CF163089B7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858-471E-9B84-6CDFD0F6DDD5}"/>
                </c:ext>
              </c:extLst>
            </c:dLbl>
            <c:dLbl>
              <c:idx val="1"/>
              <c:layout>
                <c:manualLayout>
                  <c:x val="-7.0921177329675537E-17"/>
                  <c:y val="-0.10497980044935934"/>
                </c:manualLayout>
              </c:layout>
              <c:tx>
                <c:rich>
                  <a:bodyPr/>
                  <a:lstStyle/>
                  <a:p>
                    <a:fld id="{034419DA-231A-49C6-BA69-EF45E22C71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858-471E-9B84-6CDFD0F6DDD5}"/>
                </c:ext>
              </c:extLst>
            </c:dLbl>
            <c:dLbl>
              <c:idx val="2"/>
              <c:layout>
                <c:manualLayout>
                  <c:x val="0"/>
                  <c:y val="-6.0565269490015013E-2"/>
                </c:manualLayout>
              </c:layout>
              <c:tx>
                <c:rich>
                  <a:bodyPr/>
                  <a:lstStyle/>
                  <a:p>
                    <a:fld id="{696C65D9-E567-4117-9AE2-DECAF940EE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858-471E-9B84-6CDFD0F6DD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Plots!$E$26:$E$28</c:f>
                <c:numCache>
                  <c:formatCode>General</c:formatCode>
                  <c:ptCount val="3"/>
                  <c:pt idx="0">
                    <c:v>0.13017865657977745</c:v>
                  </c:pt>
                  <c:pt idx="1">
                    <c:v>0.15679004829981241</c:v>
                  </c:pt>
                  <c:pt idx="2">
                    <c:v>7.4303544782237746E-2</c:v>
                  </c:pt>
                </c:numCache>
              </c:numRef>
            </c:plus>
            <c:minus>
              <c:numRef>
                <c:f>Plots!$E$26:$E$28</c:f>
                <c:numCache>
                  <c:formatCode>General</c:formatCode>
                  <c:ptCount val="3"/>
                  <c:pt idx="0">
                    <c:v>0.13017865657977745</c:v>
                  </c:pt>
                  <c:pt idx="1">
                    <c:v>0.15679004829981241</c:v>
                  </c:pt>
                  <c:pt idx="2">
                    <c:v>7.4303544782237746E-2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Plots!$A$20:$A$22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Plots!$E$20:$E$22</c:f>
              <c:numCache>
                <c:formatCode>General</c:formatCode>
                <c:ptCount val="3"/>
                <c:pt idx="0">
                  <c:v>0.70123534743545113</c:v>
                </c:pt>
                <c:pt idx="1">
                  <c:v>0.73853294256384494</c:v>
                </c:pt>
                <c:pt idx="2">
                  <c:v>0.85577787419824347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Plots!$E$32:$E$34</c15:f>
                <c15:dlblRangeCache>
                  <c:ptCount val="3"/>
                  <c:pt idx="0">
                    <c:v>0.7 ±
0.13</c:v>
                  </c:pt>
                  <c:pt idx="1">
                    <c:v>0.74 ±
0.16</c:v>
                  </c:pt>
                  <c:pt idx="2">
                    <c:v>0.86 ±
0.07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7858-471E-9B84-6CDFD0F6DD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390336"/>
        <c:axId val="554399936"/>
      </c:barChart>
      <c:catAx>
        <c:axId val="55439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9936"/>
        <c:crosses val="autoZero"/>
        <c:auto val="1"/>
        <c:lblAlgn val="ctr"/>
        <c:lblOffset val="100"/>
        <c:noMultiLvlLbl val="0"/>
      </c:catAx>
      <c:valAx>
        <c:axId val="554399936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Passenger A X : Resultant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033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Plots!$B$38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7262819912308258"/>
                </c:manualLayout>
              </c:layout>
              <c:tx>
                <c:rich>
                  <a:bodyPr/>
                  <a:lstStyle/>
                  <a:p>
                    <a:fld id="{060D153C-B251-4C19-AF4C-2843DD19F2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D97-44C5-A5EB-69567FD80746}"/>
                </c:ext>
              </c:extLst>
            </c:dLbl>
            <c:dLbl>
              <c:idx val="1"/>
              <c:layout>
                <c:manualLayout>
                  <c:x val="-7.1311943685028185E-17"/>
                  <c:y val="-0.12597192908981703"/>
                </c:manualLayout>
              </c:layout>
              <c:tx>
                <c:rich>
                  <a:bodyPr/>
                  <a:lstStyle/>
                  <a:p>
                    <a:fld id="{0EF658BF-F1AE-4DCE-BF15-3F85681C3A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D97-44C5-A5EB-69567FD807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Plots!$B$44:$B$45</c:f>
                <c:numCache>
                  <c:formatCode>General</c:formatCode>
                  <c:ptCount val="2"/>
                  <c:pt idx="0">
                    <c:v>0.17747649667926368</c:v>
                  </c:pt>
                  <c:pt idx="1">
                    <c:v>8.8102649249976295E-2</c:v>
                  </c:pt>
                </c:numCache>
              </c:numRef>
            </c:plus>
            <c:minus>
              <c:numRef>
                <c:f>Plots!$B$44:$B$45</c:f>
                <c:numCache>
                  <c:formatCode>General</c:formatCode>
                  <c:ptCount val="2"/>
                  <c:pt idx="0">
                    <c:v>0.17747649667926368</c:v>
                  </c:pt>
                  <c:pt idx="1">
                    <c:v>8.8102649249976295E-2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Plots!$A$39:$A$40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Plots!$B$39:$B$40</c:f>
              <c:numCache>
                <c:formatCode>General</c:formatCode>
                <c:ptCount val="2"/>
                <c:pt idx="0">
                  <c:v>0.36791619312085111</c:v>
                </c:pt>
                <c:pt idx="1">
                  <c:v>0.36650963372879236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Plots!$B$49:$B$50</c15:f>
                <c15:dlblRangeCache>
                  <c:ptCount val="2"/>
                  <c:pt idx="0">
                    <c:v>0.37 ±
0.18</c:v>
                  </c:pt>
                  <c:pt idx="1">
                    <c:v>0.37 ±
0.09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AD97-44C5-A5EB-69567FD80746}"/>
            </c:ext>
          </c:extLst>
        </c:ser>
        <c:ser>
          <c:idx val="1"/>
          <c:order val="1"/>
          <c:tx>
            <c:strRef>
              <c:f>Plots!$C$38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6796257211975602"/>
                </c:manualLayout>
              </c:layout>
              <c:tx>
                <c:rich>
                  <a:bodyPr/>
                  <a:lstStyle/>
                  <a:p>
                    <a:fld id="{1C0434E8-662F-4385-A899-37FA363D3C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D97-44C5-A5EB-69567FD80746}"/>
                </c:ext>
              </c:extLst>
            </c:dLbl>
            <c:dLbl>
              <c:idx val="1"/>
              <c:layout>
                <c:manualLayout>
                  <c:x val="0"/>
                  <c:y val="-0.14930006410644975"/>
                </c:manualLayout>
              </c:layout>
              <c:tx>
                <c:rich>
                  <a:bodyPr/>
                  <a:lstStyle/>
                  <a:p>
                    <a:fld id="{1546C9C4-853F-4F2A-93A3-BC99D243B1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D97-44C5-A5EB-69567FD807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Plots!$C$44:$C$45</c:f>
                <c:numCache>
                  <c:formatCode>General</c:formatCode>
                  <c:ptCount val="2"/>
                  <c:pt idx="0">
                    <c:v>0.16380365267130162</c:v>
                  </c:pt>
                  <c:pt idx="1">
                    <c:v>9.1147661612675651E-2</c:v>
                  </c:pt>
                </c:numCache>
              </c:numRef>
            </c:plus>
            <c:minus>
              <c:numRef>
                <c:f>Plots!$C$44:$C$45</c:f>
                <c:numCache>
                  <c:formatCode>General</c:formatCode>
                  <c:ptCount val="2"/>
                  <c:pt idx="0">
                    <c:v>0.16380365267130162</c:v>
                  </c:pt>
                  <c:pt idx="1">
                    <c:v>9.1147661612675651E-2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Plots!$A$39:$A$40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Plots!$C$39:$C$40</c:f>
              <c:numCache>
                <c:formatCode>General</c:formatCode>
                <c:ptCount val="2"/>
                <c:pt idx="0">
                  <c:v>0.36013238169759076</c:v>
                </c:pt>
                <c:pt idx="1">
                  <c:v>0.35050717329751779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Plots!$C$49:$C$50</c15:f>
                <c15:dlblRangeCache>
                  <c:ptCount val="2"/>
                  <c:pt idx="0">
                    <c:v>0.36 ±
0.16</c:v>
                  </c:pt>
                  <c:pt idx="1">
                    <c:v>0.35 ±
0.09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AD97-44C5-A5EB-69567FD80746}"/>
            </c:ext>
          </c:extLst>
        </c:ser>
        <c:ser>
          <c:idx val="2"/>
          <c:order val="2"/>
          <c:tx>
            <c:strRef>
              <c:f>Plots!$D$38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9129070713638882"/>
                </c:manualLayout>
              </c:layout>
              <c:tx>
                <c:rich>
                  <a:bodyPr/>
                  <a:lstStyle/>
                  <a:p>
                    <a:fld id="{10875D44-917A-4CF6-B992-BCB82E97B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D97-44C5-A5EB-69567FD80746}"/>
                </c:ext>
              </c:extLst>
            </c:dLbl>
            <c:dLbl>
              <c:idx val="1"/>
              <c:layout>
                <c:manualLayout>
                  <c:x val="-1.4262388737005637E-16"/>
                  <c:y val="-0.14463443710312321"/>
                </c:manualLayout>
              </c:layout>
              <c:tx>
                <c:rich>
                  <a:bodyPr/>
                  <a:lstStyle/>
                  <a:p>
                    <a:fld id="{AC65A429-CB0B-447B-9FAF-4671EA8682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D97-44C5-A5EB-69567FD807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Plots!$D$44:$D$45</c:f>
                <c:numCache>
                  <c:formatCode>General</c:formatCode>
                  <c:ptCount val="2"/>
                  <c:pt idx="0">
                    <c:v>0.17797226408847022</c:v>
                  </c:pt>
                  <c:pt idx="1">
                    <c:v>7.9350454450008656E-2</c:v>
                  </c:pt>
                </c:numCache>
              </c:numRef>
            </c:plus>
            <c:minus>
              <c:numRef>
                <c:f>Plots!$D$44:$D$45</c:f>
                <c:numCache>
                  <c:formatCode>General</c:formatCode>
                  <c:ptCount val="2"/>
                  <c:pt idx="0">
                    <c:v>0.17797226408847022</c:v>
                  </c:pt>
                  <c:pt idx="1">
                    <c:v>7.9350454450008656E-2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Plots!$A$39:$A$40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Plots!$D$39:$D$40</c:f>
              <c:numCache>
                <c:formatCode>General</c:formatCode>
                <c:ptCount val="2"/>
                <c:pt idx="0">
                  <c:v>0.31170804109929917</c:v>
                </c:pt>
                <c:pt idx="1">
                  <c:v>0.34278338819459997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Plots!$D$49:$D$50</c15:f>
                <c15:dlblRangeCache>
                  <c:ptCount val="2"/>
                  <c:pt idx="0">
                    <c:v>0.31 ±
0.18</c:v>
                  </c:pt>
                  <c:pt idx="1">
                    <c:v>0.34 ±
0.08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D97-44C5-A5EB-69567FD80746}"/>
            </c:ext>
          </c:extLst>
        </c:ser>
        <c:ser>
          <c:idx val="3"/>
          <c:order val="3"/>
          <c:tx>
            <c:strRef>
              <c:f>Plots!$E$38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1461884215302154"/>
                </c:manualLayout>
              </c:layout>
              <c:tx>
                <c:rich>
                  <a:bodyPr/>
                  <a:lstStyle/>
                  <a:p>
                    <a:fld id="{FF4B3B99-E3C0-44F0-8D94-0F8101F3DA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D97-44C5-A5EB-69567FD80746}"/>
                </c:ext>
              </c:extLst>
            </c:dLbl>
            <c:dLbl>
              <c:idx val="1"/>
              <c:layout>
                <c:manualLayout>
                  <c:x val="0"/>
                  <c:y val="-0.15863131811310288"/>
                </c:manualLayout>
              </c:layout>
              <c:tx>
                <c:rich>
                  <a:bodyPr/>
                  <a:lstStyle/>
                  <a:p>
                    <a:fld id="{0E366E9A-888A-4E1B-8ED0-91D4313019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D97-44C5-A5EB-69567FD807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Plots!$E$44:$E$45</c:f>
                <c:numCache>
                  <c:formatCode>General</c:formatCode>
                  <c:ptCount val="2"/>
                  <c:pt idx="0">
                    <c:v>0.18414605421332578</c:v>
                  </c:pt>
                  <c:pt idx="1">
                    <c:v>0.10566107146809087</c:v>
                  </c:pt>
                </c:numCache>
              </c:numRef>
            </c:plus>
            <c:minus>
              <c:numRef>
                <c:f>Plots!$E$44:$E$45</c:f>
                <c:numCache>
                  <c:formatCode>General</c:formatCode>
                  <c:ptCount val="2"/>
                  <c:pt idx="0">
                    <c:v>0.18414605421332578</c:v>
                  </c:pt>
                  <c:pt idx="1">
                    <c:v>0.10566107146809087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Plots!$A$39:$A$40</c:f>
              <c:strCache>
                <c:ptCount val="2"/>
                <c:pt idx="0">
                  <c:v>Head</c:v>
                </c:pt>
                <c:pt idx="1">
                  <c:v>Chest</c:v>
                </c:pt>
              </c:strCache>
            </c:strRef>
          </c:cat>
          <c:val>
            <c:numRef>
              <c:f>Plots!$E$39:$E$40</c:f>
              <c:numCache>
                <c:formatCode>General</c:formatCode>
                <c:ptCount val="2"/>
                <c:pt idx="0">
                  <c:v>0.34131168466268363</c:v>
                </c:pt>
                <c:pt idx="1">
                  <c:v>0.35918124898496878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Plots!$E$49:$E$50</c15:f>
                <c15:dlblRangeCache>
                  <c:ptCount val="2"/>
                  <c:pt idx="0">
                    <c:v>0.34 ±
0.18</c:v>
                  </c:pt>
                  <c:pt idx="1">
                    <c:v>0.36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AD97-44C5-A5EB-69567FD807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390336"/>
        <c:axId val="554399936"/>
      </c:barChart>
      <c:catAx>
        <c:axId val="55439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9936"/>
        <c:crosses val="autoZero"/>
        <c:auto val="1"/>
        <c:lblAlgn val="ctr"/>
        <c:lblOffset val="100"/>
        <c:noMultiLvlLbl val="0"/>
      </c:catAx>
      <c:valAx>
        <c:axId val="554399936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Driver A Y : Resultant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033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Plots!$B$54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9342362713773086E-3"/>
                  <c:y val="-8.4791377286021E-2"/>
                </c:manualLayout>
              </c:layout>
              <c:tx>
                <c:rich>
                  <a:bodyPr/>
                  <a:lstStyle/>
                  <a:p>
                    <a:fld id="{8013FAE4-06EB-4F9A-B500-A53ECC023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EFE-4AB8-8B80-DEDA19982122}"/>
                </c:ext>
              </c:extLst>
            </c:dLbl>
            <c:dLbl>
              <c:idx val="1"/>
              <c:layout>
                <c:manualLayout>
                  <c:x val="0"/>
                  <c:y val="-0.15746970067403901"/>
                </c:manualLayout>
              </c:layout>
              <c:tx>
                <c:rich>
                  <a:bodyPr/>
                  <a:lstStyle/>
                  <a:p>
                    <a:fld id="{96B2016B-A20C-4011-8B94-E79C291D84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EFE-4AB8-8B80-DEDA19982122}"/>
                </c:ext>
              </c:extLst>
            </c:dLbl>
            <c:dLbl>
              <c:idx val="2"/>
              <c:layout>
                <c:manualLayout>
                  <c:x val="-1.4184235465935107E-16"/>
                  <c:y val="-6.8640638755350369E-2"/>
                </c:manualLayout>
              </c:layout>
              <c:tx>
                <c:rich>
                  <a:bodyPr/>
                  <a:lstStyle/>
                  <a:p>
                    <a:fld id="{D4181662-0D43-4160-A841-60A8352910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EFE-4AB8-8B80-DEDA199821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Plots!$B$61:$B$63</c:f>
                <c:numCache>
                  <c:formatCode>General</c:formatCode>
                  <c:ptCount val="3"/>
                  <c:pt idx="0">
                    <c:v>0.10205047094154079</c:v>
                  </c:pt>
                  <c:pt idx="1">
                    <c:v>0.13279699065901884</c:v>
                  </c:pt>
                  <c:pt idx="2">
                    <c:v>9.5356187107786594E-2</c:v>
                  </c:pt>
                </c:numCache>
              </c:numRef>
            </c:plus>
            <c:minus>
              <c:numRef>
                <c:f>Plots!$B$61:$B$63</c:f>
                <c:numCache>
                  <c:formatCode>General</c:formatCode>
                  <c:ptCount val="3"/>
                  <c:pt idx="0">
                    <c:v>0.10205047094154079</c:v>
                  </c:pt>
                  <c:pt idx="1">
                    <c:v>0.13279699065901884</c:v>
                  </c:pt>
                  <c:pt idx="2">
                    <c:v>9.5356187107786594E-2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Plots!$A$55:$A$57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Plots!$B$55:$B$57</c:f>
              <c:numCache>
                <c:formatCode>General</c:formatCode>
                <c:ptCount val="3"/>
                <c:pt idx="0">
                  <c:v>0.26732963316617531</c:v>
                </c:pt>
                <c:pt idx="1">
                  <c:v>0.58153378806498612</c:v>
                </c:pt>
                <c:pt idx="2">
                  <c:v>0.41938025836501852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Plots!$B$67:$B$69</c15:f>
                <c15:dlblRangeCache>
                  <c:ptCount val="3"/>
                  <c:pt idx="0">
                    <c:v>0.27 ±
0.1</c:v>
                  </c:pt>
                  <c:pt idx="1">
                    <c:v>0.58 ±
0.13</c:v>
                  </c:pt>
                  <c:pt idx="2">
                    <c:v>0.42 ±
0.1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EFE-4AB8-8B80-DEDA19982122}"/>
            </c:ext>
          </c:extLst>
        </c:ser>
        <c:ser>
          <c:idx val="1"/>
          <c:order val="1"/>
          <c:tx>
            <c:strRef>
              <c:f>Plots!$C$54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60588664837769E-17"/>
                  <c:y val="-9.690443118402399E-2"/>
                </c:manualLayout>
              </c:layout>
              <c:tx>
                <c:rich>
                  <a:bodyPr/>
                  <a:lstStyle/>
                  <a:p>
                    <a:fld id="{37D158DE-28BA-4F63-AE21-84BCCF9790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EFE-4AB8-8B80-DEDA19982122}"/>
                </c:ext>
              </c:extLst>
            </c:dLbl>
            <c:dLbl>
              <c:idx val="1"/>
              <c:layout>
                <c:manualLayout>
                  <c:x val="0"/>
                  <c:y val="-0.133243592878033"/>
                </c:manualLayout>
              </c:layout>
              <c:tx>
                <c:rich>
                  <a:bodyPr/>
                  <a:lstStyle/>
                  <a:p>
                    <a:fld id="{D1ECE372-0AC3-4D61-8B38-363372E2B0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EFE-4AB8-8B80-DEDA19982122}"/>
                </c:ext>
              </c:extLst>
            </c:dLbl>
            <c:dLbl>
              <c:idx val="2"/>
              <c:layout>
                <c:manualLayout>
                  <c:x val="0"/>
                  <c:y val="-6.4602954122682701E-2"/>
                </c:manualLayout>
              </c:layout>
              <c:tx>
                <c:rich>
                  <a:bodyPr/>
                  <a:lstStyle/>
                  <a:p>
                    <a:fld id="{D3062851-AAED-4B2C-81FF-324B716112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EFE-4AB8-8B80-DEDA199821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Plots!$C$61:$C$63</c:f>
                <c:numCache>
                  <c:formatCode>General</c:formatCode>
                  <c:ptCount val="3"/>
                  <c:pt idx="0">
                    <c:v>0.10431763000555701</c:v>
                  </c:pt>
                  <c:pt idx="1">
                    <c:v>0.15739636397209991</c:v>
                  </c:pt>
                  <c:pt idx="2">
                    <c:v>8.7715882647443857E-2</c:v>
                  </c:pt>
                </c:numCache>
              </c:numRef>
            </c:plus>
            <c:minus>
              <c:numRef>
                <c:f>Plots!$C$61:$C$63</c:f>
                <c:numCache>
                  <c:formatCode>General</c:formatCode>
                  <c:ptCount val="3"/>
                  <c:pt idx="0">
                    <c:v>0.10431763000555701</c:v>
                  </c:pt>
                  <c:pt idx="1">
                    <c:v>0.15739636397209991</c:v>
                  </c:pt>
                  <c:pt idx="2">
                    <c:v>8.7715882647443857E-2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Plots!$A$55:$A$57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Plots!$C$55:$C$57</c:f>
              <c:numCache>
                <c:formatCode>General</c:formatCode>
                <c:ptCount val="3"/>
                <c:pt idx="0">
                  <c:v>0.23980412219821531</c:v>
                </c:pt>
                <c:pt idx="1">
                  <c:v>0.56734116884971908</c:v>
                </c:pt>
                <c:pt idx="2">
                  <c:v>0.40980499876486404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Plots!$C$67:$C$69</c15:f>
                <c15:dlblRangeCache>
                  <c:ptCount val="3"/>
                  <c:pt idx="0">
                    <c:v>0.24 ±
0.1</c:v>
                  </c:pt>
                  <c:pt idx="1">
                    <c:v>0.57 ±
0.16</c:v>
                  </c:pt>
                  <c:pt idx="2">
                    <c:v>0.41 ±
0.09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CEFE-4AB8-8B80-DEDA19982122}"/>
            </c:ext>
          </c:extLst>
        </c:ser>
        <c:ser>
          <c:idx val="2"/>
          <c:order val="2"/>
          <c:tx>
            <c:strRef>
              <c:f>Plots!$D$54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60588664837769E-17"/>
                  <c:y val="-0.14535664677603607"/>
                </c:manualLayout>
              </c:layout>
              <c:tx>
                <c:rich>
                  <a:bodyPr/>
                  <a:lstStyle/>
                  <a:p>
                    <a:fld id="{2A6E70D0-2A63-4D9E-8680-687CC9CD2D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EFE-4AB8-8B80-DEDA19982122}"/>
                </c:ext>
              </c:extLst>
            </c:dLbl>
            <c:dLbl>
              <c:idx val="1"/>
              <c:layout>
                <c:manualLayout>
                  <c:x val="-7.0921177329675537E-17"/>
                  <c:y val="-0.23014802406205698"/>
                </c:manualLayout>
              </c:layout>
              <c:tx>
                <c:rich>
                  <a:bodyPr/>
                  <a:lstStyle/>
                  <a:p>
                    <a:fld id="{DE724638-07C9-417A-86AB-47916A4B96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EFE-4AB8-8B80-DEDA19982122}"/>
                </c:ext>
              </c:extLst>
            </c:dLbl>
            <c:dLbl>
              <c:idx val="2"/>
              <c:layout>
                <c:manualLayout>
                  <c:x val="0"/>
                  <c:y val="-0.13728127751070066"/>
                </c:manualLayout>
              </c:layout>
              <c:tx>
                <c:rich>
                  <a:bodyPr/>
                  <a:lstStyle/>
                  <a:p>
                    <a:fld id="{18FD49B2-096D-49D1-B0EC-656864BD2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EFE-4AB8-8B80-DEDA199821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Plots!$D$61:$D$63</c:f>
                <c:numCache>
                  <c:formatCode>General</c:formatCode>
                  <c:ptCount val="3"/>
                  <c:pt idx="0">
                    <c:v>7.9154373584714874E-2</c:v>
                  </c:pt>
                  <c:pt idx="1">
                    <c:v>0.15042704898272194</c:v>
                  </c:pt>
                  <c:pt idx="2">
                    <c:v>7.1731285657091248E-2</c:v>
                  </c:pt>
                </c:numCache>
              </c:numRef>
            </c:plus>
            <c:minus>
              <c:numRef>
                <c:f>Plots!$D$61:$D$63</c:f>
                <c:numCache>
                  <c:formatCode>General</c:formatCode>
                  <c:ptCount val="3"/>
                  <c:pt idx="0">
                    <c:v>7.9154373584714874E-2</c:v>
                  </c:pt>
                  <c:pt idx="1">
                    <c:v>0.15042704898272194</c:v>
                  </c:pt>
                  <c:pt idx="2">
                    <c:v>7.1731285657091248E-2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Plots!$A$55:$A$57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Plots!$D$55:$D$57</c:f>
              <c:numCache>
                <c:formatCode>General</c:formatCode>
                <c:ptCount val="3"/>
                <c:pt idx="0">
                  <c:v>0.17276361986660047</c:v>
                </c:pt>
                <c:pt idx="1">
                  <c:v>0.45732296914995763</c:v>
                </c:pt>
                <c:pt idx="2">
                  <c:v>0.32362388885505028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Plots!$D$67:$D$69</c15:f>
                <c15:dlblRangeCache>
                  <c:ptCount val="3"/>
                  <c:pt idx="0">
                    <c:v>0.17 ±
0.08</c:v>
                  </c:pt>
                  <c:pt idx="1">
                    <c:v>0.46 ±
0.15</c:v>
                  </c:pt>
                  <c:pt idx="2">
                    <c:v>0.32 ±
0.07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CEFE-4AB8-8B80-DEDA19982122}"/>
            </c:ext>
          </c:extLst>
        </c:ser>
        <c:ser>
          <c:idx val="3"/>
          <c:order val="3"/>
          <c:tx>
            <c:strRef>
              <c:f>Plots!$E$54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0921177329675537E-17"/>
                  <c:y val="-7.2678323388017996E-2"/>
                </c:manualLayout>
              </c:layout>
              <c:tx>
                <c:rich>
                  <a:bodyPr/>
                  <a:lstStyle/>
                  <a:p>
                    <a:fld id="{EED08358-FF17-447B-95F9-29174B8792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EFE-4AB8-8B80-DEDA19982122}"/>
                </c:ext>
              </c:extLst>
            </c:dLbl>
            <c:dLbl>
              <c:idx val="1"/>
              <c:layout>
                <c:manualLayout>
                  <c:x val="0"/>
                  <c:y val="-0.133243592878033"/>
                </c:manualLayout>
              </c:layout>
              <c:tx>
                <c:rich>
                  <a:bodyPr/>
                  <a:lstStyle/>
                  <a:p>
                    <a:fld id="{8B2355AF-72F0-4F6A-B6E1-EC8EB8BF73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EFE-4AB8-8B80-DEDA19982122}"/>
                </c:ext>
              </c:extLst>
            </c:dLbl>
            <c:dLbl>
              <c:idx val="2"/>
              <c:layout>
                <c:manualLayout>
                  <c:x val="0"/>
                  <c:y val="-7.6716008020685664E-2"/>
                </c:manualLayout>
              </c:layout>
              <c:tx>
                <c:rich>
                  <a:bodyPr/>
                  <a:lstStyle/>
                  <a:p>
                    <a:fld id="{8732197A-CDC5-4091-8221-DCF188BAC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EFE-4AB8-8B80-DEDA199821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Plots!$E$61:$E$63</c:f>
                <c:numCache>
                  <c:formatCode>General</c:formatCode>
                  <c:ptCount val="3"/>
                  <c:pt idx="0">
                    <c:v>9.5913507166466877E-2</c:v>
                  </c:pt>
                  <c:pt idx="1">
                    <c:v>0.17340931514800792</c:v>
                  </c:pt>
                  <c:pt idx="2">
                    <c:v>9.3906650476162812E-2</c:v>
                  </c:pt>
                </c:numCache>
              </c:numRef>
            </c:plus>
            <c:minus>
              <c:numRef>
                <c:f>Plots!$E$61:$E$63</c:f>
                <c:numCache>
                  <c:formatCode>General</c:formatCode>
                  <c:ptCount val="3"/>
                  <c:pt idx="0">
                    <c:v>9.5913507166466877E-2</c:v>
                  </c:pt>
                  <c:pt idx="1">
                    <c:v>0.17340931514800792</c:v>
                  </c:pt>
                  <c:pt idx="2">
                    <c:v>9.3906650476162812E-2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Plots!$A$55:$A$57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Plots!$E$55:$E$57</c:f>
              <c:numCache>
                <c:formatCode>General</c:formatCode>
                <c:ptCount val="3"/>
                <c:pt idx="0">
                  <c:v>0.26803268445463568</c:v>
                </c:pt>
                <c:pt idx="1">
                  <c:v>0.6268749833397792</c:v>
                </c:pt>
                <c:pt idx="2">
                  <c:v>0.42690632975906451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Plots!$E$67:$E$69</c15:f>
                <c15:dlblRangeCache>
                  <c:ptCount val="3"/>
                  <c:pt idx="0">
                    <c:v>0.27 ±
0.1</c:v>
                  </c:pt>
                  <c:pt idx="1">
                    <c:v>0.63 ±
0.17</c:v>
                  </c:pt>
                  <c:pt idx="2">
                    <c:v>0.43 ±
0.09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CEFE-4AB8-8B80-DEDA199821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390336"/>
        <c:axId val="554399936"/>
      </c:barChart>
      <c:catAx>
        <c:axId val="55439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9936"/>
        <c:crosses val="autoZero"/>
        <c:auto val="1"/>
        <c:lblAlgn val="ctr"/>
        <c:lblOffset val="100"/>
        <c:noMultiLvlLbl val="0"/>
      </c:catAx>
      <c:valAx>
        <c:axId val="5543999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Passenger A Y : Resultant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033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Plots!$B$89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9.2866746551356322E-2"/>
                </c:manualLayout>
              </c:layout>
              <c:tx>
                <c:rich>
                  <a:bodyPr/>
                  <a:lstStyle/>
                  <a:p>
                    <a:fld id="{642A85F1-8484-4936-80E5-A7D7E1114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082-4A43-BBB5-603554B2F3B0}"/>
                </c:ext>
              </c:extLst>
            </c:dLbl>
            <c:dLbl>
              <c:idx val="1"/>
              <c:layout>
                <c:manualLayout>
                  <c:x val="0"/>
                  <c:y val="-0.11709285434736233"/>
                </c:manualLayout>
              </c:layout>
              <c:tx>
                <c:rich>
                  <a:bodyPr/>
                  <a:lstStyle/>
                  <a:p>
                    <a:fld id="{F3280760-101E-483E-A030-FF5F068FA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082-4A43-BBB5-603554B2F3B0}"/>
                </c:ext>
              </c:extLst>
            </c:dLbl>
            <c:dLbl>
              <c:idx val="2"/>
              <c:layout>
                <c:manualLayout>
                  <c:x val="0"/>
                  <c:y val="-7.2678323388018037E-2"/>
                </c:manualLayout>
              </c:layout>
              <c:tx>
                <c:rich>
                  <a:bodyPr/>
                  <a:lstStyle/>
                  <a:p>
                    <a:fld id="{B8336F0F-7FDF-4805-B750-EE4D5540A6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082-4A43-BBB5-603554B2F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Plots!$B$96:$B$98</c:f>
                <c:numCache>
                  <c:formatCode>General</c:formatCode>
                  <c:ptCount val="3"/>
                  <c:pt idx="0">
                    <c:v>0.12189000653824791</c:v>
                  </c:pt>
                  <c:pt idx="1">
                    <c:v>0.18575331132961603</c:v>
                  </c:pt>
                  <c:pt idx="2">
                    <c:v>0.12394924568806552</c:v>
                  </c:pt>
                </c:numCache>
              </c:numRef>
            </c:plus>
            <c:minus>
              <c:numRef>
                <c:f>Plots!$B$96:$B$98</c:f>
                <c:numCache>
                  <c:formatCode>General</c:formatCode>
                  <c:ptCount val="3"/>
                  <c:pt idx="0">
                    <c:v>0.12189000653824791</c:v>
                  </c:pt>
                  <c:pt idx="1">
                    <c:v>0.18575331132961603</c:v>
                  </c:pt>
                  <c:pt idx="2">
                    <c:v>0.12394924568806552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Plots!$A$90:$A$92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Plots!$B$90:$B$92</c:f>
              <c:numCache>
                <c:formatCode>General</c:formatCode>
                <c:ptCount val="3"/>
                <c:pt idx="0">
                  <c:v>0.84839457611121105</c:v>
                </c:pt>
                <c:pt idx="1">
                  <c:v>0.56445523805795883</c:v>
                </c:pt>
                <c:pt idx="2">
                  <c:v>0.6826552416362528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Plots!$B$102:$B$104</c15:f>
                <c15:dlblRangeCache>
                  <c:ptCount val="3"/>
                  <c:pt idx="0">
                    <c:v>0.85 ±
0.12</c:v>
                  </c:pt>
                  <c:pt idx="1">
                    <c:v>0.56 ±
0.19</c:v>
                  </c:pt>
                  <c:pt idx="2">
                    <c:v>0.68 ±
0.12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4082-4A43-BBB5-603554B2F3B0}"/>
            </c:ext>
          </c:extLst>
        </c:ser>
        <c:ser>
          <c:idx val="1"/>
          <c:order val="1"/>
          <c:tx>
            <c:strRef>
              <c:f>Plots!$C$89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60588664837769E-17"/>
                  <c:y val="-4.8452215592011995E-2"/>
                </c:manualLayout>
              </c:layout>
              <c:tx>
                <c:rich>
                  <a:bodyPr/>
                  <a:lstStyle/>
                  <a:p>
                    <a:fld id="{0F92E434-45AD-4712-A0C9-DD83634180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082-4A43-BBB5-603554B2F3B0}"/>
                </c:ext>
              </c:extLst>
            </c:dLbl>
            <c:dLbl>
              <c:idx val="1"/>
              <c:layout>
                <c:manualLayout>
                  <c:x val="0"/>
                  <c:y val="-0.13728127751070066"/>
                </c:manualLayout>
              </c:layout>
              <c:tx>
                <c:rich>
                  <a:bodyPr/>
                  <a:lstStyle/>
                  <a:p>
                    <a:fld id="{23941DB4-CD5B-4B11-9AF4-FA172577BD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082-4A43-BBB5-603554B2F3B0}"/>
                </c:ext>
              </c:extLst>
            </c:dLbl>
            <c:dLbl>
              <c:idx val="2"/>
              <c:layout>
                <c:manualLayout>
                  <c:x val="0"/>
                  <c:y val="-0.10497980044935933"/>
                </c:manualLayout>
              </c:layout>
              <c:tx>
                <c:rich>
                  <a:bodyPr/>
                  <a:lstStyle/>
                  <a:p>
                    <a:fld id="{F44645BD-66AE-4F07-ACEB-D111465ED9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082-4A43-BBB5-603554B2F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Plots!$C$96:$C$98</c:f>
                <c:numCache>
                  <c:formatCode>General</c:formatCode>
                  <c:ptCount val="3"/>
                  <c:pt idx="0">
                    <c:v>6.1091260892942152E-2</c:v>
                  </c:pt>
                  <c:pt idx="1">
                    <c:v>0.23670982016622219</c:v>
                  </c:pt>
                  <c:pt idx="2">
                    <c:v>0.12425068168429737</c:v>
                  </c:pt>
                </c:numCache>
              </c:numRef>
            </c:plus>
            <c:minus>
              <c:numRef>
                <c:f>Plots!$C$96:$C$98</c:f>
                <c:numCache>
                  <c:formatCode>General</c:formatCode>
                  <c:ptCount val="3"/>
                  <c:pt idx="0">
                    <c:v>6.1091260892942152E-2</c:v>
                  </c:pt>
                  <c:pt idx="1">
                    <c:v>0.23670982016622219</c:v>
                  </c:pt>
                  <c:pt idx="2">
                    <c:v>0.12425068168429737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Plots!$A$90:$A$92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Plots!$C$90:$C$92</c:f>
              <c:numCache>
                <c:formatCode>General</c:formatCode>
                <c:ptCount val="3"/>
                <c:pt idx="0">
                  <c:v>0.89297452978867375</c:v>
                </c:pt>
                <c:pt idx="1">
                  <c:v>0.51753213661616659</c:v>
                </c:pt>
                <c:pt idx="2">
                  <c:v>0.62901712816097755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Plots!$C$102:$C$104</c15:f>
                <c15:dlblRangeCache>
                  <c:ptCount val="3"/>
                  <c:pt idx="0">
                    <c:v>0.89 ±
0.06</c:v>
                  </c:pt>
                  <c:pt idx="1">
                    <c:v>0.52 ±
0.24</c:v>
                  </c:pt>
                  <c:pt idx="2">
                    <c:v>0.63 ±
0.12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4082-4A43-BBB5-603554B2F3B0}"/>
            </c:ext>
          </c:extLst>
        </c:ser>
        <c:ser>
          <c:idx val="2"/>
          <c:order val="2"/>
          <c:tx>
            <c:strRef>
              <c:f>Plots!$D$89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60588664837769E-17"/>
                  <c:y val="-5.2489900224679684E-2"/>
                </c:manualLayout>
              </c:layout>
              <c:tx>
                <c:rich>
                  <a:bodyPr/>
                  <a:lstStyle/>
                  <a:p>
                    <a:fld id="{886FB51F-6F1B-4A16-B2AD-F120B7865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082-4A43-BBB5-603554B2F3B0}"/>
                </c:ext>
              </c:extLst>
            </c:dLbl>
            <c:dLbl>
              <c:idx val="1"/>
              <c:layout>
                <c:manualLayout>
                  <c:x val="-7.0921177329675537E-17"/>
                  <c:y val="-0.20188423163338332"/>
                </c:manualLayout>
              </c:layout>
              <c:tx>
                <c:rich>
                  <a:bodyPr/>
                  <a:lstStyle/>
                  <a:p>
                    <a:fld id="{322DC4ED-B8E0-4B27-B862-F57F7BAC1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082-4A43-BBB5-603554B2F3B0}"/>
                </c:ext>
              </c:extLst>
            </c:dLbl>
            <c:dLbl>
              <c:idx val="2"/>
              <c:layout>
                <c:manualLayout>
                  <c:x val="0"/>
                  <c:y val="-6.8640638755350328E-2"/>
                </c:manualLayout>
              </c:layout>
              <c:tx>
                <c:rich>
                  <a:bodyPr/>
                  <a:lstStyle/>
                  <a:p>
                    <a:fld id="{5987F6AF-2401-45F1-9BF7-8EA8985130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082-4A43-BBB5-603554B2F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Plots!$D$96:$D$98</c:f>
                <c:numCache>
                  <c:formatCode>General</c:formatCode>
                  <c:ptCount val="3"/>
                  <c:pt idx="0">
                    <c:v>6.8730513852518896E-2</c:v>
                  </c:pt>
                  <c:pt idx="1">
                    <c:v>0.14005794966917115</c:v>
                  </c:pt>
                  <c:pt idx="2">
                    <c:v>0.13482541729806921</c:v>
                  </c:pt>
                </c:numCache>
              </c:numRef>
            </c:plus>
            <c:minus>
              <c:numRef>
                <c:f>Plots!$D$96:$D$98</c:f>
                <c:numCache>
                  <c:formatCode>General</c:formatCode>
                  <c:ptCount val="3"/>
                  <c:pt idx="0">
                    <c:v>6.8730513852518896E-2</c:v>
                  </c:pt>
                  <c:pt idx="1">
                    <c:v>0.14005794966917115</c:v>
                  </c:pt>
                  <c:pt idx="2">
                    <c:v>0.13482541729806921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Plots!$A$90:$A$92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Plots!$D$90:$D$92</c:f>
              <c:numCache>
                <c:formatCode>General</c:formatCode>
                <c:ptCount val="3"/>
                <c:pt idx="0">
                  <c:v>0.84717853774293217</c:v>
                </c:pt>
                <c:pt idx="1">
                  <c:v>0.38706002894913338</c:v>
                </c:pt>
                <c:pt idx="2">
                  <c:v>0.68158545588218988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Plots!$D$102:$D$104</c15:f>
                <c15:dlblRangeCache>
                  <c:ptCount val="3"/>
                  <c:pt idx="0">
                    <c:v>0.85 ±
0.07</c:v>
                  </c:pt>
                  <c:pt idx="1">
                    <c:v>0.39 ±
0.14</c:v>
                  </c:pt>
                  <c:pt idx="2">
                    <c:v>0.68 ±
0.13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4082-4A43-BBB5-603554B2F3B0}"/>
            </c:ext>
          </c:extLst>
        </c:ser>
        <c:ser>
          <c:idx val="3"/>
          <c:order val="3"/>
          <c:tx>
            <c:strRef>
              <c:f>Plots!$E$89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60588664837769E-17"/>
                  <c:y val="-8.0753692653353346E-2"/>
                </c:manualLayout>
              </c:layout>
              <c:tx>
                <c:rich>
                  <a:bodyPr/>
                  <a:lstStyle/>
                  <a:p>
                    <a:fld id="{0B1FF7D3-76DF-4E11-A5B4-BF0D0FC263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082-4A43-BBB5-603554B2F3B0}"/>
                </c:ext>
              </c:extLst>
            </c:dLbl>
            <c:dLbl>
              <c:idx val="1"/>
              <c:layout>
                <c:manualLayout>
                  <c:x val="-7.0921177329675537E-17"/>
                  <c:y val="-0.17765812383737734"/>
                </c:manualLayout>
              </c:layout>
              <c:tx>
                <c:rich>
                  <a:bodyPr/>
                  <a:lstStyle/>
                  <a:p>
                    <a:fld id="{7547B866-72D3-4B26-877D-F62CDF59B4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082-4A43-BBB5-603554B2F3B0}"/>
                </c:ext>
              </c:extLst>
            </c:dLbl>
            <c:dLbl>
              <c:idx val="2"/>
              <c:layout>
                <c:manualLayout>
                  <c:x val="0"/>
                  <c:y val="-0.14131896214336837"/>
                </c:manualLayout>
              </c:layout>
              <c:tx>
                <c:rich>
                  <a:bodyPr/>
                  <a:lstStyle/>
                  <a:p>
                    <a:fld id="{12BB6C17-3C50-4E50-8AF6-E66791971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082-4A43-BBB5-603554B2F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Plots!$E$96:$E$98</c:f>
                <c:numCache>
                  <c:formatCode>General</c:formatCode>
                  <c:ptCount val="3"/>
                  <c:pt idx="0">
                    <c:v>0.10631755280436175</c:v>
                  </c:pt>
                  <c:pt idx="1">
                    <c:v>0.21938365593823306</c:v>
                  </c:pt>
                  <c:pt idx="2">
                    <c:v>0.11302099379938182</c:v>
                  </c:pt>
                </c:numCache>
              </c:numRef>
            </c:plus>
            <c:minus>
              <c:numRef>
                <c:f>Plots!$E$96:$E$98</c:f>
                <c:numCache>
                  <c:formatCode>General</c:formatCode>
                  <c:ptCount val="3"/>
                  <c:pt idx="0">
                    <c:v>0.10631755280436175</c:v>
                  </c:pt>
                  <c:pt idx="1">
                    <c:v>0.21938365593823306</c:v>
                  </c:pt>
                  <c:pt idx="2">
                    <c:v>0.11302099379938182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Plots!$A$90:$A$92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Plots!$E$90:$E$92</c:f>
              <c:numCache>
                <c:formatCode>General</c:formatCode>
                <c:ptCount val="3"/>
                <c:pt idx="0">
                  <c:v>0.8077996923319839</c:v>
                </c:pt>
                <c:pt idx="1">
                  <c:v>0.43643533987060473</c:v>
                </c:pt>
                <c:pt idx="2">
                  <c:v>0.54582133866802318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Plots!$E$102:$E$104</c15:f>
                <c15:dlblRangeCache>
                  <c:ptCount val="3"/>
                  <c:pt idx="0">
                    <c:v>0.81 ±
0.11</c:v>
                  </c:pt>
                  <c:pt idx="1">
                    <c:v>0.44 ±
0.22</c:v>
                  </c:pt>
                  <c:pt idx="2">
                    <c:v>0.55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4082-4A43-BBB5-603554B2F3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390336"/>
        <c:axId val="554399936"/>
      </c:barChart>
      <c:catAx>
        <c:axId val="55439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9936"/>
        <c:crosses val="autoZero"/>
        <c:auto val="1"/>
        <c:lblAlgn val="ctr"/>
        <c:lblOffset val="100"/>
        <c:noMultiLvlLbl val="0"/>
      </c:catAx>
      <c:valAx>
        <c:axId val="554399936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Passenger A Z : Resultant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0336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Plots!$B$200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Plots!$B$207:$B$209</c:f>
                <c:numCache>
                  <c:formatCode>General</c:formatCode>
                  <c:ptCount val="3"/>
                  <c:pt idx="0">
                    <c:v>0.57749347540433682</c:v>
                  </c:pt>
                  <c:pt idx="1">
                    <c:v>0.47594096057328461</c:v>
                  </c:pt>
                  <c:pt idx="2">
                    <c:v>0.30057049269820535</c:v>
                  </c:pt>
                </c:numCache>
              </c:numRef>
            </c:plus>
            <c:minus>
              <c:numRef>
                <c:f>Plots!$B$207:$B$209</c:f>
                <c:numCache>
                  <c:formatCode>General</c:formatCode>
                  <c:ptCount val="3"/>
                  <c:pt idx="0">
                    <c:v>0.57749347540433682</c:v>
                  </c:pt>
                  <c:pt idx="1">
                    <c:v>0.47594096057328461</c:v>
                  </c:pt>
                  <c:pt idx="2">
                    <c:v>0.30057049269820535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Plots!$A$201:$A$203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Plots!$B$201:$B$203</c:f>
              <c:numCache>
                <c:formatCode>0.00</c:formatCode>
                <c:ptCount val="3"/>
                <c:pt idx="0">
                  <c:v>1.4118231028573176</c:v>
                </c:pt>
                <c:pt idx="1">
                  <c:v>1.067403193418959</c:v>
                </c:pt>
                <c:pt idx="2">
                  <c:v>1.1510266974523173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23-4782-B407-086D26765ADB}"/>
            </c:ext>
          </c:extLst>
        </c:ser>
        <c:ser>
          <c:idx val="1"/>
          <c:order val="1"/>
          <c:tx>
            <c:strRef>
              <c:f>Plots!$C$200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Plots!$C$207:$C$209</c:f>
                <c:numCache>
                  <c:formatCode>General</c:formatCode>
                  <c:ptCount val="3"/>
                  <c:pt idx="0">
                    <c:v>0.43634103390851242</c:v>
                  </c:pt>
                  <c:pt idx="1">
                    <c:v>0.35080687534636645</c:v>
                  </c:pt>
                  <c:pt idx="2">
                    <c:v>0.29403288225742696</c:v>
                  </c:pt>
                </c:numCache>
              </c:numRef>
            </c:plus>
            <c:minus>
              <c:numRef>
                <c:f>Plots!$C$207:$C$209</c:f>
                <c:numCache>
                  <c:formatCode>General</c:formatCode>
                  <c:ptCount val="3"/>
                  <c:pt idx="0">
                    <c:v>0.43634103390851242</c:v>
                  </c:pt>
                  <c:pt idx="1">
                    <c:v>0.35080687534636645</c:v>
                  </c:pt>
                  <c:pt idx="2">
                    <c:v>0.29403288225742696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Plots!$A$201:$A$203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Plots!$C$201:$C$203</c:f>
              <c:numCache>
                <c:formatCode>0.00</c:formatCode>
                <c:ptCount val="3"/>
                <c:pt idx="0">
                  <c:v>1.436960246042442</c:v>
                </c:pt>
                <c:pt idx="1">
                  <c:v>1.0788361636526884</c:v>
                </c:pt>
                <c:pt idx="2">
                  <c:v>1.154965495327066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23-4782-B407-086D26765ADB}"/>
            </c:ext>
          </c:extLst>
        </c:ser>
        <c:ser>
          <c:idx val="2"/>
          <c:order val="2"/>
          <c:tx>
            <c:strRef>
              <c:f>Plots!$D$200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Plots!$D$207:$D$209</c:f>
                <c:numCache>
                  <c:formatCode>General</c:formatCode>
                  <c:ptCount val="3"/>
                  <c:pt idx="0">
                    <c:v>0.77947815329370274</c:v>
                  </c:pt>
                  <c:pt idx="1">
                    <c:v>0.20791913711704593</c:v>
                  </c:pt>
                  <c:pt idx="2">
                    <c:v>0.22863623597738189</c:v>
                  </c:pt>
                </c:numCache>
              </c:numRef>
            </c:plus>
            <c:minus>
              <c:numRef>
                <c:f>Plots!$D$207:$D$209</c:f>
                <c:numCache>
                  <c:formatCode>General</c:formatCode>
                  <c:ptCount val="3"/>
                  <c:pt idx="0">
                    <c:v>0.77947815329370274</c:v>
                  </c:pt>
                  <c:pt idx="1">
                    <c:v>0.20791913711704593</c:v>
                  </c:pt>
                  <c:pt idx="2">
                    <c:v>0.22863623597738189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Plots!$A$201:$A$203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Plots!$D$201:$D$203</c:f>
              <c:numCache>
                <c:formatCode>0.00</c:formatCode>
                <c:ptCount val="3"/>
                <c:pt idx="0">
                  <c:v>2.284672724997054</c:v>
                </c:pt>
                <c:pt idx="1">
                  <c:v>1.2872725468026887</c:v>
                </c:pt>
                <c:pt idx="2">
                  <c:v>1.3889568072165623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23-4782-B407-086D26765ADB}"/>
            </c:ext>
          </c:extLst>
        </c:ser>
        <c:ser>
          <c:idx val="3"/>
          <c:order val="3"/>
          <c:tx>
            <c:strRef>
              <c:f>Plots!$E$200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023-4782-B407-086D26765ADB}"/>
              </c:ext>
            </c:extLst>
          </c:dPt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Plots!$E$207:$E$209</c:f>
                <c:numCache>
                  <c:formatCode>General</c:formatCode>
                  <c:ptCount val="3"/>
                  <c:pt idx="0">
                    <c:v>0.46168327869116449</c:v>
                  </c:pt>
                  <c:pt idx="1">
                    <c:v>0.29037880110786157</c:v>
                  </c:pt>
                  <c:pt idx="2">
                    <c:v>0.3291959906290719</c:v>
                  </c:pt>
                </c:numCache>
              </c:numRef>
            </c:plus>
            <c:minus>
              <c:numRef>
                <c:f>Plots!$E$207:$E$209</c:f>
                <c:numCache>
                  <c:formatCode>General</c:formatCode>
                  <c:ptCount val="3"/>
                  <c:pt idx="0">
                    <c:v>0.46168327869116449</c:v>
                  </c:pt>
                  <c:pt idx="1">
                    <c:v>0.29037880110786157</c:v>
                  </c:pt>
                  <c:pt idx="2">
                    <c:v>0.3291959906290719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Plots!$A$201:$A$203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Plots!$E$201:$E$203</c:f>
              <c:numCache>
                <c:formatCode>0.00</c:formatCode>
                <c:ptCount val="3"/>
                <c:pt idx="0">
                  <c:v>1.5286719377820017</c:v>
                </c:pt>
                <c:pt idx="1">
                  <c:v>1.0523494451909803</c:v>
                </c:pt>
                <c:pt idx="2">
                  <c:v>1.0474312857735038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023-4782-B407-086D26765ADB}"/>
            </c:ext>
          </c:extLst>
        </c:ser>
        <c:ser>
          <c:idx val="4"/>
          <c:order val="4"/>
          <c:tx>
            <c:strRef>
              <c:f>Plots!$F$200</c:f>
              <c:strCache>
                <c:ptCount val="1"/>
                <c:pt idx="0">
                  <c:v>All Data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Plots!$F$207:$F$209</c:f>
                <c:numCache>
                  <c:formatCode>General</c:formatCode>
                  <c:ptCount val="3"/>
                  <c:pt idx="0">
                    <c:v>0.50152754021165258</c:v>
                  </c:pt>
                  <c:pt idx="1">
                    <c:v>0.37843229551365909</c:v>
                  </c:pt>
                  <c:pt idx="2">
                    <c:v>0.30073975850745643</c:v>
                  </c:pt>
                </c:numCache>
              </c:numRef>
            </c:plus>
            <c:minus>
              <c:numRef>
                <c:f>Plots!$F$207:$F$209</c:f>
                <c:numCache>
                  <c:formatCode>General</c:formatCode>
                  <c:ptCount val="3"/>
                  <c:pt idx="0">
                    <c:v>0.50152754021165258</c:v>
                  </c:pt>
                  <c:pt idx="1">
                    <c:v>0.37843229551365909</c:v>
                  </c:pt>
                  <c:pt idx="2">
                    <c:v>0.30073975850745643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Plots!$A$201:$A$203</c:f>
              <c:strCache>
                <c:ptCount val="3"/>
                <c:pt idx="0">
                  <c:v>Head</c:v>
                </c:pt>
                <c:pt idx="1">
                  <c:v>Chest</c:v>
                </c:pt>
                <c:pt idx="2">
                  <c:v>Pelvis</c:v>
                </c:pt>
              </c:strCache>
            </c:strRef>
          </c:cat>
          <c:val>
            <c:numRef>
              <c:f>Plots!$F$201:$F$203</c:f>
              <c:numCache>
                <c:formatCode>0.00</c:formatCode>
                <c:ptCount val="3"/>
                <c:pt idx="0">
                  <c:v>1.4601490155270289</c:v>
                </c:pt>
                <c:pt idx="1">
                  <c:v>1.0777589947106614</c:v>
                </c:pt>
                <c:pt idx="2">
                  <c:v>1.1474473517748824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023-4782-B407-086D26765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5"/>
        <c:axId val="693601072"/>
        <c:axId val="693603040"/>
      </c:barChart>
      <c:catAx>
        <c:axId val="69360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3603040"/>
        <c:crosses val="autoZero"/>
        <c:auto val="1"/>
        <c:lblAlgn val="ctr"/>
        <c:lblOffset val="100"/>
        <c:noMultiLvlLbl val="0"/>
      </c:catAx>
      <c:valAx>
        <c:axId val="693603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a:t>Passenger :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a:t> Vehicle Acceleration Ratio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3601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Plots!$B$259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462886773324484E-17"/>
                  <c:y val="-9.6774218129087666E-2"/>
                </c:manualLayout>
              </c:layout>
              <c:tx>
                <c:rich>
                  <a:bodyPr/>
                  <a:lstStyle/>
                  <a:p>
                    <a:fld id="{4EF36BB9-FA14-47C4-9D1B-31E5EFE96F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E8C-4595-A284-9627138387C2}"/>
                </c:ext>
              </c:extLst>
            </c:dLbl>
            <c:dLbl>
              <c:idx val="1"/>
              <c:layout>
                <c:manualLayout>
                  <c:x val="-6.9851547093297937E-17"/>
                  <c:y val="-4.8387109064543833E-2"/>
                </c:manualLayout>
              </c:layout>
              <c:tx>
                <c:rich>
                  <a:bodyPr/>
                  <a:lstStyle/>
                  <a:p>
                    <a:fld id="{8EF71EC2-387F-44CB-990A-6487F59FE1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E8C-4595-A284-9627138387C2}"/>
                </c:ext>
              </c:extLst>
            </c:dLbl>
            <c:dLbl>
              <c:idx val="2"/>
              <c:layout>
                <c:manualLayout>
                  <c:x val="0"/>
                  <c:y val="-7.7419374503270133E-2"/>
                </c:manualLayout>
              </c:layout>
              <c:tx>
                <c:rich>
                  <a:bodyPr/>
                  <a:lstStyle/>
                  <a:p>
                    <a:fld id="{98743DE7-94A4-4BCA-878B-0D44ACBE7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E8C-4595-A284-962713838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Plots!$B$266:$B$268</c:f>
                <c:numCache>
                  <c:formatCode>General</c:formatCode>
                  <c:ptCount val="3"/>
                  <c:pt idx="0">
                    <c:v>0.17310878104399968</c:v>
                  </c:pt>
                  <c:pt idx="1">
                    <c:v>0.10205047094154079</c:v>
                  </c:pt>
                  <c:pt idx="2">
                    <c:v>0.12189000653824791</c:v>
                  </c:pt>
                </c:numCache>
              </c:numRef>
            </c:plus>
            <c:minus>
              <c:numRef>
                <c:f>Plots!$B$266:$B$268</c:f>
                <c:numCache>
                  <c:formatCode>General</c:formatCode>
                  <c:ptCount val="3"/>
                  <c:pt idx="0">
                    <c:v>0.17310878104399968</c:v>
                  </c:pt>
                  <c:pt idx="1">
                    <c:v>0.10205047094154079</c:v>
                  </c:pt>
                  <c:pt idx="2">
                    <c:v>0.12189000653824791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Plots!$A$260:$A$262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Plots!$B$260:$B$262</c:f>
              <c:numCache>
                <c:formatCode>General</c:formatCode>
                <c:ptCount val="3"/>
                <c:pt idx="0">
                  <c:v>0.64190730961775944</c:v>
                </c:pt>
                <c:pt idx="1">
                  <c:v>0.26732963316617531</c:v>
                </c:pt>
                <c:pt idx="2">
                  <c:v>0.84839457611121105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Plots!$B$272:$B$274</c15:f>
                <c15:dlblRangeCache>
                  <c:ptCount val="3"/>
                  <c:pt idx="0">
                    <c:v>0.64 ±
0.17</c:v>
                  </c:pt>
                  <c:pt idx="1">
                    <c:v>0.27 ±
0.1</c:v>
                  </c:pt>
                  <c:pt idx="2">
                    <c:v>0.85 ±
0.12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1E8C-4595-A284-9627138387C2}"/>
            </c:ext>
          </c:extLst>
        </c:ser>
        <c:ser>
          <c:idx val="1"/>
          <c:order val="1"/>
          <c:tx>
            <c:strRef>
              <c:f>Plots!$C$259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1129035084845083"/>
                </c:manualLayout>
              </c:layout>
              <c:tx>
                <c:rich>
                  <a:bodyPr/>
                  <a:lstStyle/>
                  <a:p>
                    <a:fld id="{38DD912E-6D2B-49D8-A101-BD0627AFFE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E8C-4595-A284-9627138387C2}"/>
                </c:ext>
              </c:extLst>
            </c:dLbl>
            <c:dLbl>
              <c:idx val="1"/>
              <c:layout>
                <c:manualLayout>
                  <c:x val="0"/>
                  <c:y val="-4.8387109064543923E-2"/>
                </c:manualLayout>
              </c:layout>
              <c:tx>
                <c:rich>
                  <a:bodyPr/>
                  <a:lstStyle/>
                  <a:p>
                    <a:fld id="{FAA91B37-B5DB-4F60-9A54-A7EA802A9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E8C-4595-A284-9627138387C2}"/>
                </c:ext>
              </c:extLst>
            </c:dLbl>
            <c:dLbl>
              <c:idx val="2"/>
              <c:layout>
                <c:manualLayout>
                  <c:x val="0"/>
                  <c:y val="-3.387097634518068E-2"/>
                </c:manualLayout>
              </c:layout>
              <c:tx>
                <c:rich>
                  <a:bodyPr/>
                  <a:lstStyle/>
                  <a:p>
                    <a:fld id="{5876E86C-29D9-4419-AD7B-92BD9731E0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E8C-4595-A284-962713838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Plots!$C$266:$C$268</c:f>
                <c:numCache>
                  <c:formatCode>General</c:formatCode>
                  <c:ptCount val="3"/>
                  <c:pt idx="0">
                    <c:v>0.15940714090055191</c:v>
                  </c:pt>
                  <c:pt idx="1">
                    <c:v>0.10431763000555701</c:v>
                  </c:pt>
                  <c:pt idx="2">
                    <c:v>6.1091260892942152E-2</c:v>
                  </c:pt>
                </c:numCache>
              </c:numRef>
            </c:plus>
            <c:minus>
              <c:numRef>
                <c:f>Plots!$C$266:$C$268</c:f>
                <c:numCache>
                  <c:formatCode>General</c:formatCode>
                  <c:ptCount val="3"/>
                  <c:pt idx="0">
                    <c:v>0.15940714090055191</c:v>
                  </c:pt>
                  <c:pt idx="1">
                    <c:v>0.10431763000555701</c:v>
                  </c:pt>
                  <c:pt idx="2">
                    <c:v>6.1091260892942152E-2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Plots!$A$260:$A$262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Plots!$C$260:$C$262</c:f>
              <c:numCache>
                <c:formatCode>General</c:formatCode>
                <c:ptCount val="3"/>
                <c:pt idx="0">
                  <c:v>0.59978978053517584</c:v>
                </c:pt>
                <c:pt idx="1">
                  <c:v>0.23980412219821531</c:v>
                </c:pt>
                <c:pt idx="2">
                  <c:v>0.89297452978867375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Plots!$C$272:$C$274</c15:f>
                <c15:dlblRangeCache>
                  <c:ptCount val="3"/>
                  <c:pt idx="0">
                    <c:v>0.6 ±
0.16</c:v>
                  </c:pt>
                  <c:pt idx="1">
                    <c:v>0.24 ±
0.1</c:v>
                  </c:pt>
                  <c:pt idx="2">
                    <c:v>0.89 ±
0.06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1E8C-4595-A284-9627138387C2}"/>
            </c:ext>
          </c:extLst>
        </c:ser>
        <c:ser>
          <c:idx val="2"/>
          <c:order val="2"/>
          <c:tx>
            <c:strRef>
              <c:f>Plots!$D$259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25773546648968E-17"/>
                  <c:y val="-0.11612906175490517"/>
                </c:manualLayout>
              </c:layout>
              <c:tx>
                <c:rich>
                  <a:bodyPr/>
                  <a:lstStyle/>
                  <a:p>
                    <a:fld id="{C075E3C5-ACE5-4907-BCB2-E881416AC4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E8C-4595-A284-9627138387C2}"/>
                </c:ext>
              </c:extLst>
            </c:dLbl>
            <c:dLbl>
              <c:idx val="1"/>
              <c:layout>
                <c:manualLayout>
                  <c:x val="0"/>
                  <c:y val="-6.7741952690361359E-2"/>
                </c:manualLayout>
              </c:layout>
              <c:tx>
                <c:rich>
                  <a:bodyPr/>
                  <a:lstStyle/>
                  <a:p>
                    <a:fld id="{E290083A-012F-4317-AC5F-9766493BA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E8C-4595-A284-9627138387C2}"/>
                </c:ext>
              </c:extLst>
            </c:dLbl>
            <c:dLbl>
              <c:idx val="2"/>
              <c:layout>
                <c:manualLayout>
                  <c:x val="-1.3970309418659587E-16"/>
                  <c:y val="-4.838710906454384E-2"/>
                </c:manualLayout>
              </c:layout>
              <c:tx>
                <c:rich>
                  <a:bodyPr/>
                  <a:lstStyle/>
                  <a:p>
                    <a:fld id="{E35462C9-871B-480E-ADBC-C34190CD3A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E8C-4595-A284-962713838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Plots!$D$266:$D$268</c:f>
                <c:numCache>
                  <c:formatCode>General</c:formatCode>
                  <c:ptCount val="3"/>
                  <c:pt idx="0">
                    <c:v>0.22532778260060521</c:v>
                  </c:pt>
                  <c:pt idx="1">
                    <c:v>7.9154373584714874E-2</c:v>
                  </c:pt>
                  <c:pt idx="2">
                    <c:v>6.8730513852518896E-2</c:v>
                  </c:pt>
                </c:numCache>
              </c:numRef>
            </c:plus>
            <c:minus>
              <c:numRef>
                <c:f>Plots!$D$266:$D$268</c:f>
                <c:numCache>
                  <c:formatCode>General</c:formatCode>
                  <c:ptCount val="3"/>
                  <c:pt idx="0">
                    <c:v>0.22532778260060521</c:v>
                  </c:pt>
                  <c:pt idx="1">
                    <c:v>7.9154373584714874E-2</c:v>
                  </c:pt>
                  <c:pt idx="2">
                    <c:v>6.8730513852518896E-2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Plots!$A$260:$A$262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Plots!$D$260:$D$262</c:f>
              <c:numCache>
                <c:formatCode>General</c:formatCode>
                <c:ptCount val="3"/>
                <c:pt idx="0">
                  <c:v>0.67633455532420972</c:v>
                </c:pt>
                <c:pt idx="1">
                  <c:v>0.17276361986660047</c:v>
                </c:pt>
                <c:pt idx="2">
                  <c:v>0.84717853774293217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Plots!$D$272:$D$274</c15:f>
                <c15:dlblRangeCache>
                  <c:ptCount val="3"/>
                  <c:pt idx="0">
                    <c:v>0.68 ±
0.23</c:v>
                  </c:pt>
                  <c:pt idx="1">
                    <c:v>0.17 ±
0.08</c:v>
                  </c:pt>
                  <c:pt idx="2">
                    <c:v>0.85 ±
0.07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1E8C-4595-A284-9627138387C2}"/>
            </c:ext>
          </c:extLst>
        </c:ser>
        <c:ser>
          <c:idx val="3"/>
          <c:order val="3"/>
          <c:tx>
            <c:strRef>
              <c:f>Plots!$E$259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2580663596815767E-2"/>
                </c:manualLayout>
              </c:layout>
              <c:tx>
                <c:rich>
                  <a:bodyPr/>
                  <a:lstStyle/>
                  <a:p>
                    <a:fld id="{E2ABD27E-0BAE-4936-9235-A1526F83D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E8C-4595-A284-9627138387C2}"/>
                </c:ext>
              </c:extLst>
            </c:dLbl>
            <c:dLbl>
              <c:idx val="1"/>
              <c:layout>
                <c:manualLayout>
                  <c:x val="-6.9851547093297937E-17"/>
                  <c:y val="-4.8387109064543833E-2"/>
                </c:manualLayout>
              </c:layout>
              <c:tx>
                <c:rich>
                  <a:bodyPr/>
                  <a:lstStyle/>
                  <a:p>
                    <a:fld id="{E37FB5F9-8777-4780-A422-6F5DDE49B7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E8C-4595-A284-9627138387C2}"/>
                </c:ext>
              </c:extLst>
            </c:dLbl>
            <c:dLbl>
              <c:idx val="2"/>
              <c:layout>
                <c:manualLayout>
                  <c:x val="0"/>
                  <c:y val="-6.7741952690361373E-2"/>
                </c:manualLayout>
              </c:layout>
              <c:tx>
                <c:rich>
                  <a:bodyPr/>
                  <a:lstStyle/>
                  <a:p>
                    <a:fld id="{2938D047-5C23-48E8-A75B-A76150F604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E8C-4595-A284-962713838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Plots!$E$266:$E$268</c:f>
                <c:numCache>
                  <c:formatCode>General</c:formatCode>
                  <c:ptCount val="3"/>
                  <c:pt idx="0">
                    <c:v>0.13017865657977745</c:v>
                  </c:pt>
                  <c:pt idx="1">
                    <c:v>9.5913507166466877E-2</c:v>
                  </c:pt>
                  <c:pt idx="2">
                    <c:v>0.10631755280436175</c:v>
                  </c:pt>
                </c:numCache>
              </c:numRef>
            </c:plus>
            <c:minus>
              <c:numRef>
                <c:f>Plots!$E$266:$E$268</c:f>
                <c:numCache>
                  <c:formatCode>General</c:formatCode>
                  <c:ptCount val="3"/>
                  <c:pt idx="0">
                    <c:v>0.13017865657977745</c:v>
                  </c:pt>
                  <c:pt idx="1">
                    <c:v>9.5913507166466877E-2</c:v>
                  </c:pt>
                  <c:pt idx="2">
                    <c:v>0.10631755280436175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Plots!$A$260:$A$262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Plots!$E$260:$E$262</c:f>
              <c:numCache>
                <c:formatCode>General</c:formatCode>
                <c:ptCount val="3"/>
                <c:pt idx="0">
                  <c:v>0.70123534743545113</c:v>
                </c:pt>
                <c:pt idx="1">
                  <c:v>0.26803268445463568</c:v>
                </c:pt>
                <c:pt idx="2">
                  <c:v>0.8077996923319839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Plots!$E$272:$E$274</c15:f>
                <c15:dlblRangeCache>
                  <c:ptCount val="3"/>
                  <c:pt idx="0">
                    <c:v>0.7 ±
0.13</c:v>
                  </c:pt>
                  <c:pt idx="1">
                    <c:v>0.27 ±
0.1</c:v>
                  </c:pt>
                  <c:pt idx="2">
                    <c:v>0.81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1E8C-4595-A284-9627138387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593834368"/>
        <c:axId val="593833384"/>
        <c:extLst/>
      </c:barChart>
      <c:catAx>
        <c:axId val="5938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3384"/>
        <c:crosses val="autoZero"/>
        <c:auto val="1"/>
        <c:lblAlgn val="ctr"/>
        <c:lblOffset val="100"/>
        <c:noMultiLvlLbl val="0"/>
      </c:catAx>
      <c:valAx>
        <c:axId val="593833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Passenger</a:t>
                </a:r>
                <a:r>
                  <a:rPr lang="en-US" baseline="0"/>
                  <a:t> </a:t>
                </a:r>
                <a:r>
                  <a:rPr lang="en-US"/>
                  <a:t>Head Acceleration Component : Resultnat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4368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Plots!$B$280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462886773324484E-17"/>
                  <c:y val="-0.1161290617549052"/>
                </c:manualLayout>
              </c:layout>
              <c:tx>
                <c:rich>
                  <a:bodyPr/>
                  <a:lstStyle/>
                  <a:p>
                    <a:fld id="{62FEF397-C253-416D-96A2-3DE6A2200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84D-4EE5-8EEA-15AC2319C64E}"/>
                </c:ext>
              </c:extLst>
            </c:dLbl>
            <c:dLbl>
              <c:idx val="1"/>
              <c:layout>
                <c:manualLayout>
                  <c:x val="-6.9851547093297937E-17"/>
                  <c:y val="-9.6774218129087666E-2"/>
                </c:manualLayout>
              </c:layout>
              <c:tx>
                <c:rich>
                  <a:bodyPr/>
                  <a:lstStyle/>
                  <a:p>
                    <a:fld id="{75B994BF-9894-4EE9-AA5E-B89D700779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84D-4EE5-8EEA-15AC2319C64E}"/>
                </c:ext>
              </c:extLst>
            </c:dLbl>
            <c:dLbl>
              <c:idx val="2"/>
              <c:layout>
                <c:manualLayout>
                  <c:x val="0"/>
                  <c:y val="-0.12096777266135962"/>
                </c:manualLayout>
              </c:layout>
              <c:tx>
                <c:rich>
                  <a:bodyPr/>
                  <a:lstStyle/>
                  <a:p>
                    <a:fld id="{5DBE18B8-F221-4546-BD1C-E2F73A4AC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84D-4EE5-8EEA-15AC2319C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Plots!$B$287:$B$289</c:f>
                <c:numCache>
                  <c:formatCode>General</c:formatCode>
                  <c:ptCount val="3"/>
                  <c:pt idx="0">
                    <c:v>0.16572869189524167</c:v>
                  </c:pt>
                  <c:pt idx="1">
                    <c:v>0.13279699065901884</c:v>
                  </c:pt>
                  <c:pt idx="2">
                    <c:v>0.18575331132961603</c:v>
                  </c:pt>
                </c:numCache>
              </c:numRef>
            </c:plus>
            <c:minus>
              <c:numRef>
                <c:f>Plots!$B$287:$B$289</c:f>
                <c:numCache>
                  <c:formatCode>General</c:formatCode>
                  <c:ptCount val="3"/>
                  <c:pt idx="0">
                    <c:v>0.16572869189524167</c:v>
                  </c:pt>
                  <c:pt idx="1">
                    <c:v>0.13279699065901884</c:v>
                  </c:pt>
                  <c:pt idx="2">
                    <c:v>0.18575331132961603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Plots!$A$281:$A$283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Plots!$B$281:$B$283</c:f>
              <c:numCache>
                <c:formatCode>General</c:formatCode>
                <c:ptCount val="3"/>
                <c:pt idx="0">
                  <c:v>0.72761809719568671</c:v>
                </c:pt>
                <c:pt idx="1">
                  <c:v>0.58153378806498612</c:v>
                </c:pt>
                <c:pt idx="2">
                  <c:v>0.56445523805795883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Plots!$B$293:$B$295</c15:f>
                <c15:dlblRangeCache>
                  <c:ptCount val="3"/>
                  <c:pt idx="0">
                    <c:v>0.73 ±
0.17</c:v>
                  </c:pt>
                  <c:pt idx="1">
                    <c:v>0.58 ±
0.13</c:v>
                  </c:pt>
                  <c:pt idx="2">
                    <c:v>0.56 ±
0.19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084D-4EE5-8EEA-15AC2319C64E}"/>
            </c:ext>
          </c:extLst>
        </c:ser>
        <c:ser>
          <c:idx val="1"/>
          <c:order val="1"/>
          <c:tx>
            <c:strRef>
              <c:f>Plots!$C$280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8.7096796316178893E-2"/>
                </c:manualLayout>
              </c:layout>
              <c:tx>
                <c:rich>
                  <a:bodyPr/>
                  <a:lstStyle/>
                  <a:p>
                    <a:fld id="{B62F3CD1-1AD7-46D0-A964-F30BABA7BB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84D-4EE5-8EEA-15AC2319C64E}"/>
                </c:ext>
              </c:extLst>
            </c:dLbl>
            <c:dLbl>
              <c:idx val="1"/>
              <c:layout>
                <c:manualLayout>
                  <c:x val="0"/>
                  <c:y val="-8.2258085409724513E-2"/>
                </c:manualLayout>
              </c:layout>
              <c:tx>
                <c:rich>
                  <a:bodyPr/>
                  <a:lstStyle/>
                  <a:p>
                    <a:fld id="{AF2E4EFB-D738-4069-82EC-B2F948136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84D-4EE5-8EEA-15AC2319C64E}"/>
                </c:ext>
              </c:extLst>
            </c:dLbl>
            <c:dLbl>
              <c:idx val="2"/>
              <c:layout>
                <c:manualLayout>
                  <c:x val="0"/>
                  <c:y val="-0.12580648356781396"/>
                </c:manualLayout>
              </c:layout>
              <c:tx>
                <c:rich>
                  <a:bodyPr/>
                  <a:lstStyle/>
                  <a:p>
                    <a:fld id="{CCE1D71A-F6CF-455D-BCFF-9FDF07034B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84D-4EE5-8EEA-15AC2319C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Plots!$C$287:$C$289</c:f>
                <c:numCache>
                  <c:formatCode>General</c:formatCode>
                  <c:ptCount val="3"/>
                  <c:pt idx="0">
                    <c:v>0.1570735539375267</c:v>
                  </c:pt>
                  <c:pt idx="1">
                    <c:v>0.15739636397209991</c:v>
                  </c:pt>
                  <c:pt idx="2">
                    <c:v>0.23670982016622219</c:v>
                  </c:pt>
                </c:numCache>
              </c:numRef>
            </c:plus>
            <c:minus>
              <c:numRef>
                <c:f>Plots!$C$287:$C$289</c:f>
                <c:numCache>
                  <c:formatCode>General</c:formatCode>
                  <c:ptCount val="3"/>
                  <c:pt idx="0">
                    <c:v>0.1570735539375267</c:v>
                  </c:pt>
                  <c:pt idx="1">
                    <c:v>0.15739636397209991</c:v>
                  </c:pt>
                  <c:pt idx="2">
                    <c:v>0.23670982016622219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Plots!$A$281:$A$283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Plots!$C$281:$C$283</c:f>
              <c:numCache>
                <c:formatCode>General</c:formatCode>
                <c:ptCount val="3"/>
                <c:pt idx="0">
                  <c:v>0.72914930543914036</c:v>
                </c:pt>
                <c:pt idx="1">
                  <c:v>0.56734116884971908</c:v>
                </c:pt>
                <c:pt idx="2">
                  <c:v>0.51753213661616659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Plots!$C$293:$C$295</c15:f>
                <c15:dlblRangeCache>
                  <c:ptCount val="3"/>
                  <c:pt idx="0">
                    <c:v>0.73 ±
0.16</c:v>
                  </c:pt>
                  <c:pt idx="1">
                    <c:v>0.57 ±
0.16</c:v>
                  </c:pt>
                  <c:pt idx="2">
                    <c:v>0.52 ±
0.24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084D-4EE5-8EEA-15AC2319C64E}"/>
            </c:ext>
          </c:extLst>
        </c:ser>
        <c:ser>
          <c:idx val="2"/>
          <c:order val="2"/>
          <c:tx>
            <c:strRef>
              <c:f>Plots!$D$280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25773546648968E-17"/>
                  <c:y val="-3.8709687251635073E-2"/>
                </c:manualLayout>
              </c:layout>
              <c:tx>
                <c:rich>
                  <a:bodyPr/>
                  <a:lstStyle/>
                  <a:p>
                    <a:fld id="{968397D9-B3B2-44AF-9C57-AF5EA7D39C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84D-4EE5-8EEA-15AC2319C64E}"/>
                </c:ext>
              </c:extLst>
            </c:dLbl>
            <c:dLbl>
              <c:idx val="1"/>
              <c:layout>
                <c:manualLayout>
                  <c:x val="0"/>
                  <c:y val="-0.10161292903554205"/>
                </c:manualLayout>
              </c:layout>
              <c:tx>
                <c:rich>
                  <a:bodyPr/>
                  <a:lstStyle/>
                  <a:p>
                    <a:fld id="{E5C11B30-35B0-4356-B19C-EC1513C542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84D-4EE5-8EEA-15AC2319C64E}"/>
                </c:ext>
              </c:extLst>
            </c:dLbl>
            <c:dLbl>
              <c:idx val="2"/>
              <c:layout>
                <c:manualLayout>
                  <c:x val="-1.3970309418659587E-16"/>
                  <c:y val="-0.10161292903554209"/>
                </c:manualLayout>
              </c:layout>
              <c:tx>
                <c:rich>
                  <a:bodyPr/>
                  <a:lstStyle/>
                  <a:p>
                    <a:fld id="{B0F0244B-EAB0-4262-AD55-BDD47D3E4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84D-4EE5-8EEA-15AC2319C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Plots!$D$287:$D$289</c:f>
                <c:numCache>
                  <c:formatCode>General</c:formatCode>
                  <c:ptCount val="3"/>
                  <c:pt idx="0">
                    <c:v>8.1406160108840664E-2</c:v>
                  </c:pt>
                  <c:pt idx="1">
                    <c:v>0.15042704898272194</c:v>
                  </c:pt>
                  <c:pt idx="2">
                    <c:v>0.14005794966917115</c:v>
                  </c:pt>
                </c:numCache>
              </c:numRef>
            </c:plus>
            <c:minus>
              <c:numRef>
                <c:f>Plots!$D$287:$D$289</c:f>
                <c:numCache>
                  <c:formatCode>General</c:formatCode>
                  <c:ptCount val="3"/>
                  <c:pt idx="0">
                    <c:v>8.1406160108840664E-2</c:v>
                  </c:pt>
                  <c:pt idx="1">
                    <c:v>0.15042704898272194</c:v>
                  </c:pt>
                  <c:pt idx="2">
                    <c:v>0.14005794966917115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Plots!$A$281:$A$283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Plots!$D$281:$D$283</c:f>
              <c:numCache>
                <c:formatCode>General</c:formatCode>
                <c:ptCount val="3"/>
                <c:pt idx="0">
                  <c:v>0.867950556199373</c:v>
                </c:pt>
                <c:pt idx="1">
                  <c:v>0.45732296914995763</c:v>
                </c:pt>
                <c:pt idx="2">
                  <c:v>0.38706002894913338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Plots!$D$293:$D$295</c15:f>
                <c15:dlblRangeCache>
                  <c:ptCount val="3"/>
                  <c:pt idx="0">
                    <c:v>0.87 ±
0.08</c:v>
                  </c:pt>
                  <c:pt idx="1">
                    <c:v>0.46 ±
0.15</c:v>
                  </c:pt>
                  <c:pt idx="2">
                    <c:v>0.39 ±
0.14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084D-4EE5-8EEA-15AC2319C64E}"/>
            </c:ext>
          </c:extLst>
        </c:ser>
        <c:ser>
          <c:idx val="3"/>
          <c:order val="3"/>
          <c:tx>
            <c:strRef>
              <c:f>Plots!$E$280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9.1935507222633286E-2"/>
                </c:manualLayout>
              </c:layout>
              <c:tx>
                <c:rich>
                  <a:bodyPr/>
                  <a:lstStyle/>
                  <a:p>
                    <a:fld id="{1ACD672E-FAFA-4864-A8F0-C0CDCE333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84D-4EE5-8EEA-15AC2319C64E}"/>
                </c:ext>
              </c:extLst>
            </c:dLbl>
            <c:dLbl>
              <c:idx val="1"/>
              <c:layout>
                <c:manualLayout>
                  <c:x val="0"/>
                  <c:y val="-9.677421812908768E-2"/>
                </c:manualLayout>
              </c:layout>
              <c:tx>
                <c:rich>
                  <a:bodyPr/>
                  <a:lstStyle/>
                  <a:p>
                    <a:fld id="{E07F2D63-D073-4543-8C35-251C7A7C8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84D-4EE5-8EEA-15AC2319C64E}"/>
                </c:ext>
              </c:extLst>
            </c:dLbl>
            <c:dLbl>
              <c:idx val="2"/>
              <c:layout>
                <c:manualLayout>
                  <c:x val="0"/>
                  <c:y val="-0.13548390538072272"/>
                </c:manualLayout>
              </c:layout>
              <c:tx>
                <c:rich>
                  <a:bodyPr/>
                  <a:lstStyle/>
                  <a:p>
                    <a:fld id="{7E6A8382-A07A-40C4-9194-2081DDD61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84D-4EE5-8EEA-15AC2319C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Plots!$E$287:$E$289</c:f>
                <c:numCache>
                  <c:formatCode>General</c:formatCode>
                  <c:ptCount val="3"/>
                  <c:pt idx="0">
                    <c:v>0.15679004829981241</c:v>
                  </c:pt>
                  <c:pt idx="1">
                    <c:v>0.17340931514800792</c:v>
                  </c:pt>
                  <c:pt idx="2">
                    <c:v>0.21938365593823306</c:v>
                  </c:pt>
                </c:numCache>
              </c:numRef>
            </c:plus>
            <c:minus>
              <c:numRef>
                <c:f>Plots!$E$287:$E$289</c:f>
                <c:numCache>
                  <c:formatCode>General</c:formatCode>
                  <c:ptCount val="3"/>
                  <c:pt idx="0">
                    <c:v>0.15679004829981241</c:v>
                  </c:pt>
                  <c:pt idx="1">
                    <c:v>0.17340931514800792</c:v>
                  </c:pt>
                  <c:pt idx="2">
                    <c:v>0.21938365593823306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Plots!$A$281:$A$283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Plots!$E$281:$E$283</c:f>
              <c:numCache>
                <c:formatCode>General</c:formatCode>
                <c:ptCount val="3"/>
                <c:pt idx="0">
                  <c:v>0.73853294256384494</c:v>
                </c:pt>
                <c:pt idx="1">
                  <c:v>0.6268749833397792</c:v>
                </c:pt>
                <c:pt idx="2">
                  <c:v>0.43643533987060473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Plots!$E$293:$E$295</c15:f>
                <c15:dlblRangeCache>
                  <c:ptCount val="3"/>
                  <c:pt idx="0">
                    <c:v>0.74 ±
0.16</c:v>
                  </c:pt>
                  <c:pt idx="1">
                    <c:v>0.63 ±
0.17</c:v>
                  </c:pt>
                  <c:pt idx="2">
                    <c:v>0.44 ±
0.22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084D-4EE5-8EEA-15AC2319C6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593834368"/>
        <c:axId val="593833384"/>
        <c:extLst/>
      </c:barChart>
      <c:catAx>
        <c:axId val="5938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3384"/>
        <c:crosses val="autoZero"/>
        <c:auto val="1"/>
        <c:lblAlgn val="ctr"/>
        <c:lblOffset val="100"/>
        <c:noMultiLvlLbl val="0"/>
      </c:catAx>
      <c:valAx>
        <c:axId val="593833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Passenger</a:t>
                </a:r>
                <a:r>
                  <a:rPr lang="en-US" baseline="0"/>
                  <a:t> Chest</a:t>
                </a:r>
                <a:r>
                  <a:rPr lang="en-US"/>
                  <a:t> Acceleration Component : Resultnat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4368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Plots!$B$299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462886773324484E-17"/>
                  <c:y val="-6.2903217817726995E-2"/>
                </c:manualLayout>
              </c:layout>
              <c:tx>
                <c:rich>
                  <a:bodyPr rot="0" spcFirstLastPara="1" vertOverflow="ellipsis" vert="horz" wrap="square" lIns="38100" tIns="19050" rIns="38100" bIns="1828800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BBD664-284F-49F0-912E-CDAC09992D58}" type="CELLRANGE">
                      <a:rPr lang="en-US"/>
                      <a:pPr>
                        <a:defRPr sz="9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828800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403-494A-85FE-8F226A6E7BA0}"/>
                </c:ext>
              </c:extLst>
            </c:dLbl>
            <c:dLbl>
              <c:idx val="1"/>
              <c:layout>
                <c:manualLayout>
                  <c:x val="-6.9851547093297937E-17"/>
                  <c:y val="-4.8387090629020746E-2"/>
                </c:manualLayout>
              </c:layout>
              <c:tx>
                <c:rich>
                  <a:bodyPr/>
                  <a:lstStyle/>
                  <a:p>
                    <a:fld id="{E43C5B0A-EB15-4EE1-B78F-3FFE13D4D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403-494A-85FE-8F226A6E7BA0}"/>
                </c:ext>
              </c:extLst>
            </c:dLbl>
            <c:dLbl>
              <c:idx val="2"/>
              <c:layout>
                <c:manualLayout>
                  <c:x val="0"/>
                  <c:y val="-5.3225799691922843E-2"/>
                </c:manualLayout>
              </c:layout>
              <c:tx>
                <c:rich>
                  <a:bodyPr/>
                  <a:lstStyle/>
                  <a:p>
                    <a:fld id="{BD9C4313-8B0B-4FF4-AFE8-288C09CFA3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403-494A-85FE-8F226A6E7B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Plots!$B$306:$B$308</c:f>
                <c:numCache>
                  <c:formatCode>General</c:formatCode>
                  <c:ptCount val="3"/>
                  <c:pt idx="0">
                    <c:v>0.10633726147482654</c:v>
                  </c:pt>
                  <c:pt idx="1">
                    <c:v>9.5356187107786594E-2</c:v>
                  </c:pt>
                  <c:pt idx="2">
                    <c:v>0.12394924568806552</c:v>
                  </c:pt>
                </c:numCache>
              </c:numRef>
            </c:plus>
            <c:minus>
              <c:numRef>
                <c:f>Plots!$B$306:$B$308</c:f>
                <c:numCache>
                  <c:formatCode>General</c:formatCode>
                  <c:ptCount val="3"/>
                  <c:pt idx="0">
                    <c:v>0.10633726147482654</c:v>
                  </c:pt>
                  <c:pt idx="1">
                    <c:v>9.5356187107786594E-2</c:v>
                  </c:pt>
                  <c:pt idx="2">
                    <c:v>0.12394924568806552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errBars>
          <c:cat>
            <c:strRef>
              <c:f>Plots!$A$300:$A$302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Plots!$B$300:$B$302</c:f>
              <c:numCache>
                <c:formatCode>General</c:formatCode>
                <c:ptCount val="3"/>
                <c:pt idx="0">
                  <c:v>0.76380758427488893</c:v>
                </c:pt>
                <c:pt idx="1">
                  <c:v>0.41938025836501852</c:v>
                </c:pt>
                <c:pt idx="2">
                  <c:v>0.6826552416362528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Plots!$B$312:$B$314</c15:f>
                <c15:dlblRangeCache>
                  <c:ptCount val="3"/>
                  <c:pt idx="0">
                    <c:v>0.76 ±
0.11</c:v>
                  </c:pt>
                  <c:pt idx="1">
                    <c:v>0.42 ±
0.1</c:v>
                  </c:pt>
                  <c:pt idx="2">
                    <c:v>0.68 ±
0.12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403-494A-85FE-8F226A6E7BA0}"/>
            </c:ext>
          </c:extLst>
        </c:ser>
        <c:ser>
          <c:idx val="1"/>
          <c:order val="1"/>
          <c:tx>
            <c:strRef>
              <c:f>Plots!$C$299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8387090629020746E-2"/>
                </c:manualLayout>
              </c:layout>
              <c:tx>
                <c:rich>
                  <a:bodyPr/>
                  <a:lstStyle/>
                  <a:p>
                    <a:fld id="{A3D4F944-B94C-40D9-A2FB-0EB8CB0C6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403-494A-85FE-8F226A6E7BA0}"/>
                </c:ext>
              </c:extLst>
            </c:dLbl>
            <c:dLbl>
              <c:idx val="1"/>
              <c:layout>
                <c:manualLayout>
                  <c:x val="0"/>
                  <c:y val="-3.8709672503216642E-2"/>
                </c:manualLayout>
              </c:layout>
              <c:tx>
                <c:rich>
                  <a:bodyPr/>
                  <a:lstStyle/>
                  <a:p>
                    <a:fld id="{E09774C9-28D9-4180-9154-E03262332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403-494A-85FE-8F226A6E7BA0}"/>
                </c:ext>
              </c:extLst>
            </c:dLbl>
            <c:dLbl>
              <c:idx val="2"/>
              <c:layout>
                <c:manualLayout>
                  <c:x val="0"/>
                  <c:y val="-7.2580635943531105E-2"/>
                </c:manualLayout>
              </c:layout>
              <c:tx>
                <c:rich>
                  <a:bodyPr/>
                  <a:lstStyle/>
                  <a:p>
                    <a:fld id="{3017CC3B-5FD9-4BB4-B3A0-F640E1382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403-494A-85FE-8F226A6E7B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Plots!$C$306:$C$308</c:f>
                <c:numCache>
                  <c:formatCode>General</c:formatCode>
                  <c:ptCount val="3"/>
                  <c:pt idx="0">
                    <c:v>8.4358637130423339E-2</c:v>
                  </c:pt>
                  <c:pt idx="1">
                    <c:v>8.7715882647443857E-2</c:v>
                  </c:pt>
                  <c:pt idx="2">
                    <c:v>0.12425068168429737</c:v>
                  </c:pt>
                </c:numCache>
              </c:numRef>
            </c:plus>
            <c:minus>
              <c:numRef>
                <c:f>Plots!$C$306:$C$308</c:f>
                <c:numCache>
                  <c:formatCode>General</c:formatCode>
                  <c:ptCount val="3"/>
                  <c:pt idx="0">
                    <c:v>8.4358637130423339E-2</c:v>
                  </c:pt>
                  <c:pt idx="1">
                    <c:v>8.7715882647443857E-2</c:v>
                  </c:pt>
                  <c:pt idx="2">
                    <c:v>0.12425068168429737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errBars>
          <c:cat>
            <c:strRef>
              <c:f>Plots!$A$300:$A$302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Plots!$C$300:$C$302</c:f>
              <c:numCache>
                <c:formatCode>General</c:formatCode>
                <c:ptCount val="3"/>
                <c:pt idx="0">
                  <c:v>0.78863390453123905</c:v>
                </c:pt>
                <c:pt idx="1">
                  <c:v>0.40980499876486404</c:v>
                </c:pt>
                <c:pt idx="2">
                  <c:v>0.62901712816097755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Plots!$C$312:$C$314</c15:f>
                <c15:dlblRangeCache>
                  <c:ptCount val="3"/>
                  <c:pt idx="0">
                    <c:v>0.79 ±
0.08</c:v>
                  </c:pt>
                  <c:pt idx="1">
                    <c:v>0.41 ±
0.09</c:v>
                  </c:pt>
                  <c:pt idx="2">
                    <c:v>0.63 ±
0.12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5403-494A-85FE-8F226A6E7BA0}"/>
            </c:ext>
          </c:extLst>
        </c:ser>
        <c:ser>
          <c:idx val="2"/>
          <c:order val="2"/>
          <c:tx>
            <c:strRef>
              <c:f>Plots!$D$299</c:f>
              <c:strCache>
                <c:ptCount val="1"/>
                <c:pt idx="0">
                  <c:v>Minivan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25773546648968E-17"/>
                  <c:y val="-7.2580635943531105E-2"/>
                </c:manualLayout>
              </c:layout>
              <c:tx>
                <c:rich>
                  <a:bodyPr/>
                  <a:lstStyle/>
                  <a:p>
                    <a:fld id="{E78C2A2C-6339-4760-9038-22CD2D9C2F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403-494A-85FE-8F226A6E7BA0}"/>
                </c:ext>
              </c:extLst>
            </c:dLbl>
            <c:dLbl>
              <c:idx val="1"/>
              <c:layout>
                <c:manualLayout>
                  <c:x val="0"/>
                  <c:y val="-5.3225799691922822E-2"/>
                </c:manualLayout>
              </c:layout>
              <c:tx>
                <c:rich>
                  <a:bodyPr/>
                  <a:lstStyle/>
                  <a:p>
                    <a:fld id="{1793B540-EF16-4598-A850-96FE7CF4EB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403-494A-85FE-8F226A6E7BA0}"/>
                </c:ext>
              </c:extLst>
            </c:dLbl>
            <c:dLbl>
              <c:idx val="2"/>
              <c:layout>
                <c:manualLayout>
                  <c:x val="-1.3970309418659587E-16"/>
                  <c:y val="-8.2258054069335299E-2"/>
                </c:manualLayout>
              </c:layout>
              <c:tx>
                <c:rich>
                  <a:bodyPr/>
                  <a:lstStyle/>
                  <a:p>
                    <a:fld id="{F64D460D-9FAC-4CA8-AAAA-1D7797862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403-494A-85FE-8F226A6E7B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Plots!$D$306:$D$308</c:f>
                <c:numCache>
                  <c:formatCode>General</c:formatCode>
                  <c:ptCount val="3"/>
                  <c:pt idx="0">
                    <c:v>0.13487941292067723</c:v>
                  </c:pt>
                  <c:pt idx="1">
                    <c:v>7.1731285657091248E-2</c:v>
                  </c:pt>
                  <c:pt idx="2">
                    <c:v>0.13482541729806921</c:v>
                  </c:pt>
                </c:numCache>
              </c:numRef>
            </c:plus>
            <c:minus>
              <c:numRef>
                <c:f>Plots!$D$306:$D$308</c:f>
                <c:numCache>
                  <c:formatCode>General</c:formatCode>
                  <c:ptCount val="3"/>
                  <c:pt idx="0">
                    <c:v>0.13487941292067723</c:v>
                  </c:pt>
                  <c:pt idx="1">
                    <c:v>7.1731285657091248E-2</c:v>
                  </c:pt>
                  <c:pt idx="2">
                    <c:v>0.13482541729806921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errBars>
          <c:cat>
            <c:strRef>
              <c:f>Plots!$A$300:$A$302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Plots!$D$300:$D$302</c:f>
              <c:numCache>
                <c:formatCode>General</c:formatCode>
                <c:ptCount val="3"/>
                <c:pt idx="0">
                  <c:v>0.7948118246990532</c:v>
                </c:pt>
                <c:pt idx="1">
                  <c:v>0.32362388885505028</c:v>
                </c:pt>
                <c:pt idx="2">
                  <c:v>0.68158545588218988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Plots!$D$312:$D$314</c15:f>
                <c15:dlblRangeCache>
                  <c:ptCount val="3"/>
                  <c:pt idx="0">
                    <c:v>0.79 ±
0.13</c:v>
                  </c:pt>
                  <c:pt idx="1">
                    <c:v>0.32 ±
0.07</c:v>
                  </c:pt>
                  <c:pt idx="2">
                    <c:v>0.68 ±
0.13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5403-494A-85FE-8F226A6E7BA0}"/>
            </c:ext>
          </c:extLst>
        </c:ser>
        <c:ser>
          <c:idx val="3"/>
          <c:order val="3"/>
          <c:tx>
            <c:strRef>
              <c:f>Plots!$E$299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3870963440314532E-2"/>
                </c:manualLayout>
              </c:layout>
              <c:tx>
                <c:rich>
                  <a:bodyPr/>
                  <a:lstStyle/>
                  <a:p>
                    <a:fld id="{3B6E7B04-3779-41B7-8284-897DF7B66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403-494A-85FE-8F226A6E7BA0}"/>
                </c:ext>
              </c:extLst>
            </c:dLbl>
            <c:dLbl>
              <c:idx val="1"/>
              <c:layout>
                <c:manualLayout>
                  <c:x val="-6.9851547093297937E-17"/>
                  <c:y val="-5.8064508754824898E-2"/>
                </c:manualLayout>
              </c:layout>
              <c:tx>
                <c:rich>
                  <a:bodyPr/>
                  <a:lstStyle/>
                  <a:p>
                    <a:fld id="{DAB2A2DE-24B0-45D1-B5C3-C74962695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403-494A-85FE-8F226A6E7BA0}"/>
                </c:ext>
              </c:extLst>
            </c:dLbl>
            <c:dLbl>
              <c:idx val="2"/>
              <c:layout>
                <c:manualLayout>
                  <c:x val="0"/>
                  <c:y val="-6.7741926880629091E-2"/>
                </c:manualLayout>
              </c:layout>
              <c:tx>
                <c:rich>
                  <a:bodyPr/>
                  <a:lstStyle/>
                  <a:p>
                    <a:fld id="{7BEED4F2-D916-469D-86D4-D8692CCB66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403-494A-85FE-8F226A6E7B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Plots!$E$306:$E$308</c:f>
                <c:numCache>
                  <c:formatCode>General</c:formatCode>
                  <c:ptCount val="3"/>
                  <c:pt idx="0">
                    <c:v>7.4303544782237746E-2</c:v>
                  </c:pt>
                  <c:pt idx="1">
                    <c:v>9.3906650476162812E-2</c:v>
                  </c:pt>
                  <c:pt idx="2">
                    <c:v>0.11302099379938182</c:v>
                  </c:pt>
                </c:numCache>
              </c:numRef>
            </c:plus>
            <c:minus>
              <c:numRef>
                <c:f>Plots!$E$306:$E$308</c:f>
                <c:numCache>
                  <c:formatCode>General</c:formatCode>
                  <c:ptCount val="3"/>
                  <c:pt idx="0">
                    <c:v>7.4303544782237746E-2</c:v>
                  </c:pt>
                  <c:pt idx="1">
                    <c:v>9.3906650476162812E-2</c:v>
                  </c:pt>
                  <c:pt idx="2">
                    <c:v>0.11302099379938182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errBars>
          <c:cat>
            <c:strRef>
              <c:f>Plots!$A$300:$A$302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Plots!$E$300:$E$302</c:f>
              <c:numCache>
                <c:formatCode>General</c:formatCode>
                <c:ptCount val="3"/>
                <c:pt idx="0">
                  <c:v>0.85577787419824347</c:v>
                </c:pt>
                <c:pt idx="1">
                  <c:v>0.42690632975906451</c:v>
                </c:pt>
                <c:pt idx="2">
                  <c:v>0.54582133866802318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Plots!$E$312:$E$314</c15:f>
                <c15:dlblRangeCache>
                  <c:ptCount val="3"/>
                  <c:pt idx="0">
                    <c:v>0.86 ±
0.07</c:v>
                  </c:pt>
                  <c:pt idx="1">
                    <c:v>0.43 ±
0.09</c:v>
                  </c:pt>
                  <c:pt idx="2">
                    <c:v>0.55 ±
0.11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5403-494A-85FE-8F226A6E7B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593834368"/>
        <c:axId val="593833384"/>
        <c:extLst/>
      </c:barChart>
      <c:catAx>
        <c:axId val="5938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3384"/>
        <c:crosses val="autoZero"/>
        <c:auto val="1"/>
        <c:lblAlgn val="ctr"/>
        <c:lblOffset val="100"/>
        <c:noMultiLvlLbl val="0"/>
      </c:catAx>
      <c:valAx>
        <c:axId val="593833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Passenger</a:t>
                </a:r>
                <a:r>
                  <a:rPr lang="en-US" baseline="0"/>
                  <a:t> Pelvis</a:t>
                </a:r>
                <a:r>
                  <a:rPr lang="en-US"/>
                  <a:t> Acceleration Component : Resultnat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34368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Plots!$B$146</c:f>
              <c:strCache>
                <c:ptCount val="1"/>
                <c:pt idx="0">
                  <c:v>Driver</c:v>
                </c:pt>
              </c:strCache>
            </c:strRef>
          </c:tx>
          <c:spPr>
            <a:solidFill>
              <a:srgbClr val="DCE6F2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Plots!$B$153:$B$155</c:f>
                <c:numCache>
                  <c:formatCode>General</c:formatCode>
                  <c:ptCount val="3"/>
                  <c:pt idx="0">
                    <c:v>0.10775458206802296</c:v>
                  </c:pt>
                  <c:pt idx="1">
                    <c:v>0.17237025684385238</c:v>
                  </c:pt>
                  <c:pt idx="2">
                    <c:v>0.14314064006490324</c:v>
                  </c:pt>
                </c:numCache>
              </c:numRef>
            </c:plus>
            <c:minus>
              <c:numRef>
                <c:f>Plots!$B$153:$B$155</c:f>
                <c:numCache>
                  <c:formatCode>General</c:formatCode>
                  <c:ptCount val="3"/>
                  <c:pt idx="0">
                    <c:v>0.10775458206802296</c:v>
                  </c:pt>
                  <c:pt idx="1">
                    <c:v>0.17237025684385238</c:v>
                  </c:pt>
                  <c:pt idx="2">
                    <c:v>0.14314064006490324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Plots!$A$147:$A$149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Plots!$B$147:$B$149</c:f>
              <c:numCache>
                <c:formatCode>0.00</c:formatCode>
                <c:ptCount val="3"/>
                <c:pt idx="0">
                  <c:v>0.86853142445902431</c:v>
                </c:pt>
                <c:pt idx="1">
                  <c:v>0.36015252050215696</c:v>
                </c:pt>
                <c:pt idx="2">
                  <c:v>0.48921462697065432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64-4E4A-8437-E5DBEDF22FE4}"/>
            </c:ext>
          </c:extLst>
        </c:ser>
        <c:ser>
          <c:idx val="1"/>
          <c:order val="1"/>
          <c:tx>
            <c:strRef>
              <c:f>Plots!$C$146</c:f>
              <c:strCache>
                <c:ptCount val="1"/>
                <c:pt idx="0">
                  <c:v>Passenger</c:v>
                </c:pt>
              </c:strCache>
            </c:strRef>
          </c:tx>
          <c:spPr>
            <a:solidFill>
              <a:srgbClr val="F2DCDB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Plots!$C$153:$C$155</c:f>
                <c:numCache>
                  <c:formatCode>General</c:formatCode>
                  <c:ptCount val="3"/>
                  <c:pt idx="0">
                    <c:v>0.16417555000595355</c:v>
                  </c:pt>
                  <c:pt idx="1">
                    <c:v>0.10324977728094517</c:v>
                  </c:pt>
                  <c:pt idx="2">
                    <c:v>9.0676109067247976E-2</c:v>
                  </c:pt>
                </c:numCache>
              </c:numRef>
            </c:plus>
            <c:minus>
              <c:numRef>
                <c:f>Plots!$C$153:$C$155</c:f>
                <c:numCache>
                  <c:formatCode>General</c:formatCode>
                  <c:ptCount val="3"/>
                  <c:pt idx="0">
                    <c:v>0.16417555000595355</c:v>
                  </c:pt>
                  <c:pt idx="1">
                    <c:v>0.10324977728094517</c:v>
                  </c:pt>
                  <c:pt idx="2">
                    <c:v>9.0676109067247976E-2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Plots!$A$147:$A$149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Plots!$C$147:$C$149</c:f>
              <c:numCache>
                <c:formatCode>0.00</c:formatCode>
                <c:ptCount val="3"/>
                <c:pt idx="0">
                  <c:v>0.62364231098760203</c:v>
                </c:pt>
                <c:pt idx="1">
                  <c:v>0.24848482080052753</c:v>
                </c:pt>
                <c:pt idx="2">
                  <c:v>0.87099455990329511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64-4E4A-8437-E5DBEDF22F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70083880"/>
        <c:axId val="670089128"/>
      </c:barChart>
      <c:catAx>
        <c:axId val="67008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089128"/>
        <c:crosses val="autoZero"/>
        <c:auto val="1"/>
        <c:lblAlgn val="ctr"/>
        <c:lblOffset val="100"/>
        <c:noMultiLvlLbl val="0"/>
      </c:catAx>
      <c:valAx>
        <c:axId val="670089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Head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Acceleration Ratio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083880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Plots!$B$165</c:f>
              <c:strCache>
                <c:ptCount val="1"/>
                <c:pt idx="0">
                  <c:v>Driver</c:v>
                </c:pt>
              </c:strCache>
            </c:strRef>
          </c:tx>
          <c:spPr>
            <a:solidFill>
              <a:srgbClr val="DCE6F2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Plots!$B$172:$B$174</c:f>
                <c:numCache>
                  <c:formatCode>General</c:formatCode>
                  <c:ptCount val="3"/>
                  <c:pt idx="0">
                    <c:v>4.4778154666493923E-2</c:v>
                  </c:pt>
                  <c:pt idx="1">
                    <c:v>9.0893733680692659E-2</c:v>
                  </c:pt>
                  <c:pt idx="2">
                    <c:v>0.11780671189139669</c:v>
                  </c:pt>
                </c:numCache>
              </c:numRef>
            </c:plus>
            <c:minus>
              <c:numRef>
                <c:f>Plots!$B$172:$B$174</c:f>
                <c:numCache>
                  <c:formatCode>General</c:formatCode>
                  <c:ptCount val="3"/>
                  <c:pt idx="0">
                    <c:v>4.4778154666493923E-2</c:v>
                  </c:pt>
                  <c:pt idx="1">
                    <c:v>9.0893733680692659E-2</c:v>
                  </c:pt>
                  <c:pt idx="2">
                    <c:v>0.11780671189139669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Plots!$A$166:$A$168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Plots!$B$166:$B$168</c:f>
              <c:numCache>
                <c:formatCode>0.00</c:formatCode>
                <c:ptCount val="3"/>
                <c:pt idx="0">
                  <c:v>0.92716752361562327</c:v>
                </c:pt>
                <c:pt idx="1">
                  <c:v>0.35816697256404934</c:v>
                </c:pt>
                <c:pt idx="2">
                  <c:v>0.32181330827665222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8F-42D6-A467-1FBB068E86D8}"/>
            </c:ext>
          </c:extLst>
        </c:ser>
        <c:ser>
          <c:idx val="1"/>
          <c:order val="1"/>
          <c:tx>
            <c:strRef>
              <c:f>Plots!$C$165</c:f>
              <c:strCache>
                <c:ptCount val="1"/>
                <c:pt idx="0">
                  <c:v>Passenger</c:v>
                </c:pt>
              </c:strCache>
            </c:strRef>
          </c:tx>
          <c:spPr>
            <a:solidFill>
              <a:srgbClr val="F2DCDB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Plots!$C$172:$C$174</c:f>
                <c:numCache>
                  <c:formatCode>General</c:formatCode>
                  <c:ptCount val="3"/>
                  <c:pt idx="0">
                    <c:v>0.15855199969634354</c:v>
                  </c:pt>
                  <c:pt idx="1">
                    <c:v>0.15428102129629545</c:v>
                  </c:pt>
                  <c:pt idx="2">
                    <c:v>0.22349864360046309</c:v>
                  </c:pt>
                </c:numCache>
              </c:numRef>
            </c:plus>
            <c:minus>
              <c:numRef>
                <c:f>Plots!$C$172:$C$174</c:f>
                <c:numCache>
                  <c:formatCode>General</c:formatCode>
                  <c:ptCount val="3"/>
                  <c:pt idx="0">
                    <c:v>0.15855199969634354</c:v>
                  </c:pt>
                  <c:pt idx="1">
                    <c:v>0.15428102129629545</c:v>
                  </c:pt>
                  <c:pt idx="2">
                    <c:v>0.22349864360046309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Plots!$A$166:$A$168</c:f>
              <c:strCache>
                <c:ptCount val="3"/>
                <c:pt idx="0">
                  <c:v>X : Resultant</c:v>
                </c:pt>
                <c:pt idx="1">
                  <c:v>Y : Resultant</c:v>
                </c:pt>
                <c:pt idx="2">
                  <c:v>Z : Resultant</c:v>
                </c:pt>
              </c:strCache>
            </c:strRef>
          </c:cat>
          <c:val>
            <c:numRef>
              <c:f>Plots!$C$166:$C$168</c:f>
              <c:numCache>
                <c:formatCode>0.00</c:formatCode>
                <c:ptCount val="3"/>
                <c:pt idx="0">
                  <c:v>0.73299016204356793</c:v>
                </c:pt>
                <c:pt idx="1">
                  <c:v>0.57505318371293401</c:v>
                </c:pt>
                <c:pt idx="2">
                  <c:v>0.51766582334663525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8F-42D6-A467-1FBB068E86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70083880"/>
        <c:axId val="670089128"/>
      </c:barChart>
      <c:catAx>
        <c:axId val="67008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089128"/>
        <c:crosses val="autoZero"/>
        <c:auto val="1"/>
        <c:lblAlgn val="ctr"/>
        <c:lblOffset val="100"/>
        <c:noMultiLvlLbl val="0"/>
      </c:catAx>
      <c:valAx>
        <c:axId val="670089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Chest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Acceleration Ratio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083880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8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2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70</xdr:row>
      <xdr:rowOff>171450</xdr:rowOff>
    </xdr:from>
    <xdr:to>
      <xdr:col>17</xdr:col>
      <xdr:colOff>123825</xdr:colOff>
      <xdr:row>85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10A568-25A2-4DA9-A811-5DE4C1743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357187</xdr:colOff>
      <xdr:row>106</xdr:row>
      <xdr:rowOff>185737</xdr:rowOff>
    </xdr:from>
    <xdr:to>
      <xdr:col>14</xdr:col>
      <xdr:colOff>52387</xdr:colOff>
      <xdr:row>121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73C393-B24D-4389-9EA1-605BC9BA8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163730</xdr:colOff>
      <xdr:row>182</xdr:row>
      <xdr:rowOff>38100</xdr:rowOff>
    </xdr:from>
    <xdr:to>
      <xdr:col>17</xdr:col>
      <xdr:colOff>287555</xdr:colOff>
      <xdr:row>196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9623AB-7E40-4AFC-B609-5FF955F49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73024</xdr:colOff>
      <xdr:row>218</xdr:row>
      <xdr:rowOff>34925</xdr:rowOff>
    </xdr:from>
    <xdr:to>
      <xdr:col>17</xdr:col>
      <xdr:colOff>304799</xdr:colOff>
      <xdr:row>232</xdr:row>
      <xdr:rowOff>111125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D72536-6829-4E2A-B472-01EF3E400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609599</xdr:colOff>
      <xdr:row>237</xdr:row>
      <xdr:rowOff>0</xdr:rowOff>
    </xdr:from>
    <xdr:to>
      <xdr:col>17</xdr:col>
      <xdr:colOff>352424</xdr:colOff>
      <xdr:row>251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E88E46-3239-4F2E-AB4C-E819A3C3A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353626</xdr:colOff>
      <xdr:row>126</xdr:row>
      <xdr:rowOff>329</xdr:rowOff>
    </xdr:from>
    <xdr:to>
      <xdr:col>14</xdr:col>
      <xdr:colOff>48826</xdr:colOff>
      <xdr:row>140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026139-1430-4C87-AF51-4EB9FF206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6347</xdr:colOff>
      <xdr:row>0</xdr:row>
      <xdr:rowOff>182032</xdr:rowOff>
    </xdr:from>
    <xdr:to>
      <xdr:col>17</xdr:col>
      <xdr:colOff>101600</xdr:colOff>
      <xdr:row>15</xdr:row>
      <xdr:rowOff>173567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B82BC0-07DE-9401-DF06-23D91DCDF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</xdr:colOff>
      <xdr:row>17</xdr:row>
      <xdr:rowOff>4232</xdr:rowOff>
    </xdr:from>
    <xdr:to>
      <xdr:col>17</xdr:col>
      <xdr:colOff>131233</xdr:colOff>
      <xdr:row>34</xdr:row>
      <xdr:rowOff>55033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12D828C-5D7C-4B82-BB83-36B1684F8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17</xdr:col>
      <xdr:colOff>95253</xdr:colOff>
      <xdr:row>50</xdr:row>
      <xdr:rowOff>173568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7383EE8-1279-4223-AC9B-AC97EC058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52</xdr:row>
      <xdr:rowOff>0</xdr:rowOff>
    </xdr:from>
    <xdr:to>
      <xdr:col>17</xdr:col>
      <xdr:colOff>131232</xdr:colOff>
      <xdr:row>69</xdr:row>
      <xdr:rowOff>50800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0A2A7CE-FF8A-4297-ACB4-9A1DBE15D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87</xdr:row>
      <xdr:rowOff>0</xdr:rowOff>
    </xdr:from>
    <xdr:to>
      <xdr:col>17</xdr:col>
      <xdr:colOff>131232</xdr:colOff>
      <xdr:row>104</xdr:row>
      <xdr:rowOff>50800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D4F94F-90A9-4A37-9193-4E239AA76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165100</xdr:colOff>
      <xdr:row>198</xdr:row>
      <xdr:rowOff>12700</xdr:rowOff>
    </xdr:from>
    <xdr:to>
      <xdr:col>17</xdr:col>
      <xdr:colOff>288925</xdr:colOff>
      <xdr:row>212</xdr:row>
      <xdr:rowOff>88900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17E3506-AC41-4B81-B8E8-DBE0F9260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0</xdr:colOff>
      <xdr:row>257</xdr:row>
      <xdr:rowOff>0</xdr:rowOff>
    </xdr:from>
    <xdr:to>
      <xdr:col>17</xdr:col>
      <xdr:colOff>231775</xdr:colOff>
      <xdr:row>271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BFC2FA7-BB61-4BB5-AB85-B7C5B7A79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0</xdr:colOff>
      <xdr:row>278</xdr:row>
      <xdr:rowOff>0</xdr:rowOff>
    </xdr:from>
    <xdr:to>
      <xdr:col>17</xdr:col>
      <xdr:colOff>231775</xdr:colOff>
      <xdr:row>292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281B2A3-3B5B-41C9-B3D5-34768440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0</xdr:colOff>
      <xdr:row>297</xdr:row>
      <xdr:rowOff>0</xdr:rowOff>
    </xdr:from>
    <xdr:to>
      <xdr:col>17</xdr:col>
      <xdr:colOff>231775</xdr:colOff>
      <xdr:row>311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E28A61B-7632-429C-B5E8-88E93506F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357187</xdr:colOff>
      <xdr:row>144</xdr:row>
      <xdr:rowOff>185737</xdr:rowOff>
    </xdr:from>
    <xdr:to>
      <xdr:col>14</xdr:col>
      <xdr:colOff>52387</xdr:colOff>
      <xdr:row>159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809C3-1BDF-43A8-AB1B-B7B73FE47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357187</xdr:colOff>
      <xdr:row>163</xdr:row>
      <xdr:rowOff>185737</xdr:rowOff>
    </xdr:from>
    <xdr:to>
      <xdr:col>14</xdr:col>
      <xdr:colOff>52387</xdr:colOff>
      <xdr:row>178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2EE95-8710-4B84-8BD6-E65095B3B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FDEC-9051-4611-A3BA-008074D9DC79}">
  <dimension ref="A1:V14"/>
  <sheetViews>
    <sheetView zoomScale="94" workbookViewId="0">
      <selection activeCell="B7" sqref="B7"/>
    </sheetView>
  </sheetViews>
  <sheetFormatPr defaultRowHeight="14.4" x14ac:dyDescent="0.55000000000000004"/>
  <cols>
    <col min="2" max="2" width="32.9453125" bestFit="1" customWidth="1"/>
    <col min="3" max="3" width="33.5234375" bestFit="1" customWidth="1"/>
    <col min="4" max="4" width="36.41796875" bestFit="1" customWidth="1"/>
    <col min="5" max="5" width="36.9453125" bestFit="1" customWidth="1"/>
    <col min="6" max="6" width="37" bestFit="1" customWidth="1"/>
    <col min="7" max="8" width="20.83984375" bestFit="1" customWidth="1"/>
    <col min="9" max="9" width="20.734375" bestFit="1" customWidth="1"/>
    <col min="10" max="11" width="21.9453125" bestFit="1" customWidth="1"/>
    <col min="12" max="12" width="21.89453125" bestFit="1" customWidth="1"/>
    <col min="13" max="14" width="24.3125" bestFit="1" customWidth="1"/>
    <col min="15" max="15" width="24.20703125" bestFit="1" customWidth="1"/>
    <col min="16" max="17" width="25.41796875" bestFit="1" customWidth="1"/>
    <col min="18" max="18" width="25.3671875" bestFit="1" customWidth="1"/>
    <col min="19" max="20" width="25.5234375" bestFit="1" customWidth="1"/>
    <col min="21" max="21" width="25.47265625" bestFit="1" customWidth="1"/>
  </cols>
  <sheetData>
    <row r="1" spans="1:22" x14ac:dyDescent="0.55000000000000004">
      <c r="A1" s="4" t="s">
        <v>553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2" x14ac:dyDescent="0.55000000000000004">
      <c r="A2" s="2"/>
      <c r="B2" s="4" t="s">
        <v>1077</v>
      </c>
      <c r="C2" s="4" t="s">
        <v>1078</v>
      </c>
      <c r="D2" s="4" t="s">
        <v>1079</v>
      </c>
      <c r="E2" s="4" t="s">
        <v>1080</v>
      </c>
      <c r="F2" s="4" t="s">
        <v>1081</v>
      </c>
      <c r="G2" s="4" t="s">
        <v>1082</v>
      </c>
      <c r="H2" s="4" t="s">
        <v>1083</v>
      </c>
      <c r="I2" s="4" t="s">
        <v>1084</v>
      </c>
      <c r="J2" s="4" t="s">
        <v>1085</v>
      </c>
      <c r="K2" s="4" t="s">
        <v>1086</v>
      </c>
      <c r="L2" s="4" t="s">
        <v>1087</v>
      </c>
      <c r="M2" s="4" t="s">
        <v>1088</v>
      </c>
      <c r="N2" s="4" t="s">
        <v>1089</v>
      </c>
      <c r="O2" s="4" t="s">
        <v>1090</v>
      </c>
      <c r="P2" s="4" t="s">
        <v>1091</v>
      </c>
      <c r="Q2" s="4" t="s">
        <v>1092</v>
      </c>
      <c r="R2" s="4" t="s">
        <v>1093</v>
      </c>
      <c r="S2" s="4" t="s">
        <v>1094</v>
      </c>
      <c r="T2" s="4" t="s">
        <v>1095</v>
      </c>
      <c r="U2" s="4" t="s">
        <v>1096</v>
      </c>
    </row>
    <row r="3" spans="1:22" x14ac:dyDescent="0.55000000000000004">
      <c r="A3" s="2" t="s">
        <v>554</v>
      </c>
      <c r="B3" s="3">
        <f>Car!AP256</f>
        <v>1.522912996622692</v>
      </c>
      <c r="C3" s="3">
        <f>Car!AQ256</f>
        <v>1.0481130790513953</v>
      </c>
      <c r="D3" s="3">
        <f>Car!AR256</f>
        <v>1.4118231028573176</v>
      </c>
      <c r="E3" s="3">
        <f>Car!AS256</f>
        <v>1.067403193418959</v>
      </c>
      <c r="F3" s="3">
        <f>Car!AT256</f>
        <v>1.1510266974523173</v>
      </c>
      <c r="G3" s="3">
        <f>Car!AU256</f>
        <v>0.8757967579617536</v>
      </c>
      <c r="H3" s="3">
        <f>Car!AV256</f>
        <v>0.36791619312085111</v>
      </c>
      <c r="I3" s="3">
        <f>Car!AW256</f>
        <v>0.48197527905766813</v>
      </c>
      <c r="J3" s="3">
        <f>Car!AX256</f>
        <v>0.92905925104101883</v>
      </c>
      <c r="K3" s="3">
        <f>Car!AY256</f>
        <v>0.36650963372879236</v>
      </c>
      <c r="L3" s="3">
        <f>Car!AZ256</f>
        <v>0.3093360267151346</v>
      </c>
      <c r="M3" s="3">
        <f>Car!BA256</f>
        <v>0.64190730961775944</v>
      </c>
      <c r="N3" s="3">
        <f>Car!BB256</f>
        <v>0.26732963316617531</v>
      </c>
      <c r="O3" s="3">
        <f>Car!BC256</f>
        <v>0.84839457611121105</v>
      </c>
      <c r="P3" s="3">
        <f>Car!BD256</f>
        <v>0.72761809719568671</v>
      </c>
      <c r="Q3" s="3">
        <f>Car!BE256</f>
        <v>0.58153378806498612</v>
      </c>
      <c r="R3" s="3">
        <f>Car!BF256</f>
        <v>0.56445523805795883</v>
      </c>
      <c r="S3" s="3">
        <f>Car!BG256</f>
        <v>0.76380758427488893</v>
      </c>
      <c r="T3" s="3">
        <f>Car!BH256</f>
        <v>0.41938025836501852</v>
      </c>
      <c r="U3" s="3">
        <f>Car!BI256</f>
        <v>0.6826552416362528</v>
      </c>
      <c r="V3" s="3"/>
    </row>
    <row r="4" spans="1:22" x14ac:dyDescent="0.55000000000000004">
      <c r="A4" s="2" t="s">
        <v>322</v>
      </c>
      <c r="B4" s="3">
        <f>SUV!AP243</f>
        <v>1.2749581056715591</v>
      </c>
      <c r="C4" s="3">
        <f>SUV!AQ243</f>
        <v>0.97140291569708082</v>
      </c>
      <c r="D4" s="3">
        <f>SUV!AR243</f>
        <v>1.436960246042442</v>
      </c>
      <c r="E4" s="3">
        <f>SUV!AS243</f>
        <v>1.0788361636526884</v>
      </c>
      <c r="F4" s="3">
        <f>SUV!AT243</f>
        <v>1.154965495327066</v>
      </c>
      <c r="G4" s="3">
        <f>SUV!AU243</f>
        <v>0.86028175088679215</v>
      </c>
      <c r="H4" s="3">
        <f>SUV!AV243</f>
        <v>0.36013238169759076</v>
      </c>
      <c r="I4" s="3">
        <f>SUV!AW243</f>
        <v>0.50659394953655101</v>
      </c>
      <c r="J4" s="3">
        <f>SUV!AX243</f>
        <v>0.92594930174899859</v>
      </c>
      <c r="K4" s="3">
        <f>SUV!AY243</f>
        <v>0.35050717329751779</v>
      </c>
      <c r="L4" s="3">
        <f>SUV!AZ243</f>
        <v>0.32662568701620259</v>
      </c>
      <c r="M4" s="3">
        <f>SUV!BA243</f>
        <v>0.59978978053517584</v>
      </c>
      <c r="N4" s="3">
        <f>SUV!BB243</f>
        <v>0.23980412219821531</v>
      </c>
      <c r="O4" s="3">
        <f>SUV!BC243</f>
        <v>0.89297452978867375</v>
      </c>
      <c r="P4" s="3">
        <f>SUV!BD243</f>
        <v>0.72914930543914036</v>
      </c>
      <c r="Q4" s="3">
        <f>SUV!BE243</f>
        <v>0.56734116884971908</v>
      </c>
      <c r="R4" s="3">
        <f>SUV!BF243</f>
        <v>0.51753213661616659</v>
      </c>
      <c r="S4" s="3">
        <f>SUV!BG243</f>
        <v>0.78863390453123905</v>
      </c>
      <c r="T4" s="3">
        <f>SUV!BH243</f>
        <v>0.40980499876486404</v>
      </c>
      <c r="U4" s="3">
        <f>SUV!BI243</f>
        <v>0.62901712816097755</v>
      </c>
    </row>
    <row r="5" spans="1:22" x14ac:dyDescent="0.55000000000000004">
      <c r="A5" s="2" t="s">
        <v>555</v>
      </c>
      <c r="B5" s="3">
        <f>Minivan!AP24</f>
        <v>1.8328150018597724</v>
      </c>
      <c r="C5" s="3">
        <f>Minivan!AQ24</f>
        <v>1.267082704461806</v>
      </c>
      <c r="D5" s="3">
        <f>Minivan!AR24</f>
        <v>2.284672724997054</v>
      </c>
      <c r="E5" s="3">
        <f>Minivan!AS24</f>
        <v>1.2872725468026887</v>
      </c>
      <c r="F5" s="3">
        <f>Minivan!AT24</f>
        <v>1.3889568072165623</v>
      </c>
      <c r="G5" s="3">
        <f>Minivan!AU24</f>
        <v>0.90224265751029686</v>
      </c>
      <c r="H5" s="3">
        <f>Minivan!AV24</f>
        <v>0.31170804109929917</v>
      </c>
      <c r="I5" s="3">
        <f>Minivan!AW24</f>
        <v>0.44727250566196847</v>
      </c>
      <c r="J5" s="3">
        <f>Minivan!AX24</f>
        <v>0.93420904975291763</v>
      </c>
      <c r="K5" s="3">
        <f>Minivan!AY24</f>
        <v>0.34278338819459997</v>
      </c>
      <c r="L5" s="3">
        <f>Minivan!AZ24</f>
        <v>0.30413396706596024</v>
      </c>
      <c r="M5" s="3">
        <f>Minivan!BA24</f>
        <v>0.67633455532420972</v>
      </c>
      <c r="N5" s="3">
        <f>Minivan!BB24</f>
        <v>0.17276361986660047</v>
      </c>
      <c r="O5" s="3">
        <f>Minivan!BC24</f>
        <v>0.84717853774293217</v>
      </c>
      <c r="P5" s="3">
        <f>Minivan!BD24</f>
        <v>0.867950556199373</v>
      </c>
      <c r="Q5" s="3">
        <f>Minivan!BE24</f>
        <v>0.45732296914995763</v>
      </c>
      <c r="R5" s="3">
        <f>Minivan!BF24</f>
        <v>0.38706002894913338</v>
      </c>
      <c r="S5" s="3">
        <f>Minivan!BG24</f>
        <v>0.7948118246990532</v>
      </c>
      <c r="T5" s="3">
        <f>Minivan!BH24</f>
        <v>0.32362388885505028</v>
      </c>
      <c r="U5" s="3">
        <f>Minivan!BI24</f>
        <v>0.68158545588218988</v>
      </c>
    </row>
    <row r="6" spans="1:22" x14ac:dyDescent="0.55000000000000004">
      <c r="A6" s="2" t="s">
        <v>556</v>
      </c>
      <c r="B6" s="3">
        <f>Pickup!AP53</f>
        <v>1.4550239702876839</v>
      </c>
      <c r="C6" s="3">
        <f>Pickup!AQ53</f>
        <v>0.9073021337291749</v>
      </c>
      <c r="D6" s="3">
        <f>Pickup!AR53</f>
        <v>1.5286719377820017</v>
      </c>
      <c r="E6" s="3">
        <f>Pickup!AS53</f>
        <v>1.0523494451909803</v>
      </c>
      <c r="F6" s="3">
        <f>Pickup!AT53</f>
        <v>1.0474312857735038</v>
      </c>
      <c r="G6" s="3">
        <f>Pickup!AU53</f>
        <v>0.85720855220039849</v>
      </c>
      <c r="H6" s="3">
        <f>Pickup!AV53</f>
        <v>0.34131168466268363</v>
      </c>
      <c r="I6" s="3">
        <f>Pickup!AW53</f>
        <v>0.46004067004371157</v>
      </c>
      <c r="J6" s="3">
        <f>Pickup!AX53</f>
        <v>0.92048540682525015</v>
      </c>
      <c r="K6" s="3">
        <f>Pickup!AY53</f>
        <v>0.35918124898496878</v>
      </c>
      <c r="L6" s="3">
        <f>Pickup!AZ53</f>
        <v>0.36902471270535336</v>
      </c>
      <c r="M6" s="3">
        <f>Pickup!BA53</f>
        <v>0.70123534743545113</v>
      </c>
      <c r="N6" s="3">
        <f>Pickup!BB53</f>
        <v>0.26803268445463568</v>
      </c>
      <c r="O6" s="3">
        <f>Pickup!BC53</f>
        <v>0.8077996923319839</v>
      </c>
      <c r="P6" s="3">
        <f>Pickup!BD53</f>
        <v>0.73853294256384494</v>
      </c>
      <c r="Q6" s="3">
        <f>Pickup!BE53</f>
        <v>0.6268749833397792</v>
      </c>
      <c r="R6" s="3">
        <f>Pickup!BF53</f>
        <v>0.43643533987060473</v>
      </c>
      <c r="S6" s="3">
        <f>Pickup!BG53</f>
        <v>0.85577787419824347</v>
      </c>
      <c r="T6" s="3">
        <f>Pickup!BH53</f>
        <v>0.42690632975906451</v>
      </c>
      <c r="U6" s="3">
        <f>Pickup!BI53</f>
        <v>0.54582133866802318</v>
      </c>
    </row>
    <row r="7" spans="1:22" x14ac:dyDescent="0.55000000000000004">
      <c r="A7" s="2" t="s">
        <v>557</v>
      </c>
      <c r="B7" s="3">
        <f>'All Data'!AP567</f>
        <v>1.4229206508158767</v>
      </c>
      <c r="C7" s="3">
        <f>'All Data'!AQ567</f>
        <v>1.0111403408642894</v>
      </c>
      <c r="D7" s="3">
        <f>'All Data'!AR567</f>
        <v>1.4601490155270289</v>
      </c>
      <c r="E7" s="3">
        <f>'All Data'!AS567</f>
        <v>1.0777589947106614</v>
      </c>
      <c r="F7" s="3">
        <f>'All Data'!AT567</f>
        <v>1.1474473517748824</v>
      </c>
      <c r="G7" s="3">
        <f>'All Data'!AU567</f>
        <v>0.86853142445902431</v>
      </c>
      <c r="H7" s="3">
        <f>'All Data'!AV567</f>
        <v>0.36015252050215696</v>
      </c>
      <c r="I7" s="3">
        <f>'All Data'!AW567</f>
        <v>0.48921462697065432</v>
      </c>
      <c r="J7" s="3">
        <f>'All Data'!AX567</f>
        <v>0.92716752361562327</v>
      </c>
      <c r="K7" s="3">
        <f>'All Data'!AY567</f>
        <v>0.35816697256404934</v>
      </c>
      <c r="L7" s="3">
        <f>'All Data'!AZ567</f>
        <v>0.32181330827665222</v>
      </c>
      <c r="M7" s="3">
        <f>'All Data'!BA567</f>
        <v>0.62364231098760203</v>
      </c>
      <c r="N7" s="3">
        <f>'All Data'!BB567</f>
        <v>0.24848482080052753</v>
      </c>
      <c r="O7" s="3">
        <f>'All Data'!BC567</f>
        <v>0.87099455990329511</v>
      </c>
      <c r="P7" s="3">
        <f>'All Data'!BD567</f>
        <v>0.73299016204356793</v>
      </c>
      <c r="Q7" s="3">
        <f>'All Data'!BE567</f>
        <v>0.57505318371293401</v>
      </c>
      <c r="R7" s="3">
        <f>'All Data'!BF567</f>
        <v>0.51766582334663525</v>
      </c>
      <c r="S7" s="3">
        <f>'All Data'!BG567</f>
        <v>0.78979552175931067</v>
      </c>
      <c r="T7" s="3">
        <f>'All Data'!BH567</f>
        <v>0.41218168508707798</v>
      </c>
      <c r="U7" s="3">
        <f>'All Data'!BI567</f>
        <v>0.63486909611208608</v>
      </c>
    </row>
    <row r="8" spans="1:22" x14ac:dyDescent="0.5500000000000000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2" x14ac:dyDescent="0.55000000000000004">
      <c r="A9" s="4" t="s">
        <v>558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 x14ac:dyDescent="0.55000000000000004">
      <c r="A10" s="2" t="s">
        <v>554</v>
      </c>
      <c r="B10" s="3">
        <f>Car!AP257</f>
        <v>1.0703246063708463</v>
      </c>
      <c r="C10" s="3">
        <f>Car!AQ257</f>
        <v>0.24290073855232078</v>
      </c>
      <c r="D10" s="3">
        <f>Car!AR257</f>
        <v>0.57749347540433682</v>
      </c>
      <c r="E10" s="3">
        <f>Car!AS257</f>
        <v>0.47594096057328461</v>
      </c>
      <c r="F10" s="3">
        <f>Car!AT257</f>
        <v>0.30057049269820535</v>
      </c>
      <c r="G10" s="3">
        <f>Car!AU257</f>
        <v>0.10104038063945149</v>
      </c>
      <c r="H10" s="3">
        <f>Car!AV257</f>
        <v>0.17747649667926368</v>
      </c>
      <c r="I10" s="3">
        <f>Car!AW257</f>
        <v>0.13690347349859014</v>
      </c>
      <c r="J10" s="3">
        <f>Car!AX257</f>
        <v>4.0102279497310218E-2</v>
      </c>
      <c r="K10" s="3">
        <f>Car!AY257</f>
        <v>8.8102649249976295E-2</v>
      </c>
      <c r="L10" s="3">
        <f>Car!AZ257</f>
        <v>0.11307643602559167</v>
      </c>
      <c r="M10" s="3">
        <f>Car!BA257</f>
        <v>0.17310878104399968</v>
      </c>
      <c r="N10" s="3">
        <f>Car!BB257</f>
        <v>0.10205047094154079</v>
      </c>
      <c r="O10" s="3">
        <f>Car!BC257</f>
        <v>0.12189000653824791</v>
      </c>
      <c r="P10" s="3">
        <f>Car!BD257</f>
        <v>0.16572869189524167</v>
      </c>
      <c r="Q10" s="3">
        <f>Car!BE257</f>
        <v>0.13279699065901884</v>
      </c>
      <c r="R10" s="3">
        <f>Car!BF257</f>
        <v>0.18575331132961603</v>
      </c>
      <c r="S10" s="3">
        <f>Car!BG257</f>
        <v>0.10633726147482654</v>
      </c>
      <c r="T10" s="3">
        <f>Car!BH257</f>
        <v>9.5356187107786594E-2</v>
      </c>
      <c r="U10" s="3">
        <f>Car!BI257</f>
        <v>0.12394924568806552</v>
      </c>
    </row>
    <row r="11" spans="1:22" x14ac:dyDescent="0.55000000000000004">
      <c r="A11" s="2" t="s">
        <v>322</v>
      </c>
      <c r="B11" s="3">
        <f>SUV!AP244</f>
        <v>0.51840162349638963</v>
      </c>
      <c r="C11" s="3">
        <f>SUV!AQ244</f>
        <v>0.23806489784929721</v>
      </c>
      <c r="D11" s="3">
        <f>SUV!AR244</f>
        <v>0.43634103390851242</v>
      </c>
      <c r="E11" s="3">
        <f>SUV!AS244</f>
        <v>0.35080687534636645</v>
      </c>
      <c r="F11" s="3">
        <f>SUV!AT244</f>
        <v>0.29403288225742696</v>
      </c>
      <c r="G11" s="3">
        <f>SUV!AU244</f>
        <v>0.10334395365971676</v>
      </c>
      <c r="H11" s="3">
        <f>SUV!AV244</f>
        <v>0.16380365267130162</v>
      </c>
      <c r="I11" s="3">
        <f>SUV!AW244</f>
        <v>0.14250087750633014</v>
      </c>
      <c r="J11" s="3">
        <f>SUV!AX244</f>
        <v>4.6386776237796939E-2</v>
      </c>
      <c r="K11" s="3">
        <f>SUV!AY244</f>
        <v>9.1147661612675651E-2</v>
      </c>
      <c r="L11" s="3">
        <f>SUV!AZ244</f>
        <v>0.11994233374950858</v>
      </c>
      <c r="M11" s="3">
        <f>SUV!BA244</f>
        <v>0.15940714090055191</v>
      </c>
      <c r="N11" s="3">
        <f>SUV!BB244</f>
        <v>0.10431763000555701</v>
      </c>
      <c r="O11" s="3">
        <f>SUV!BC244</f>
        <v>6.1091260892942152E-2</v>
      </c>
      <c r="P11" s="3">
        <f>SUV!BD244</f>
        <v>0.1570735539375267</v>
      </c>
      <c r="Q11" s="3">
        <f>SUV!BE244</f>
        <v>0.15739636397209991</v>
      </c>
      <c r="R11" s="3">
        <f>SUV!BF244</f>
        <v>0.23670982016622219</v>
      </c>
      <c r="S11" s="3">
        <f>SUV!BG244</f>
        <v>8.4358637130423339E-2</v>
      </c>
      <c r="T11" s="3">
        <f>SUV!BH244</f>
        <v>8.7715882647443857E-2</v>
      </c>
      <c r="U11" s="3">
        <f>SUV!BI244</f>
        <v>0.12425068168429737</v>
      </c>
    </row>
    <row r="12" spans="1:22" x14ac:dyDescent="0.55000000000000004">
      <c r="A12" s="2" t="s">
        <v>555</v>
      </c>
      <c r="B12" s="3">
        <f>Minivan!AP25</f>
        <v>0.71425005292929755</v>
      </c>
      <c r="C12" s="3">
        <f>Minivan!AQ25</f>
        <v>0.15780877988296516</v>
      </c>
      <c r="D12" s="3">
        <f>Minivan!AR25</f>
        <v>0.77947815329370274</v>
      </c>
      <c r="E12" s="3">
        <f>Minivan!AS25</f>
        <v>0.20791913711704593</v>
      </c>
      <c r="F12" s="3">
        <f>Minivan!AT25</f>
        <v>0.22863623597738189</v>
      </c>
      <c r="G12" s="3">
        <f>Minivan!AU25</f>
        <v>7.7427419162193062E-2</v>
      </c>
      <c r="H12" s="3">
        <f>Minivan!AV25</f>
        <v>0.17797226408847022</v>
      </c>
      <c r="I12" s="3">
        <f>Minivan!AW25</f>
        <v>0.1241030251735486</v>
      </c>
      <c r="J12" s="3">
        <f>Minivan!AX25</f>
        <v>4.0184257047942464E-2</v>
      </c>
      <c r="K12" s="3">
        <f>Minivan!AY25</f>
        <v>7.9350454450008656E-2</v>
      </c>
      <c r="L12" s="3">
        <f>Minivan!AZ25</f>
        <v>0.13391386274777742</v>
      </c>
      <c r="M12" s="3">
        <f>Minivan!BA25</f>
        <v>0.22532778260060521</v>
      </c>
      <c r="N12" s="3">
        <f>Minivan!BB25</f>
        <v>7.9154373584714874E-2</v>
      </c>
      <c r="O12" s="3">
        <f>Minivan!BC25</f>
        <v>6.8730513852518896E-2</v>
      </c>
      <c r="P12" s="3">
        <f>Minivan!BD25</f>
        <v>8.1406160108840664E-2</v>
      </c>
      <c r="Q12" s="3">
        <f>Minivan!BE25</f>
        <v>0.15042704898272194</v>
      </c>
      <c r="R12" s="3">
        <f>Minivan!BF25</f>
        <v>0.14005794966917115</v>
      </c>
      <c r="S12" s="3">
        <f>Minivan!BG25</f>
        <v>0.13487941292067723</v>
      </c>
      <c r="T12" s="3">
        <f>Minivan!BH25</f>
        <v>7.1731285657091248E-2</v>
      </c>
      <c r="U12" s="3">
        <f>Minivan!BI25</f>
        <v>0.13482541729806921</v>
      </c>
    </row>
    <row r="13" spans="1:22" x14ac:dyDescent="0.55000000000000004">
      <c r="A13" s="2" t="s">
        <v>556</v>
      </c>
      <c r="B13" s="3">
        <f>Pickup!AP54</f>
        <v>0.8127867039338954</v>
      </c>
      <c r="C13" s="3">
        <f>Pickup!AQ54</f>
        <v>0.24633662031409578</v>
      </c>
      <c r="D13" s="3">
        <f>Pickup!AR54</f>
        <v>0.46168327869116449</v>
      </c>
      <c r="E13" s="3">
        <f>Pickup!AS54</f>
        <v>0.29037880110786157</v>
      </c>
      <c r="F13" s="3">
        <f>Pickup!AT54</f>
        <v>0.3291959906290719</v>
      </c>
      <c r="G13" s="3">
        <f>Pickup!AU54</f>
        <v>0.15856084203110785</v>
      </c>
      <c r="H13" s="3">
        <f>Pickup!AV54</f>
        <v>0.18414605421332578</v>
      </c>
      <c r="I13" s="3">
        <f>Pickup!AW54</f>
        <v>0.17413263558048531</v>
      </c>
      <c r="J13" s="3">
        <f>Pickup!AX54</f>
        <v>5.9333403544719096E-2</v>
      </c>
      <c r="K13" s="3">
        <f>Pickup!AY54</f>
        <v>0.10566107146809087</v>
      </c>
      <c r="L13" s="3">
        <f>Pickup!AZ54</f>
        <v>0.11344019213023843</v>
      </c>
      <c r="M13" s="3">
        <f>Pickup!BA54</f>
        <v>0.13017865657977745</v>
      </c>
      <c r="N13" s="3">
        <f>Pickup!BB54</f>
        <v>9.5913507166466877E-2</v>
      </c>
      <c r="O13" s="3">
        <f>Pickup!BC54</f>
        <v>0.10631755280436175</v>
      </c>
      <c r="P13" s="3">
        <f>Pickup!BD54</f>
        <v>0.15679004829981241</v>
      </c>
      <c r="Q13" s="3">
        <f>Pickup!BE54</f>
        <v>0.17340931514800792</v>
      </c>
      <c r="R13" s="3">
        <f>Pickup!BF54</f>
        <v>0.21938365593823306</v>
      </c>
      <c r="S13" s="3">
        <f>Pickup!BG54</f>
        <v>7.4303544782237746E-2</v>
      </c>
      <c r="T13" s="3">
        <f>Pickup!BH54</f>
        <v>9.3906650476162812E-2</v>
      </c>
      <c r="U13" s="3">
        <f>Pickup!BI54</f>
        <v>0.11302099379938182</v>
      </c>
    </row>
    <row r="14" spans="1:22" x14ac:dyDescent="0.55000000000000004">
      <c r="A14" s="2" t="s">
        <v>557</v>
      </c>
      <c r="B14" s="3">
        <f>'All Data'!AP568</f>
        <v>0.85009253975881804</v>
      </c>
      <c r="C14" s="3">
        <f>'All Data'!AQ568</f>
        <v>0.24763373129327848</v>
      </c>
      <c r="D14" s="3">
        <f>'All Data'!AR568</f>
        <v>0.50152754021165258</v>
      </c>
      <c r="E14" s="3">
        <f>'All Data'!AS568</f>
        <v>0.37843229551365909</v>
      </c>
      <c r="F14" s="3">
        <f>'All Data'!AT568</f>
        <v>0.30073975850745643</v>
      </c>
      <c r="G14" s="3">
        <f>'All Data'!AU568</f>
        <v>0.10775458206802296</v>
      </c>
      <c r="H14" s="3">
        <f>'All Data'!AV568</f>
        <v>0.17237025684385238</v>
      </c>
      <c r="I14" s="3">
        <f>'All Data'!AW568</f>
        <v>0.14314064006490324</v>
      </c>
      <c r="J14" s="3">
        <f>'All Data'!AX568</f>
        <v>4.4778154666493923E-2</v>
      </c>
      <c r="K14" s="3">
        <f>'All Data'!AY568</f>
        <v>9.0893733680692659E-2</v>
      </c>
      <c r="L14" s="3">
        <f>'All Data'!AZ568</f>
        <v>0.11780671189139669</v>
      </c>
      <c r="M14" s="3">
        <f>'All Data'!BA568</f>
        <v>0.16417555000595355</v>
      </c>
      <c r="N14" s="3">
        <f>'All Data'!BB568</f>
        <v>0.10324977728094517</v>
      </c>
      <c r="O14" s="3">
        <f>'All Data'!BC568</f>
        <v>9.0676109067247976E-2</v>
      </c>
      <c r="P14" s="3">
        <f>'All Data'!BD568</f>
        <v>0.15855199969634354</v>
      </c>
      <c r="Q14" s="3">
        <f>'All Data'!BE568</f>
        <v>0.15428102129629545</v>
      </c>
      <c r="R14" s="3">
        <f>'All Data'!BF568</f>
        <v>0.22349864360046309</v>
      </c>
      <c r="S14" s="3">
        <f>'All Data'!BG568</f>
        <v>9.370290380500694E-2</v>
      </c>
      <c r="T14" s="3">
        <f>'All Data'!BH568</f>
        <v>9.0765715264018804E-2</v>
      </c>
      <c r="U14" s="3">
        <f>'All Data'!BI568</f>
        <v>0.12851576851069083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A5A3-112B-4885-845C-2E746B70449E}">
  <dimension ref="A1:J350"/>
  <sheetViews>
    <sheetView topLeftCell="D112" zoomScale="107" zoomScaleNormal="100" workbookViewId="0">
      <selection activeCell="S123" sqref="S123"/>
    </sheetView>
  </sheetViews>
  <sheetFormatPr defaultColWidth="8.9453125" defaultRowHeight="14.4" x14ac:dyDescent="0.55000000000000004"/>
  <cols>
    <col min="1" max="1" width="29.89453125" style="5" bestFit="1" customWidth="1"/>
    <col min="2" max="6" width="12" style="5" bestFit="1" customWidth="1"/>
    <col min="7" max="16384" width="8.9453125" style="5"/>
  </cols>
  <sheetData>
    <row r="1" spans="1:10" x14ac:dyDescent="0.55000000000000004">
      <c r="A1" s="7" t="s">
        <v>1105</v>
      </c>
      <c r="B1" s="6"/>
      <c r="C1" s="6"/>
      <c r="D1" s="6"/>
      <c r="E1" s="6"/>
      <c r="F1" s="6"/>
    </row>
    <row r="2" spans="1:10" x14ac:dyDescent="0.55000000000000004">
      <c r="A2" s="6" t="s">
        <v>559</v>
      </c>
      <c r="B2" s="6"/>
      <c r="C2" s="6"/>
      <c r="D2" s="6"/>
      <c r="E2" s="6"/>
      <c r="F2" s="6"/>
    </row>
    <row r="3" spans="1:10" x14ac:dyDescent="0.55000000000000004">
      <c r="A3" s="6"/>
      <c r="B3" s="6" t="s">
        <v>554</v>
      </c>
      <c r="C3" s="6" t="s">
        <v>322</v>
      </c>
      <c r="D3" s="6" t="s">
        <v>555</v>
      </c>
      <c r="E3" s="6" t="s">
        <v>556</v>
      </c>
      <c r="F3" s="6" t="s">
        <v>560</v>
      </c>
      <c r="G3" s="9"/>
      <c r="H3" s="9"/>
      <c r="I3" s="9"/>
      <c r="J3" s="9"/>
    </row>
    <row r="4" spans="1:10" x14ac:dyDescent="0.55000000000000004">
      <c r="A4" s="6" t="s">
        <v>561</v>
      </c>
      <c r="B4" s="6">
        <v>0.8757967579617536</v>
      </c>
      <c r="C4" s="6">
        <v>0.86028175088679215</v>
      </c>
      <c r="D4" s="6">
        <v>0.90224265751029686</v>
      </c>
      <c r="E4" s="6">
        <v>0.85720855220039849</v>
      </c>
      <c r="F4" s="6">
        <v>0.86853142445902431</v>
      </c>
    </row>
    <row r="5" spans="1:10" x14ac:dyDescent="0.55000000000000004">
      <c r="A5" s="6" t="s">
        <v>1106</v>
      </c>
      <c r="B5" s="6">
        <v>0.92905925104101883</v>
      </c>
      <c r="C5" s="6">
        <v>0.92594930174899859</v>
      </c>
      <c r="D5" s="6">
        <v>0.93420904975291763</v>
      </c>
      <c r="E5" s="6">
        <v>0.92048540682525015</v>
      </c>
      <c r="F5" s="6">
        <v>0.92716752361562327</v>
      </c>
    </row>
    <row r="6" spans="1:10" x14ac:dyDescent="0.55000000000000004">
      <c r="A6" s="6"/>
      <c r="B6" s="6"/>
      <c r="C6" s="6"/>
      <c r="D6" s="6"/>
      <c r="E6" s="6"/>
      <c r="F6" s="6"/>
    </row>
    <row r="7" spans="1:10" x14ac:dyDescent="0.55000000000000004">
      <c r="A7" s="6" t="s">
        <v>558</v>
      </c>
      <c r="B7" s="6"/>
      <c r="C7" s="6"/>
      <c r="D7" s="6"/>
      <c r="E7" s="6"/>
      <c r="F7" s="6"/>
    </row>
    <row r="8" spans="1:10" x14ac:dyDescent="0.55000000000000004">
      <c r="A8" s="6"/>
      <c r="B8" s="6" t="s">
        <v>554</v>
      </c>
      <c r="C8" s="6" t="s">
        <v>322</v>
      </c>
      <c r="D8" s="6" t="s">
        <v>555</v>
      </c>
      <c r="E8" s="6" t="s">
        <v>556</v>
      </c>
      <c r="F8" s="6" t="s">
        <v>560</v>
      </c>
    </row>
    <row r="9" spans="1:10" x14ac:dyDescent="0.55000000000000004">
      <c r="A9" s="6" t="s">
        <v>561</v>
      </c>
      <c r="B9" s="6">
        <v>0.10104038063945149</v>
      </c>
      <c r="C9" s="6">
        <v>0.10334395365971676</v>
      </c>
      <c r="D9" s="6">
        <v>7.7427419162193062E-2</v>
      </c>
      <c r="E9" s="6">
        <v>0.15856084203110785</v>
      </c>
      <c r="F9" s="6">
        <v>0.10775458206802296</v>
      </c>
    </row>
    <row r="10" spans="1:10" x14ac:dyDescent="0.55000000000000004">
      <c r="A10" s="6" t="s">
        <v>1106</v>
      </c>
      <c r="B10" s="6">
        <v>4.0102279497310218E-2</v>
      </c>
      <c r="C10" s="6">
        <v>4.6386776237796939E-2</v>
      </c>
      <c r="D10" s="6">
        <v>4.0184257047942464E-2</v>
      </c>
      <c r="E10" s="6">
        <v>5.9333403544719096E-2</v>
      </c>
      <c r="F10" s="6">
        <v>4.4778154666493923E-2</v>
      </c>
    </row>
    <row r="11" spans="1:10" x14ac:dyDescent="0.55000000000000004">
      <c r="A11" s="6"/>
      <c r="B11" s="6"/>
      <c r="C11" s="6"/>
      <c r="D11" s="6"/>
      <c r="E11" s="6"/>
      <c r="F11" s="6"/>
    </row>
    <row r="12" spans="1:10" x14ac:dyDescent="0.55000000000000004">
      <c r="A12" s="6" t="s">
        <v>562</v>
      </c>
      <c r="B12" s="6"/>
      <c r="C12" s="6"/>
      <c r="D12" s="6"/>
      <c r="E12" s="6"/>
      <c r="F12" s="6"/>
    </row>
    <row r="13" spans="1:10" x14ac:dyDescent="0.55000000000000004">
      <c r="A13" s="6"/>
      <c r="B13" s="6" t="s">
        <v>554</v>
      </c>
      <c r="C13" s="6" t="s">
        <v>322</v>
      </c>
      <c r="D13" s="6" t="s">
        <v>555</v>
      </c>
      <c r="E13" s="6" t="s">
        <v>556</v>
      </c>
      <c r="F13" s="6" t="s">
        <v>560</v>
      </c>
      <c r="H13" s="6"/>
    </row>
    <row r="14" spans="1:10" x14ac:dyDescent="0.55000000000000004">
      <c r="A14" s="6" t="s">
        <v>561</v>
      </c>
      <c r="B14" s="8" t="str">
        <f>ROUND(B4,2) &amp; " ±
" &amp; ROUND(B9,2)</f>
        <v>0.88 ±
0.1</v>
      </c>
      <c r="C14" s="8" t="str">
        <f t="shared" ref="C14:F15" si="0">ROUND(C4,2) &amp; " ±
" &amp; ROUND(C9,2)</f>
        <v>0.86 ±
0.1</v>
      </c>
      <c r="D14" s="8" t="str">
        <f t="shared" si="0"/>
        <v>0.9 ±
0.08</v>
      </c>
      <c r="E14" s="8" t="str">
        <f t="shared" si="0"/>
        <v>0.86 ±
0.16</v>
      </c>
      <c r="F14" s="8" t="str">
        <f t="shared" si="0"/>
        <v>0.87 ±
0.11</v>
      </c>
    </row>
    <row r="15" spans="1:10" x14ac:dyDescent="0.55000000000000004">
      <c r="A15" s="6" t="s">
        <v>1106</v>
      </c>
      <c r="B15" s="6" t="str">
        <f>ROUND(B5,2) &amp; " ±
" &amp; ROUND(B10,2)</f>
        <v>0.93 ±
0.04</v>
      </c>
      <c r="C15" s="6" t="str">
        <f t="shared" si="0"/>
        <v>0.93 ±
0.05</v>
      </c>
      <c r="D15" s="6" t="str">
        <f t="shared" si="0"/>
        <v>0.93 ±
0.04</v>
      </c>
      <c r="E15" s="6" t="str">
        <f t="shared" si="0"/>
        <v>0.92 ±
0.06</v>
      </c>
      <c r="F15" s="6" t="str">
        <f t="shared" si="0"/>
        <v>0.93 ±
0.04</v>
      </c>
    </row>
    <row r="16" spans="1:10" x14ac:dyDescent="0.55000000000000004">
      <c r="A16" s="6"/>
      <c r="B16" s="6"/>
      <c r="C16" s="6"/>
      <c r="D16" s="6"/>
      <c r="E16" s="6"/>
      <c r="F16" s="6"/>
    </row>
    <row r="17" spans="1:6" x14ac:dyDescent="0.55000000000000004">
      <c r="A17" s="7" t="s">
        <v>1107</v>
      </c>
      <c r="B17" s="6"/>
      <c r="C17" s="6"/>
      <c r="D17" s="6"/>
      <c r="E17" s="6"/>
      <c r="F17" s="6"/>
    </row>
    <row r="18" spans="1:6" x14ac:dyDescent="0.55000000000000004">
      <c r="A18" s="6" t="s">
        <v>559</v>
      </c>
      <c r="B18" s="6"/>
      <c r="C18" s="6"/>
      <c r="D18" s="6"/>
      <c r="E18" s="6"/>
      <c r="F18" s="6"/>
    </row>
    <row r="19" spans="1:6" x14ac:dyDescent="0.55000000000000004">
      <c r="A19" s="6"/>
      <c r="B19" s="6" t="s">
        <v>554</v>
      </c>
      <c r="C19" s="6" t="s">
        <v>322</v>
      </c>
      <c r="D19" s="6" t="s">
        <v>555</v>
      </c>
      <c r="E19" s="6" t="s">
        <v>556</v>
      </c>
      <c r="F19" s="6" t="s">
        <v>560</v>
      </c>
    </row>
    <row r="20" spans="1:6" x14ac:dyDescent="0.55000000000000004">
      <c r="A20" s="6" t="s">
        <v>561</v>
      </c>
      <c r="B20" s="6">
        <v>0.64190730961775944</v>
      </c>
      <c r="C20" s="6">
        <v>0.59978978053517584</v>
      </c>
      <c r="D20" s="6">
        <v>0.67633455532420972</v>
      </c>
      <c r="E20" s="6">
        <v>0.70123534743545113</v>
      </c>
      <c r="F20" s="6">
        <v>0.62364231098760203</v>
      </c>
    </row>
    <row r="21" spans="1:6" x14ac:dyDescent="0.55000000000000004">
      <c r="A21" s="6" t="s">
        <v>1106</v>
      </c>
      <c r="B21" s="6">
        <v>0.72761809719568671</v>
      </c>
      <c r="C21" s="6">
        <v>0.72914930543914036</v>
      </c>
      <c r="D21" s="6">
        <v>0.867950556199373</v>
      </c>
      <c r="E21" s="6">
        <v>0.73853294256384494</v>
      </c>
      <c r="F21" s="6">
        <v>0.73299016204356793</v>
      </c>
    </row>
    <row r="22" spans="1:6" x14ac:dyDescent="0.55000000000000004">
      <c r="A22" s="6" t="s">
        <v>1097</v>
      </c>
      <c r="B22" s="6">
        <v>0.76380758427488893</v>
      </c>
      <c r="C22" s="6">
        <v>0.78863390453123905</v>
      </c>
      <c r="D22" s="6">
        <v>0.7948118246990532</v>
      </c>
      <c r="E22" s="6">
        <v>0.85577787419824347</v>
      </c>
      <c r="F22" s="6">
        <v>0.78979552175931067</v>
      </c>
    </row>
    <row r="23" spans="1:6" x14ac:dyDescent="0.55000000000000004">
      <c r="A23" s="6"/>
      <c r="B23" s="6"/>
      <c r="C23" s="6"/>
      <c r="D23" s="6"/>
      <c r="E23" s="6"/>
      <c r="F23" s="6"/>
    </row>
    <row r="24" spans="1:6" x14ac:dyDescent="0.55000000000000004">
      <c r="A24" s="6" t="s">
        <v>558</v>
      </c>
      <c r="B24" s="6"/>
      <c r="C24" s="6"/>
      <c r="D24" s="6"/>
      <c r="E24" s="6"/>
      <c r="F24" s="6"/>
    </row>
    <row r="25" spans="1:6" x14ac:dyDescent="0.55000000000000004">
      <c r="A25" s="6"/>
      <c r="B25" s="6" t="s">
        <v>554</v>
      </c>
      <c r="C25" s="6" t="s">
        <v>322</v>
      </c>
      <c r="D25" s="6" t="s">
        <v>555</v>
      </c>
      <c r="E25" s="6" t="s">
        <v>556</v>
      </c>
      <c r="F25" s="6" t="s">
        <v>560</v>
      </c>
    </row>
    <row r="26" spans="1:6" x14ac:dyDescent="0.55000000000000004">
      <c r="A26" s="6" t="s">
        <v>561</v>
      </c>
      <c r="B26" s="6">
        <v>0.17310878104399968</v>
      </c>
      <c r="C26" s="6">
        <v>0.15940714090055191</v>
      </c>
      <c r="D26" s="6">
        <v>0.22532778260060521</v>
      </c>
      <c r="E26" s="6">
        <v>0.13017865657977745</v>
      </c>
      <c r="F26" s="6">
        <v>0.16417555000595355</v>
      </c>
    </row>
    <row r="27" spans="1:6" x14ac:dyDescent="0.55000000000000004">
      <c r="A27" s="6" t="s">
        <v>1106</v>
      </c>
      <c r="B27" s="6">
        <v>0.16572869189524167</v>
      </c>
      <c r="C27" s="6">
        <v>0.1570735539375267</v>
      </c>
      <c r="D27" s="6">
        <v>8.1406160108840664E-2</v>
      </c>
      <c r="E27" s="6">
        <v>0.15679004829981241</v>
      </c>
      <c r="F27" s="6">
        <v>0.15855199969634354</v>
      </c>
    </row>
    <row r="28" spans="1:6" x14ac:dyDescent="0.55000000000000004">
      <c r="A28" s="6" t="s">
        <v>1097</v>
      </c>
      <c r="B28" s="6">
        <v>0.10633726147482654</v>
      </c>
      <c r="C28" s="6">
        <v>8.4358637130423339E-2</v>
      </c>
      <c r="D28" s="6">
        <v>0.13487941292067723</v>
      </c>
      <c r="E28" s="6">
        <v>7.4303544782237746E-2</v>
      </c>
      <c r="F28" s="6">
        <v>9.370290380500694E-2</v>
      </c>
    </row>
    <row r="29" spans="1:6" x14ac:dyDescent="0.55000000000000004">
      <c r="A29" s="6"/>
      <c r="B29" s="6"/>
      <c r="C29" s="6"/>
      <c r="D29" s="6"/>
      <c r="E29" s="6"/>
      <c r="F29" s="6"/>
    </row>
    <row r="30" spans="1:6" x14ac:dyDescent="0.55000000000000004">
      <c r="A30" s="6" t="s">
        <v>562</v>
      </c>
      <c r="B30" s="6"/>
      <c r="C30" s="6"/>
      <c r="D30" s="6"/>
      <c r="E30" s="6"/>
      <c r="F30" s="6"/>
    </row>
    <row r="31" spans="1:6" x14ac:dyDescent="0.55000000000000004">
      <c r="A31" s="6"/>
      <c r="B31" s="6" t="s">
        <v>554</v>
      </c>
      <c r="C31" s="6" t="s">
        <v>322</v>
      </c>
      <c r="D31" s="6" t="s">
        <v>555</v>
      </c>
      <c r="E31" s="6" t="s">
        <v>556</v>
      </c>
      <c r="F31" s="6" t="s">
        <v>560</v>
      </c>
    </row>
    <row r="32" spans="1:6" x14ac:dyDescent="0.55000000000000004">
      <c r="A32" s="6" t="s">
        <v>561</v>
      </c>
      <c r="B32" s="8" t="str">
        <f>ROUND(B20,2) &amp; " ±
" &amp; ROUND(B26,2)</f>
        <v>0.64 ±
0.17</v>
      </c>
      <c r="C32" s="8" t="str">
        <f t="shared" ref="C32:F32" si="1">ROUND(C20,2) &amp; " ±
" &amp; ROUND(C26,2)</f>
        <v>0.6 ±
0.16</v>
      </c>
      <c r="D32" s="8" t="str">
        <f t="shared" si="1"/>
        <v>0.68 ±
0.23</v>
      </c>
      <c r="E32" s="8" t="str">
        <f t="shared" si="1"/>
        <v>0.7 ±
0.13</v>
      </c>
      <c r="F32" s="8" t="str">
        <f t="shared" si="1"/>
        <v>0.62 ±
0.16</v>
      </c>
    </row>
    <row r="33" spans="1:6" x14ac:dyDescent="0.55000000000000004">
      <c r="A33" s="6" t="s">
        <v>1106</v>
      </c>
      <c r="B33" s="6" t="str">
        <f>ROUND(B21,2) &amp; " ±
" &amp; ROUND(B27,2)</f>
        <v>0.73 ±
0.17</v>
      </c>
      <c r="C33" s="6" t="str">
        <f t="shared" ref="C33:F34" si="2">ROUND(C21,2) &amp; " ±
" &amp; ROUND(C27,2)</f>
        <v>0.73 ±
0.16</v>
      </c>
      <c r="D33" s="6" t="str">
        <f t="shared" si="2"/>
        <v>0.87 ±
0.08</v>
      </c>
      <c r="E33" s="6" t="str">
        <f t="shared" si="2"/>
        <v>0.74 ±
0.16</v>
      </c>
      <c r="F33" s="6" t="str">
        <f t="shared" si="2"/>
        <v>0.73 ±
0.16</v>
      </c>
    </row>
    <row r="34" spans="1:6" x14ac:dyDescent="0.55000000000000004">
      <c r="A34" s="6" t="s">
        <v>1097</v>
      </c>
      <c r="B34" s="6" t="str">
        <f>ROUND(B22,2) &amp; " ±
" &amp; ROUND(B28,2)</f>
        <v>0.76 ±
0.11</v>
      </c>
      <c r="C34" s="6" t="str">
        <f t="shared" si="2"/>
        <v>0.79 ±
0.08</v>
      </c>
      <c r="D34" s="6" t="str">
        <f t="shared" si="2"/>
        <v>0.79 ±
0.13</v>
      </c>
      <c r="E34" s="6" t="str">
        <f t="shared" si="2"/>
        <v>0.86 ±
0.07</v>
      </c>
      <c r="F34" s="6" t="str">
        <f t="shared" si="2"/>
        <v>0.79 ±
0.09</v>
      </c>
    </row>
    <row r="35" spans="1:6" x14ac:dyDescent="0.55000000000000004">
      <c r="A35" s="6"/>
      <c r="B35" s="6"/>
      <c r="C35" s="6"/>
      <c r="D35" s="6"/>
      <c r="E35" s="6"/>
      <c r="F35" s="6"/>
    </row>
    <row r="36" spans="1:6" x14ac:dyDescent="0.55000000000000004">
      <c r="A36" s="7" t="s">
        <v>1108</v>
      </c>
      <c r="B36" s="6"/>
      <c r="C36" s="6"/>
      <c r="D36" s="6"/>
      <c r="E36" s="6"/>
      <c r="F36" s="6"/>
    </row>
    <row r="37" spans="1:6" x14ac:dyDescent="0.55000000000000004">
      <c r="A37" s="6" t="s">
        <v>559</v>
      </c>
      <c r="B37" s="6"/>
      <c r="C37" s="6"/>
      <c r="D37" s="6"/>
      <c r="E37" s="6"/>
      <c r="F37" s="6"/>
    </row>
    <row r="38" spans="1:6" x14ac:dyDescent="0.55000000000000004">
      <c r="A38" s="6"/>
      <c r="B38" s="6" t="s">
        <v>554</v>
      </c>
      <c r="C38" s="6" t="s">
        <v>322</v>
      </c>
      <c r="D38" s="6" t="s">
        <v>555</v>
      </c>
      <c r="E38" s="6" t="s">
        <v>556</v>
      </c>
      <c r="F38" s="6" t="s">
        <v>560</v>
      </c>
    </row>
    <row r="39" spans="1:6" x14ac:dyDescent="0.55000000000000004">
      <c r="A39" s="6" t="s">
        <v>561</v>
      </c>
      <c r="B39" s="6">
        <v>0.36791619312085111</v>
      </c>
      <c r="C39" s="6">
        <v>0.36013238169759076</v>
      </c>
      <c r="D39" s="6">
        <v>0.31170804109929917</v>
      </c>
      <c r="E39" s="6">
        <v>0.34131168466268363</v>
      </c>
      <c r="F39" s="6">
        <v>0.36015252050215696</v>
      </c>
    </row>
    <row r="40" spans="1:6" x14ac:dyDescent="0.55000000000000004">
      <c r="A40" s="6" t="s">
        <v>1106</v>
      </c>
      <c r="B40" s="6">
        <v>0.36650963372879236</v>
      </c>
      <c r="C40" s="6">
        <v>0.35050717329751779</v>
      </c>
      <c r="D40" s="6">
        <v>0.34278338819459997</v>
      </c>
      <c r="E40" s="6">
        <v>0.35918124898496878</v>
      </c>
      <c r="F40" s="6">
        <v>0.35816697256404934</v>
      </c>
    </row>
    <row r="41" spans="1:6" x14ac:dyDescent="0.55000000000000004">
      <c r="A41" s="6"/>
      <c r="B41" s="6"/>
      <c r="C41" s="6"/>
      <c r="D41" s="6"/>
      <c r="E41" s="6"/>
      <c r="F41" s="6"/>
    </row>
    <row r="42" spans="1:6" x14ac:dyDescent="0.55000000000000004">
      <c r="A42" s="6" t="s">
        <v>558</v>
      </c>
      <c r="B42" s="6"/>
      <c r="C42" s="6"/>
      <c r="D42" s="6"/>
      <c r="E42" s="6"/>
      <c r="F42" s="6"/>
    </row>
    <row r="43" spans="1:6" x14ac:dyDescent="0.55000000000000004">
      <c r="A43" s="6"/>
      <c r="B43" s="6" t="s">
        <v>554</v>
      </c>
      <c r="C43" s="6" t="s">
        <v>322</v>
      </c>
      <c r="D43" s="6" t="s">
        <v>555</v>
      </c>
      <c r="E43" s="6" t="s">
        <v>556</v>
      </c>
      <c r="F43" s="6" t="s">
        <v>560</v>
      </c>
    </row>
    <row r="44" spans="1:6" x14ac:dyDescent="0.55000000000000004">
      <c r="A44" s="6" t="s">
        <v>561</v>
      </c>
      <c r="B44" s="6">
        <v>0.17747649667926368</v>
      </c>
      <c r="C44" s="6">
        <v>0.16380365267130162</v>
      </c>
      <c r="D44" s="6">
        <v>0.17797226408847022</v>
      </c>
      <c r="E44" s="6">
        <v>0.18414605421332578</v>
      </c>
      <c r="F44" s="6">
        <v>0.17237025684385238</v>
      </c>
    </row>
    <row r="45" spans="1:6" x14ac:dyDescent="0.55000000000000004">
      <c r="A45" s="6" t="s">
        <v>1106</v>
      </c>
      <c r="B45" s="6">
        <v>8.8102649249976295E-2</v>
      </c>
      <c r="C45" s="6">
        <v>9.1147661612675651E-2</v>
      </c>
      <c r="D45" s="6">
        <v>7.9350454450008656E-2</v>
      </c>
      <c r="E45" s="6">
        <v>0.10566107146809087</v>
      </c>
      <c r="F45" s="6">
        <v>9.0893733680692659E-2</v>
      </c>
    </row>
    <row r="46" spans="1:6" x14ac:dyDescent="0.55000000000000004">
      <c r="A46" s="6"/>
      <c r="B46" s="6"/>
      <c r="C46" s="6"/>
      <c r="D46" s="6"/>
      <c r="E46" s="6"/>
      <c r="F46" s="6"/>
    </row>
    <row r="47" spans="1:6" x14ac:dyDescent="0.55000000000000004">
      <c r="A47" s="6" t="s">
        <v>562</v>
      </c>
      <c r="B47" s="6"/>
      <c r="C47" s="6"/>
      <c r="D47" s="6"/>
      <c r="E47" s="6"/>
      <c r="F47" s="6"/>
    </row>
    <row r="48" spans="1:6" x14ac:dyDescent="0.55000000000000004">
      <c r="A48" s="6"/>
      <c r="B48" s="6" t="s">
        <v>554</v>
      </c>
      <c r="C48" s="6" t="s">
        <v>322</v>
      </c>
      <c r="D48" s="6" t="s">
        <v>555</v>
      </c>
      <c r="E48" s="6" t="s">
        <v>556</v>
      </c>
      <c r="F48" s="6" t="s">
        <v>560</v>
      </c>
    </row>
    <row r="49" spans="1:6" x14ac:dyDescent="0.55000000000000004">
      <c r="A49" s="6" t="s">
        <v>561</v>
      </c>
      <c r="B49" s="8" t="str">
        <f t="shared" ref="B49:F50" si="3">ROUND(B39,2) &amp; " ±
" &amp; ROUND(B44,2)</f>
        <v>0.37 ±
0.18</v>
      </c>
      <c r="C49" s="8" t="str">
        <f t="shared" si="3"/>
        <v>0.36 ±
0.16</v>
      </c>
      <c r="D49" s="8" t="str">
        <f t="shared" si="3"/>
        <v>0.31 ±
0.18</v>
      </c>
      <c r="E49" s="8" t="str">
        <f t="shared" si="3"/>
        <v>0.34 ±
0.18</v>
      </c>
      <c r="F49" s="8" t="str">
        <f t="shared" si="3"/>
        <v>0.36 ±
0.17</v>
      </c>
    </row>
    <row r="50" spans="1:6" x14ac:dyDescent="0.55000000000000004">
      <c r="A50" s="6" t="s">
        <v>1106</v>
      </c>
      <c r="B50" s="6" t="str">
        <f t="shared" si="3"/>
        <v>0.37 ±
0.09</v>
      </c>
      <c r="C50" s="6" t="str">
        <f t="shared" si="3"/>
        <v>0.35 ±
0.09</v>
      </c>
      <c r="D50" s="6" t="str">
        <f t="shared" si="3"/>
        <v>0.34 ±
0.08</v>
      </c>
      <c r="E50" s="6" t="str">
        <f t="shared" si="3"/>
        <v>0.36 ±
0.11</v>
      </c>
      <c r="F50" s="6" t="str">
        <f t="shared" si="3"/>
        <v>0.36 ±
0.09</v>
      </c>
    </row>
    <row r="51" spans="1:6" x14ac:dyDescent="0.55000000000000004">
      <c r="A51" s="6"/>
      <c r="B51" s="6"/>
      <c r="C51" s="6"/>
      <c r="D51" s="6"/>
      <c r="E51" s="6"/>
      <c r="F51" s="6"/>
    </row>
    <row r="52" spans="1:6" x14ac:dyDescent="0.55000000000000004">
      <c r="A52" s="7" t="s">
        <v>1109</v>
      </c>
      <c r="B52" s="6"/>
      <c r="C52" s="6"/>
      <c r="D52" s="6"/>
      <c r="E52" s="6"/>
      <c r="F52" s="6"/>
    </row>
    <row r="53" spans="1:6" x14ac:dyDescent="0.55000000000000004">
      <c r="A53" s="6" t="s">
        <v>559</v>
      </c>
      <c r="B53" s="6"/>
      <c r="C53" s="6"/>
      <c r="D53" s="6"/>
      <c r="E53" s="6"/>
      <c r="F53" s="6"/>
    </row>
    <row r="54" spans="1:6" x14ac:dyDescent="0.55000000000000004">
      <c r="A54" s="6"/>
      <c r="B54" s="6" t="s">
        <v>554</v>
      </c>
      <c r="C54" s="6" t="s">
        <v>322</v>
      </c>
      <c r="D54" s="6" t="s">
        <v>555</v>
      </c>
      <c r="E54" s="6" t="s">
        <v>556</v>
      </c>
      <c r="F54" s="6" t="s">
        <v>560</v>
      </c>
    </row>
    <row r="55" spans="1:6" x14ac:dyDescent="0.55000000000000004">
      <c r="A55" s="6" t="s">
        <v>561</v>
      </c>
      <c r="B55" s="6">
        <v>0.26732963316617531</v>
      </c>
      <c r="C55" s="6">
        <v>0.23980412219821531</v>
      </c>
      <c r="D55" s="6">
        <v>0.17276361986660047</v>
      </c>
      <c r="E55" s="6">
        <v>0.26803268445463568</v>
      </c>
      <c r="F55" s="6">
        <v>0.24848482080052753</v>
      </c>
    </row>
    <row r="56" spans="1:6" x14ac:dyDescent="0.55000000000000004">
      <c r="A56" s="6" t="s">
        <v>1106</v>
      </c>
      <c r="B56" s="6">
        <v>0.58153378806498612</v>
      </c>
      <c r="C56" s="6">
        <v>0.56734116884971908</v>
      </c>
      <c r="D56" s="6">
        <v>0.45732296914995763</v>
      </c>
      <c r="E56" s="6">
        <v>0.6268749833397792</v>
      </c>
      <c r="F56" s="6">
        <v>0.57505318371293401</v>
      </c>
    </row>
    <row r="57" spans="1:6" x14ac:dyDescent="0.55000000000000004">
      <c r="A57" s="6" t="s">
        <v>1097</v>
      </c>
      <c r="B57" s="6">
        <v>0.41938025836501852</v>
      </c>
      <c r="C57" s="6">
        <v>0.40980499876486404</v>
      </c>
      <c r="D57" s="6">
        <v>0.32362388885505028</v>
      </c>
      <c r="E57" s="6">
        <v>0.42690632975906451</v>
      </c>
      <c r="F57" s="6">
        <v>0.41218168508707798</v>
      </c>
    </row>
    <row r="58" spans="1:6" x14ac:dyDescent="0.55000000000000004">
      <c r="A58" s="6"/>
      <c r="B58" s="6"/>
      <c r="C58" s="6"/>
      <c r="D58" s="6"/>
      <c r="E58" s="6"/>
      <c r="F58" s="6"/>
    </row>
    <row r="59" spans="1:6" x14ac:dyDescent="0.55000000000000004">
      <c r="A59" s="6" t="s">
        <v>558</v>
      </c>
      <c r="B59" s="6"/>
      <c r="C59" s="6"/>
      <c r="D59" s="6"/>
      <c r="E59" s="6"/>
      <c r="F59" s="6"/>
    </row>
    <row r="60" spans="1:6" x14ac:dyDescent="0.55000000000000004">
      <c r="A60" s="6"/>
      <c r="B60" s="6" t="s">
        <v>554</v>
      </c>
      <c r="C60" s="6" t="s">
        <v>322</v>
      </c>
      <c r="D60" s="6" t="s">
        <v>555</v>
      </c>
      <c r="E60" s="6" t="s">
        <v>556</v>
      </c>
      <c r="F60" s="6" t="s">
        <v>560</v>
      </c>
    </row>
    <row r="61" spans="1:6" x14ac:dyDescent="0.55000000000000004">
      <c r="A61" s="6" t="s">
        <v>561</v>
      </c>
      <c r="B61" s="6">
        <v>0.10205047094154079</v>
      </c>
      <c r="C61" s="6">
        <v>0.10431763000555701</v>
      </c>
      <c r="D61" s="6">
        <v>7.9154373584714874E-2</v>
      </c>
      <c r="E61" s="6">
        <v>9.5913507166466877E-2</v>
      </c>
      <c r="F61" s="6">
        <v>0.10324977728094517</v>
      </c>
    </row>
    <row r="62" spans="1:6" x14ac:dyDescent="0.55000000000000004">
      <c r="A62" s="6" t="s">
        <v>1106</v>
      </c>
      <c r="B62" s="6">
        <v>0.13279699065901884</v>
      </c>
      <c r="C62" s="6">
        <v>0.15739636397209991</v>
      </c>
      <c r="D62" s="6">
        <v>0.15042704898272194</v>
      </c>
      <c r="E62" s="6">
        <v>0.17340931514800792</v>
      </c>
      <c r="F62" s="6">
        <v>0.15428102129629545</v>
      </c>
    </row>
    <row r="63" spans="1:6" x14ac:dyDescent="0.55000000000000004">
      <c r="A63" s="6" t="s">
        <v>1097</v>
      </c>
      <c r="B63" s="6">
        <v>9.5356187107786594E-2</v>
      </c>
      <c r="C63" s="6">
        <v>8.7715882647443857E-2</v>
      </c>
      <c r="D63" s="6">
        <v>7.1731285657091248E-2</v>
      </c>
      <c r="E63" s="6">
        <v>9.3906650476162812E-2</v>
      </c>
      <c r="F63" s="6">
        <v>9.0765715264018804E-2</v>
      </c>
    </row>
    <row r="64" spans="1:6" x14ac:dyDescent="0.55000000000000004">
      <c r="A64" s="6"/>
      <c r="B64" s="6"/>
      <c r="C64" s="6"/>
      <c r="D64" s="6"/>
      <c r="E64" s="6"/>
      <c r="F64" s="6"/>
    </row>
    <row r="65" spans="1:6" x14ac:dyDescent="0.55000000000000004">
      <c r="A65" s="6" t="s">
        <v>562</v>
      </c>
      <c r="B65" s="6"/>
      <c r="C65" s="6"/>
      <c r="D65" s="6"/>
      <c r="E65" s="6"/>
      <c r="F65" s="6"/>
    </row>
    <row r="66" spans="1:6" x14ac:dyDescent="0.55000000000000004">
      <c r="A66" s="6"/>
      <c r="B66" s="6" t="s">
        <v>554</v>
      </c>
      <c r="C66" s="6" t="s">
        <v>322</v>
      </c>
      <c r="D66" s="6" t="s">
        <v>555</v>
      </c>
      <c r="E66" s="6" t="s">
        <v>556</v>
      </c>
      <c r="F66" s="6" t="s">
        <v>560</v>
      </c>
    </row>
    <row r="67" spans="1:6" x14ac:dyDescent="0.55000000000000004">
      <c r="A67" s="6" t="s">
        <v>561</v>
      </c>
      <c r="B67" s="8" t="str">
        <f>ROUND(B55,2) &amp; " ±
" &amp; ROUND(B61,2)</f>
        <v>0.27 ±
0.1</v>
      </c>
      <c r="C67" s="8" t="str">
        <f t="shared" ref="C67:F67" si="4">ROUND(C55,2) &amp; " ±
" &amp; ROUND(C61,2)</f>
        <v>0.24 ±
0.1</v>
      </c>
      <c r="D67" s="8" t="str">
        <f t="shared" si="4"/>
        <v>0.17 ±
0.08</v>
      </c>
      <c r="E67" s="8" t="str">
        <f t="shared" si="4"/>
        <v>0.27 ±
0.1</v>
      </c>
      <c r="F67" s="8" t="str">
        <f t="shared" si="4"/>
        <v>0.25 ±
0.1</v>
      </c>
    </row>
    <row r="68" spans="1:6" x14ac:dyDescent="0.55000000000000004">
      <c r="A68" s="6" t="s">
        <v>1106</v>
      </c>
      <c r="B68" s="6" t="str">
        <f>ROUND(B56,2) &amp; " ±
" &amp; ROUND(B62,2)</f>
        <v>0.58 ±
0.13</v>
      </c>
      <c r="C68" s="6" t="str">
        <f t="shared" ref="C68:F69" si="5">ROUND(C56,2) &amp; " ±
" &amp; ROUND(C62,2)</f>
        <v>0.57 ±
0.16</v>
      </c>
      <c r="D68" s="6" t="str">
        <f t="shared" si="5"/>
        <v>0.46 ±
0.15</v>
      </c>
      <c r="E68" s="6" t="str">
        <f t="shared" si="5"/>
        <v>0.63 ±
0.17</v>
      </c>
      <c r="F68" s="6" t="str">
        <f t="shared" si="5"/>
        <v>0.58 ±
0.15</v>
      </c>
    </row>
    <row r="69" spans="1:6" x14ac:dyDescent="0.55000000000000004">
      <c r="A69" s="6" t="s">
        <v>1097</v>
      </c>
      <c r="B69" s="6" t="str">
        <f>ROUND(B57,2) &amp; " ±
" &amp; ROUND(B63,2)</f>
        <v>0.42 ±
0.1</v>
      </c>
      <c r="C69" s="6" t="str">
        <f t="shared" si="5"/>
        <v>0.41 ±
0.09</v>
      </c>
      <c r="D69" s="6" t="str">
        <f t="shared" si="5"/>
        <v>0.32 ±
0.07</v>
      </c>
      <c r="E69" s="6" t="str">
        <f t="shared" si="5"/>
        <v>0.43 ±
0.09</v>
      </c>
      <c r="F69" s="6" t="str">
        <f t="shared" si="5"/>
        <v>0.41 ±
0.09</v>
      </c>
    </row>
    <row r="70" spans="1:6" x14ac:dyDescent="0.55000000000000004">
      <c r="A70" s="6"/>
      <c r="B70" s="6"/>
      <c r="C70" s="6"/>
      <c r="D70" s="6"/>
      <c r="E70" s="6"/>
      <c r="F70" s="6"/>
    </row>
    <row r="71" spans="1:6" x14ac:dyDescent="0.55000000000000004">
      <c r="A71" s="7" t="s">
        <v>1110</v>
      </c>
      <c r="B71" s="6"/>
      <c r="C71" s="6"/>
      <c r="D71" s="6"/>
      <c r="E71" s="6"/>
      <c r="F71" s="6"/>
    </row>
    <row r="72" spans="1:6" x14ac:dyDescent="0.55000000000000004">
      <c r="A72" s="6" t="s">
        <v>559</v>
      </c>
      <c r="B72" s="6"/>
      <c r="C72" s="6"/>
      <c r="D72" s="6"/>
      <c r="E72" s="6"/>
      <c r="F72" s="6"/>
    </row>
    <row r="73" spans="1:6" x14ac:dyDescent="0.55000000000000004">
      <c r="A73" s="6"/>
      <c r="B73" s="6" t="s">
        <v>554</v>
      </c>
      <c r="C73" s="6" t="s">
        <v>322</v>
      </c>
      <c r="D73" s="6" t="s">
        <v>555</v>
      </c>
      <c r="E73" s="6" t="s">
        <v>556</v>
      </c>
      <c r="F73" s="6" t="s">
        <v>560</v>
      </c>
    </row>
    <row r="74" spans="1:6" x14ac:dyDescent="0.55000000000000004">
      <c r="A74" s="6" t="s">
        <v>561</v>
      </c>
      <c r="B74" s="6">
        <v>0.48197527905766813</v>
      </c>
      <c r="C74" s="6">
        <v>0.50659394953655101</v>
      </c>
      <c r="D74" s="6">
        <v>0.44727250566196847</v>
      </c>
      <c r="E74" s="6">
        <v>0.46004067004371157</v>
      </c>
      <c r="F74" s="6">
        <v>0.48921462697065432</v>
      </c>
    </row>
    <row r="75" spans="1:6" x14ac:dyDescent="0.55000000000000004">
      <c r="A75" s="6" t="s">
        <v>1106</v>
      </c>
      <c r="B75" s="6">
        <v>0.3093360267151346</v>
      </c>
      <c r="C75" s="6">
        <v>0.32662568701620259</v>
      </c>
      <c r="D75" s="6">
        <v>0.30413396706596024</v>
      </c>
      <c r="E75" s="6">
        <v>0.36902471270535336</v>
      </c>
      <c r="F75" s="6">
        <v>0.32181330827665222</v>
      </c>
    </row>
    <row r="76" spans="1:6" x14ac:dyDescent="0.55000000000000004">
      <c r="A76" s="6"/>
      <c r="B76" s="6"/>
      <c r="C76" s="6"/>
      <c r="D76" s="6"/>
      <c r="E76" s="6"/>
      <c r="F76" s="6"/>
    </row>
    <row r="77" spans="1:6" x14ac:dyDescent="0.55000000000000004">
      <c r="A77" s="6" t="s">
        <v>558</v>
      </c>
      <c r="B77" s="6"/>
      <c r="C77" s="6"/>
      <c r="D77" s="6"/>
      <c r="E77" s="6"/>
      <c r="F77" s="6"/>
    </row>
    <row r="78" spans="1:6" x14ac:dyDescent="0.55000000000000004">
      <c r="A78" s="6"/>
      <c r="B78" s="6" t="s">
        <v>554</v>
      </c>
      <c r="C78" s="6" t="s">
        <v>322</v>
      </c>
      <c r="D78" s="6" t="s">
        <v>555</v>
      </c>
      <c r="E78" s="6" t="s">
        <v>556</v>
      </c>
      <c r="F78" s="6" t="s">
        <v>560</v>
      </c>
    </row>
    <row r="79" spans="1:6" x14ac:dyDescent="0.55000000000000004">
      <c r="A79" s="6" t="s">
        <v>561</v>
      </c>
      <c r="B79" s="6">
        <v>0.13690347349859014</v>
      </c>
      <c r="C79" s="6">
        <v>0.14250087750633014</v>
      </c>
      <c r="D79" s="6">
        <v>0.1241030251735486</v>
      </c>
      <c r="E79" s="6">
        <v>0.17413263558048531</v>
      </c>
      <c r="F79" s="6">
        <v>0.14314064006490324</v>
      </c>
    </row>
    <row r="80" spans="1:6" x14ac:dyDescent="0.55000000000000004">
      <c r="A80" s="6" t="s">
        <v>1106</v>
      </c>
      <c r="B80" s="6">
        <v>0.11307643602559167</v>
      </c>
      <c r="C80" s="6">
        <v>0.11994233374950858</v>
      </c>
      <c r="D80" s="6">
        <v>0.13391386274777742</v>
      </c>
      <c r="E80" s="6">
        <v>0.11344019213023843</v>
      </c>
      <c r="F80" s="6">
        <v>0.11780671189139669</v>
      </c>
    </row>
    <row r="81" spans="1:6" x14ac:dyDescent="0.55000000000000004">
      <c r="A81" s="6"/>
      <c r="B81" s="6"/>
      <c r="C81" s="6"/>
      <c r="D81" s="6"/>
      <c r="E81" s="6"/>
      <c r="F81" s="6"/>
    </row>
    <row r="82" spans="1:6" x14ac:dyDescent="0.55000000000000004">
      <c r="A82" s="6" t="s">
        <v>562</v>
      </c>
      <c r="B82" s="6"/>
      <c r="C82" s="6"/>
      <c r="D82" s="6"/>
      <c r="E82" s="6"/>
      <c r="F82" s="6"/>
    </row>
    <row r="83" spans="1:6" x14ac:dyDescent="0.55000000000000004">
      <c r="A83" s="6"/>
      <c r="B83" s="6" t="s">
        <v>554</v>
      </c>
      <c r="C83" s="6" t="s">
        <v>322</v>
      </c>
      <c r="D83" s="6" t="s">
        <v>555</v>
      </c>
      <c r="E83" s="6" t="s">
        <v>556</v>
      </c>
      <c r="F83" s="6" t="s">
        <v>560</v>
      </c>
    </row>
    <row r="84" spans="1:6" x14ac:dyDescent="0.55000000000000004">
      <c r="A84" s="6" t="s">
        <v>561</v>
      </c>
      <c r="B84" s="8" t="str">
        <f t="shared" ref="B84:F85" si="6">ROUND(B74,2) &amp; " ±
" &amp; ROUND(B79,2)</f>
        <v>0.48 ±
0.14</v>
      </c>
      <c r="C84" s="8" t="str">
        <f t="shared" si="6"/>
        <v>0.51 ±
0.14</v>
      </c>
      <c r="D84" s="8" t="str">
        <f t="shared" si="6"/>
        <v>0.45 ±
0.12</v>
      </c>
      <c r="E84" s="8" t="str">
        <f t="shared" si="6"/>
        <v>0.46 ±
0.17</v>
      </c>
      <c r="F84" s="8" t="str">
        <f t="shared" si="6"/>
        <v>0.49 ±
0.14</v>
      </c>
    </row>
    <row r="85" spans="1:6" x14ac:dyDescent="0.55000000000000004">
      <c r="A85" s="6" t="s">
        <v>1106</v>
      </c>
      <c r="B85" s="6" t="str">
        <f t="shared" si="6"/>
        <v>0.31 ±
0.11</v>
      </c>
      <c r="C85" s="6" t="str">
        <f t="shared" si="6"/>
        <v>0.33 ±
0.12</v>
      </c>
      <c r="D85" s="6" t="str">
        <f t="shared" si="6"/>
        <v>0.3 ±
0.13</v>
      </c>
      <c r="E85" s="6" t="str">
        <f t="shared" si="6"/>
        <v>0.37 ±
0.11</v>
      </c>
      <c r="F85" s="6" t="str">
        <f t="shared" si="6"/>
        <v>0.32 ±
0.12</v>
      </c>
    </row>
    <row r="86" spans="1:6" x14ac:dyDescent="0.55000000000000004">
      <c r="A86" s="6"/>
      <c r="B86" s="6"/>
      <c r="C86" s="6"/>
      <c r="D86" s="6"/>
      <c r="E86" s="6"/>
      <c r="F86" s="6"/>
    </row>
    <row r="87" spans="1:6" x14ac:dyDescent="0.55000000000000004">
      <c r="A87" s="7" t="s">
        <v>1111</v>
      </c>
      <c r="B87" s="6"/>
      <c r="C87" s="6"/>
      <c r="D87" s="6"/>
      <c r="E87" s="6"/>
      <c r="F87" s="6"/>
    </row>
    <row r="88" spans="1:6" x14ac:dyDescent="0.55000000000000004">
      <c r="A88" s="6" t="s">
        <v>559</v>
      </c>
      <c r="B88" s="6"/>
      <c r="C88" s="6"/>
      <c r="D88" s="6"/>
      <c r="E88" s="6"/>
      <c r="F88" s="6"/>
    </row>
    <row r="89" spans="1:6" x14ac:dyDescent="0.55000000000000004">
      <c r="A89" s="6"/>
      <c r="B89" s="6" t="s">
        <v>554</v>
      </c>
      <c r="C89" s="6" t="s">
        <v>322</v>
      </c>
      <c r="D89" s="6" t="s">
        <v>555</v>
      </c>
      <c r="E89" s="6" t="s">
        <v>556</v>
      </c>
      <c r="F89" s="6" t="s">
        <v>560</v>
      </c>
    </row>
    <row r="90" spans="1:6" x14ac:dyDescent="0.55000000000000004">
      <c r="A90" s="6" t="s">
        <v>561</v>
      </c>
      <c r="B90" s="6">
        <v>0.84839457611121105</v>
      </c>
      <c r="C90" s="6">
        <v>0.89297452978867375</v>
      </c>
      <c r="D90" s="6">
        <v>0.84717853774293217</v>
      </c>
      <c r="E90" s="6">
        <v>0.8077996923319839</v>
      </c>
      <c r="F90" s="6">
        <v>0.87099455990329511</v>
      </c>
    </row>
    <row r="91" spans="1:6" x14ac:dyDescent="0.55000000000000004">
      <c r="A91" s="6" t="s">
        <v>1106</v>
      </c>
      <c r="B91" s="6">
        <v>0.56445523805795883</v>
      </c>
      <c r="C91" s="6">
        <v>0.51753213661616659</v>
      </c>
      <c r="D91" s="6">
        <v>0.38706002894913338</v>
      </c>
      <c r="E91" s="6">
        <v>0.43643533987060473</v>
      </c>
      <c r="F91" s="6">
        <v>0.51766582334663525</v>
      </c>
    </row>
    <row r="92" spans="1:6" x14ac:dyDescent="0.55000000000000004">
      <c r="A92" s="6" t="s">
        <v>1097</v>
      </c>
      <c r="B92" s="6">
        <v>0.6826552416362528</v>
      </c>
      <c r="C92" s="6">
        <v>0.62901712816097755</v>
      </c>
      <c r="D92" s="6">
        <v>0.68158545588218988</v>
      </c>
      <c r="E92" s="6">
        <v>0.54582133866802318</v>
      </c>
      <c r="F92" s="6">
        <v>0.63486909611208608</v>
      </c>
    </row>
    <row r="93" spans="1:6" x14ac:dyDescent="0.55000000000000004">
      <c r="A93" s="6"/>
      <c r="B93" s="6"/>
      <c r="C93" s="6"/>
      <c r="D93" s="6"/>
      <c r="E93" s="6"/>
      <c r="F93" s="6"/>
    </row>
    <row r="94" spans="1:6" x14ac:dyDescent="0.55000000000000004">
      <c r="A94" s="6" t="s">
        <v>558</v>
      </c>
      <c r="B94" s="6"/>
      <c r="C94" s="6"/>
      <c r="D94" s="6"/>
      <c r="E94" s="6"/>
      <c r="F94" s="6"/>
    </row>
    <row r="95" spans="1:6" x14ac:dyDescent="0.55000000000000004">
      <c r="A95" s="6"/>
      <c r="B95" s="6" t="s">
        <v>554</v>
      </c>
      <c r="C95" s="6" t="s">
        <v>322</v>
      </c>
      <c r="D95" s="6" t="s">
        <v>555</v>
      </c>
      <c r="E95" s="6" t="s">
        <v>556</v>
      </c>
      <c r="F95" s="6" t="s">
        <v>560</v>
      </c>
    </row>
    <row r="96" spans="1:6" x14ac:dyDescent="0.55000000000000004">
      <c r="A96" s="6" t="s">
        <v>561</v>
      </c>
      <c r="B96" s="6">
        <v>0.12189000653824791</v>
      </c>
      <c r="C96" s="6">
        <v>6.1091260892942152E-2</v>
      </c>
      <c r="D96" s="6">
        <v>6.8730513852518896E-2</v>
      </c>
      <c r="E96" s="6">
        <v>0.10631755280436175</v>
      </c>
      <c r="F96" s="6">
        <v>9.0676109067247976E-2</v>
      </c>
    </row>
    <row r="97" spans="1:6" x14ac:dyDescent="0.55000000000000004">
      <c r="A97" s="6" t="s">
        <v>1106</v>
      </c>
      <c r="B97" s="6">
        <v>0.18575331132961603</v>
      </c>
      <c r="C97" s="6">
        <v>0.23670982016622219</v>
      </c>
      <c r="D97" s="6">
        <v>0.14005794966917115</v>
      </c>
      <c r="E97" s="6">
        <v>0.21938365593823306</v>
      </c>
      <c r="F97" s="6">
        <v>0.22349864360046309</v>
      </c>
    </row>
    <row r="98" spans="1:6" x14ac:dyDescent="0.55000000000000004">
      <c r="A98" s="6" t="s">
        <v>1097</v>
      </c>
      <c r="B98" s="6">
        <v>0.12394924568806552</v>
      </c>
      <c r="C98" s="6">
        <v>0.12425068168429737</v>
      </c>
      <c r="D98" s="6">
        <v>0.13482541729806921</v>
      </c>
      <c r="E98" s="6">
        <v>0.11302099379938182</v>
      </c>
      <c r="F98" s="6">
        <v>0.12851576851069083</v>
      </c>
    </row>
    <row r="99" spans="1:6" x14ac:dyDescent="0.55000000000000004">
      <c r="A99" s="6"/>
      <c r="B99" s="6"/>
      <c r="C99" s="6"/>
      <c r="D99" s="6"/>
      <c r="E99" s="6"/>
      <c r="F99" s="6"/>
    </row>
    <row r="100" spans="1:6" x14ac:dyDescent="0.55000000000000004">
      <c r="A100" s="6" t="s">
        <v>562</v>
      </c>
      <c r="B100" s="6"/>
      <c r="C100" s="6"/>
      <c r="D100" s="6"/>
      <c r="E100" s="6"/>
      <c r="F100" s="6"/>
    </row>
    <row r="101" spans="1:6" x14ac:dyDescent="0.55000000000000004">
      <c r="A101" s="6"/>
      <c r="B101" s="6" t="s">
        <v>554</v>
      </c>
      <c r="C101" s="6" t="s">
        <v>322</v>
      </c>
      <c r="D101" s="6" t="s">
        <v>555</v>
      </c>
      <c r="E101" s="6" t="s">
        <v>556</v>
      </c>
      <c r="F101" s="6" t="s">
        <v>560</v>
      </c>
    </row>
    <row r="102" spans="1:6" x14ac:dyDescent="0.55000000000000004">
      <c r="A102" s="6" t="s">
        <v>561</v>
      </c>
      <c r="B102" s="8" t="str">
        <f>ROUND(B90,2) &amp; " ±
" &amp; ROUND(B96,2)</f>
        <v>0.85 ±
0.12</v>
      </c>
      <c r="C102" s="8" t="str">
        <f t="shared" ref="C102:F102" si="7">ROUND(C90,2) &amp; " ±
" &amp; ROUND(C96,2)</f>
        <v>0.89 ±
0.06</v>
      </c>
      <c r="D102" s="8" t="str">
        <f t="shared" si="7"/>
        <v>0.85 ±
0.07</v>
      </c>
      <c r="E102" s="8" t="str">
        <f t="shared" si="7"/>
        <v>0.81 ±
0.11</v>
      </c>
      <c r="F102" s="8" t="str">
        <f t="shared" si="7"/>
        <v>0.87 ±
0.09</v>
      </c>
    </row>
    <row r="103" spans="1:6" x14ac:dyDescent="0.55000000000000004">
      <c r="A103" s="6" t="s">
        <v>1106</v>
      </c>
      <c r="B103" s="6" t="str">
        <f>ROUND(B91,2) &amp; " ±
" &amp; ROUND(B97,2)</f>
        <v>0.56 ±
0.19</v>
      </c>
      <c r="C103" s="6" t="str">
        <f t="shared" ref="C103:F104" si="8">ROUND(C91,2) &amp; " ±
" &amp; ROUND(C97,2)</f>
        <v>0.52 ±
0.24</v>
      </c>
      <c r="D103" s="6" t="str">
        <f t="shared" si="8"/>
        <v>0.39 ±
0.14</v>
      </c>
      <c r="E103" s="6" t="str">
        <f t="shared" si="8"/>
        <v>0.44 ±
0.22</v>
      </c>
      <c r="F103" s="6" t="str">
        <f t="shared" si="8"/>
        <v>0.52 ±
0.22</v>
      </c>
    </row>
    <row r="104" spans="1:6" x14ac:dyDescent="0.55000000000000004">
      <c r="A104" s="6" t="s">
        <v>1097</v>
      </c>
      <c r="B104" s="6" t="str">
        <f>ROUND(B92,2) &amp; " ±
" &amp; ROUND(B98,2)</f>
        <v>0.68 ±
0.12</v>
      </c>
      <c r="C104" s="6" t="str">
        <f t="shared" si="8"/>
        <v>0.63 ±
0.12</v>
      </c>
      <c r="D104" s="6" t="str">
        <f t="shared" si="8"/>
        <v>0.68 ±
0.13</v>
      </c>
      <c r="E104" s="6" t="str">
        <f t="shared" si="8"/>
        <v>0.55 ±
0.11</v>
      </c>
      <c r="F104" s="6" t="str">
        <f t="shared" si="8"/>
        <v>0.63 ±
0.13</v>
      </c>
    </row>
    <row r="105" spans="1:6" x14ac:dyDescent="0.55000000000000004">
      <c r="A105" s="6"/>
      <c r="B105" s="6"/>
      <c r="C105" s="6"/>
      <c r="D105" s="6"/>
      <c r="E105" s="6"/>
      <c r="F105" s="6"/>
    </row>
    <row r="106" spans="1:6" x14ac:dyDescent="0.55000000000000004">
      <c r="A106" s="7" t="s">
        <v>1112</v>
      </c>
      <c r="B106" s="6"/>
      <c r="C106" s="6"/>
      <c r="D106" s="6"/>
      <c r="E106" s="6"/>
      <c r="F106" s="6"/>
    </row>
    <row r="107" spans="1:6" x14ac:dyDescent="0.55000000000000004">
      <c r="A107" s="6" t="s">
        <v>559</v>
      </c>
      <c r="B107" s="6"/>
      <c r="C107" s="6"/>
      <c r="D107" s="6"/>
      <c r="E107" s="6"/>
      <c r="F107" s="6"/>
    </row>
    <row r="108" spans="1:6" x14ac:dyDescent="0.55000000000000004">
      <c r="A108" s="6"/>
      <c r="B108" s="6" t="s">
        <v>561</v>
      </c>
      <c r="C108" s="6" t="s">
        <v>1106</v>
      </c>
      <c r="D108" s="6"/>
      <c r="E108" s="6"/>
      <c r="F108" s="6"/>
    </row>
    <row r="109" spans="1:6" x14ac:dyDescent="0.55000000000000004">
      <c r="A109" s="6" t="s">
        <v>1098</v>
      </c>
      <c r="B109" s="11">
        <v>0.86853142445902431</v>
      </c>
      <c r="C109" s="11">
        <v>0.92716752361562327</v>
      </c>
      <c r="D109" s="6"/>
      <c r="E109" s="6"/>
      <c r="F109" s="6"/>
    </row>
    <row r="110" spans="1:6" x14ac:dyDescent="0.55000000000000004">
      <c r="A110" s="6" t="s">
        <v>1099</v>
      </c>
      <c r="B110" s="11">
        <v>0.36015252050215696</v>
      </c>
      <c r="C110" s="11">
        <v>0.35816697256404934</v>
      </c>
      <c r="D110" s="6"/>
      <c r="E110" s="6"/>
      <c r="F110" s="6"/>
    </row>
    <row r="111" spans="1:6" x14ac:dyDescent="0.55000000000000004">
      <c r="A111" s="6" t="s">
        <v>1100</v>
      </c>
      <c r="B111" s="11">
        <v>0.48921462697065432</v>
      </c>
      <c r="C111" s="11">
        <v>0.32181330827665222</v>
      </c>
      <c r="D111" s="6"/>
      <c r="E111" s="6"/>
      <c r="F111" s="6"/>
    </row>
    <row r="112" spans="1:6" x14ac:dyDescent="0.55000000000000004">
      <c r="A112" s="6"/>
      <c r="B112" s="11"/>
      <c r="C112" s="11"/>
      <c r="D112" s="6"/>
      <c r="E112" s="6"/>
      <c r="F112" s="6"/>
    </row>
    <row r="113" spans="1:6" x14ac:dyDescent="0.55000000000000004">
      <c r="A113" s="6" t="s">
        <v>1101</v>
      </c>
      <c r="B113" s="11"/>
      <c r="C113" s="11"/>
      <c r="D113" s="6"/>
      <c r="E113" s="6"/>
      <c r="F113" s="6"/>
    </row>
    <row r="114" spans="1:6" x14ac:dyDescent="0.55000000000000004">
      <c r="A114" s="6"/>
      <c r="B114" s="11" t="s">
        <v>561</v>
      </c>
      <c r="C114" s="11" t="s">
        <v>1106</v>
      </c>
      <c r="D114" s="6"/>
      <c r="E114" s="6"/>
      <c r="F114" s="6"/>
    </row>
    <row r="115" spans="1:6" x14ac:dyDescent="0.55000000000000004">
      <c r="A115" s="6" t="s">
        <v>1102</v>
      </c>
      <c r="B115" s="11">
        <v>0.10775458206802296</v>
      </c>
      <c r="C115" s="11">
        <v>4.4778154666493923E-2</v>
      </c>
      <c r="D115" s="6"/>
      <c r="E115" s="6"/>
      <c r="F115" s="6"/>
    </row>
    <row r="116" spans="1:6" x14ac:dyDescent="0.55000000000000004">
      <c r="A116" s="6" t="s">
        <v>1103</v>
      </c>
      <c r="B116" s="11">
        <v>0.17237025684385238</v>
      </c>
      <c r="C116" s="11">
        <v>9.0893733680692659E-2</v>
      </c>
      <c r="D116" s="6"/>
      <c r="E116" s="6"/>
      <c r="F116" s="6"/>
    </row>
    <row r="117" spans="1:6" x14ac:dyDescent="0.55000000000000004">
      <c r="A117" s="6" t="s">
        <v>1104</v>
      </c>
      <c r="B117" s="11">
        <v>0.14314064006490324</v>
      </c>
      <c r="C117" s="11">
        <v>0.11780671189139669</v>
      </c>
      <c r="D117" s="6"/>
      <c r="E117" s="6"/>
      <c r="F117" s="6"/>
    </row>
    <row r="118" spans="1:6" x14ac:dyDescent="0.55000000000000004">
      <c r="A118" s="6"/>
      <c r="B118" s="6"/>
      <c r="C118" s="6"/>
      <c r="D118" s="6"/>
      <c r="E118" s="6"/>
      <c r="F118" s="6"/>
    </row>
    <row r="119" spans="1:6" x14ac:dyDescent="0.55000000000000004">
      <c r="A119" s="6" t="s">
        <v>562</v>
      </c>
      <c r="B119" s="6"/>
      <c r="C119" s="6"/>
      <c r="D119" s="6"/>
      <c r="E119" s="6"/>
      <c r="F119" s="6"/>
    </row>
    <row r="120" spans="1:6" x14ac:dyDescent="0.55000000000000004">
      <c r="A120" s="6"/>
      <c r="B120" s="6" t="s">
        <v>561</v>
      </c>
      <c r="C120" s="6" t="s">
        <v>1106</v>
      </c>
      <c r="D120" s="6"/>
      <c r="E120" s="6"/>
      <c r="F120" s="6"/>
    </row>
    <row r="121" spans="1:6" x14ac:dyDescent="0.55000000000000004">
      <c r="A121" s="6" t="s">
        <v>1102</v>
      </c>
      <c r="B121" s="8" t="str">
        <f t="shared" ref="B121:C123" si="9">ROUND(B109,2) &amp; " ±
" &amp; ROUND(B115,2)</f>
        <v>0.87 ±
0.11</v>
      </c>
      <c r="C121" s="6" t="str">
        <f t="shared" si="9"/>
        <v>0.93 ±
0.04</v>
      </c>
      <c r="D121" s="6"/>
      <c r="E121" s="6"/>
      <c r="F121" s="6"/>
    </row>
    <row r="122" spans="1:6" x14ac:dyDescent="0.55000000000000004">
      <c r="A122" s="6" t="s">
        <v>1103</v>
      </c>
      <c r="B122" s="8" t="str">
        <f t="shared" si="9"/>
        <v>0.36 ±
0.17</v>
      </c>
      <c r="C122" s="6" t="str">
        <f t="shared" si="9"/>
        <v>0.36 ±
0.09</v>
      </c>
      <c r="D122" s="6"/>
      <c r="E122" s="6"/>
      <c r="F122" s="6"/>
    </row>
    <row r="123" spans="1:6" x14ac:dyDescent="0.55000000000000004">
      <c r="A123" s="6" t="s">
        <v>1104</v>
      </c>
      <c r="B123" s="8" t="str">
        <f t="shared" si="9"/>
        <v>0.49 ±
0.14</v>
      </c>
      <c r="C123" s="6" t="str">
        <f t="shared" si="9"/>
        <v>0.32 ±
0.12</v>
      </c>
      <c r="D123" s="6"/>
      <c r="E123" s="6"/>
      <c r="F123" s="6"/>
    </row>
    <row r="124" spans="1:6" x14ac:dyDescent="0.55000000000000004">
      <c r="A124" s="6"/>
      <c r="B124" s="6"/>
      <c r="C124" s="6"/>
      <c r="D124" s="6"/>
      <c r="E124" s="6"/>
      <c r="F124" s="6"/>
    </row>
    <row r="125" spans="1:6" x14ac:dyDescent="0.55000000000000004">
      <c r="A125" s="7" t="s">
        <v>1118</v>
      </c>
      <c r="B125" s="6"/>
      <c r="C125" s="6"/>
      <c r="D125" s="6"/>
      <c r="E125" s="6"/>
      <c r="F125" s="6"/>
    </row>
    <row r="126" spans="1:6" x14ac:dyDescent="0.55000000000000004">
      <c r="A126" s="6" t="s">
        <v>559</v>
      </c>
      <c r="B126" s="6"/>
      <c r="C126" s="6"/>
      <c r="D126" s="6"/>
      <c r="E126" s="6"/>
      <c r="F126" s="6"/>
    </row>
    <row r="127" spans="1:6" x14ac:dyDescent="0.55000000000000004">
      <c r="A127" s="6"/>
      <c r="B127" s="6" t="s">
        <v>561</v>
      </c>
      <c r="C127" s="6" t="s">
        <v>1106</v>
      </c>
      <c r="D127" s="6" t="s">
        <v>1097</v>
      </c>
      <c r="E127" s="6"/>
      <c r="F127" s="6"/>
    </row>
    <row r="128" spans="1:6" x14ac:dyDescent="0.55000000000000004">
      <c r="A128" s="6" t="s">
        <v>1098</v>
      </c>
      <c r="B128" s="11">
        <v>0.62364231098760203</v>
      </c>
      <c r="C128" s="11">
        <v>0.73299016204356793</v>
      </c>
      <c r="D128" s="11">
        <v>0.78979552175931067</v>
      </c>
      <c r="E128" s="6"/>
      <c r="F128" s="6"/>
    </row>
    <row r="129" spans="1:6" x14ac:dyDescent="0.55000000000000004">
      <c r="A129" s="6" t="s">
        <v>1099</v>
      </c>
      <c r="B129" s="11">
        <v>0.24848482080052753</v>
      </c>
      <c r="C129" s="11">
        <v>0.57505318371293401</v>
      </c>
      <c r="D129" s="11">
        <v>0.41218168508707798</v>
      </c>
      <c r="E129" s="6"/>
      <c r="F129" s="6"/>
    </row>
    <row r="130" spans="1:6" x14ac:dyDescent="0.55000000000000004">
      <c r="A130" s="6" t="s">
        <v>1100</v>
      </c>
      <c r="B130" s="11">
        <v>0.87099455990329511</v>
      </c>
      <c r="C130" s="11">
        <v>0.51766582334663525</v>
      </c>
      <c r="D130" s="11">
        <v>0.63486909611208608</v>
      </c>
      <c r="E130" s="6"/>
      <c r="F130" s="6"/>
    </row>
    <row r="131" spans="1:6" x14ac:dyDescent="0.55000000000000004">
      <c r="A131" s="6"/>
      <c r="B131" s="11"/>
      <c r="C131" s="11"/>
      <c r="D131" s="11"/>
      <c r="E131" s="6"/>
      <c r="F131" s="6"/>
    </row>
    <row r="132" spans="1:6" x14ac:dyDescent="0.55000000000000004">
      <c r="A132" s="6" t="s">
        <v>1101</v>
      </c>
      <c r="B132" s="11"/>
      <c r="C132" s="11"/>
      <c r="D132" s="11"/>
      <c r="E132" s="6"/>
      <c r="F132" s="6"/>
    </row>
    <row r="133" spans="1:6" x14ac:dyDescent="0.55000000000000004">
      <c r="A133" s="6"/>
      <c r="B133" s="11" t="s">
        <v>561</v>
      </c>
      <c r="C133" s="11" t="s">
        <v>1106</v>
      </c>
      <c r="D133" s="11" t="s">
        <v>1097</v>
      </c>
      <c r="E133" s="6"/>
      <c r="F133" s="6"/>
    </row>
    <row r="134" spans="1:6" x14ac:dyDescent="0.55000000000000004">
      <c r="A134" s="6" t="s">
        <v>1102</v>
      </c>
      <c r="B134" s="11">
        <v>0.16417555000595355</v>
      </c>
      <c r="C134" s="11">
        <v>0.15855199969634354</v>
      </c>
      <c r="D134" s="11">
        <v>9.370290380500694E-2</v>
      </c>
      <c r="E134" s="6"/>
      <c r="F134" s="6"/>
    </row>
    <row r="135" spans="1:6" x14ac:dyDescent="0.55000000000000004">
      <c r="A135" s="6" t="s">
        <v>1103</v>
      </c>
      <c r="B135" s="11">
        <v>0.10324977728094517</v>
      </c>
      <c r="C135" s="11">
        <v>0.15428102129629545</v>
      </c>
      <c r="D135" s="11">
        <v>9.0765715264018804E-2</v>
      </c>
      <c r="E135" s="6"/>
      <c r="F135" s="6"/>
    </row>
    <row r="136" spans="1:6" x14ac:dyDescent="0.55000000000000004">
      <c r="A136" s="6" t="s">
        <v>1104</v>
      </c>
      <c r="B136" s="11">
        <v>9.0676109067247976E-2</v>
      </c>
      <c r="C136" s="11">
        <v>0.22349864360046309</v>
      </c>
      <c r="D136" s="11">
        <v>0.12851576851069083</v>
      </c>
      <c r="E136" s="6"/>
      <c r="F136" s="6"/>
    </row>
    <row r="137" spans="1:6" x14ac:dyDescent="0.55000000000000004">
      <c r="A137" s="6"/>
      <c r="B137" s="6"/>
      <c r="C137" s="6"/>
      <c r="D137" s="6"/>
      <c r="E137" s="6"/>
      <c r="F137" s="6"/>
    </row>
    <row r="138" spans="1:6" x14ac:dyDescent="0.55000000000000004">
      <c r="A138" s="6" t="s">
        <v>562</v>
      </c>
      <c r="B138" s="6"/>
      <c r="C138" s="6"/>
      <c r="D138" s="6"/>
      <c r="E138" s="6"/>
      <c r="F138" s="6"/>
    </row>
    <row r="139" spans="1:6" x14ac:dyDescent="0.55000000000000004">
      <c r="A139" s="6"/>
      <c r="B139" s="6" t="s">
        <v>561</v>
      </c>
      <c r="C139" s="6" t="s">
        <v>1106</v>
      </c>
      <c r="D139" s="6" t="s">
        <v>1097</v>
      </c>
      <c r="E139" s="6"/>
      <c r="F139" s="6"/>
    </row>
    <row r="140" spans="1:6" x14ac:dyDescent="0.55000000000000004">
      <c r="A140" s="6" t="s">
        <v>1102</v>
      </c>
      <c r="B140" s="8" t="str">
        <f t="shared" ref="B140:D140" si="10">ROUND(B128,2) &amp; " ±
" &amp; ROUND(B134,2)</f>
        <v>0.62 ±
0.16</v>
      </c>
      <c r="C140" s="6" t="str">
        <f t="shared" si="10"/>
        <v>0.73 ±
0.16</v>
      </c>
      <c r="D140" s="6" t="str">
        <f t="shared" si="10"/>
        <v>0.79 ±
0.09</v>
      </c>
      <c r="E140" s="6"/>
      <c r="F140" s="6"/>
    </row>
    <row r="141" spans="1:6" x14ac:dyDescent="0.55000000000000004">
      <c r="A141" s="6" t="s">
        <v>1103</v>
      </c>
      <c r="B141" s="8" t="str">
        <f t="shared" ref="B141:D142" si="11">ROUND(B129,2) &amp; " ±
" &amp; ROUND(B135,2)</f>
        <v>0.25 ±
0.1</v>
      </c>
      <c r="C141" s="6" t="str">
        <f t="shared" si="11"/>
        <v>0.58 ±
0.15</v>
      </c>
      <c r="D141" s="6" t="str">
        <f t="shared" si="11"/>
        <v>0.41 ±
0.09</v>
      </c>
      <c r="E141" s="6"/>
      <c r="F141" s="6"/>
    </row>
    <row r="142" spans="1:6" x14ac:dyDescent="0.55000000000000004">
      <c r="A142" s="6" t="s">
        <v>1104</v>
      </c>
      <c r="B142" s="8" t="str">
        <f>ROUND(B130,2) &amp; " ±
" &amp; ROUND(B136,2)</f>
        <v>0.87 ±
0.09</v>
      </c>
      <c r="C142" s="6" t="str">
        <f t="shared" ref="C142" si="12">ROUND(C130,2) &amp; " ±
" &amp; ROUND(C136,2)</f>
        <v>0.52 ±
0.22</v>
      </c>
      <c r="D142" s="6" t="str">
        <f t="shared" si="11"/>
        <v>0.63 ±
0.13</v>
      </c>
      <c r="E142" s="6"/>
      <c r="F142" s="6"/>
    </row>
    <row r="143" spans="1:6" x14ac:dyDescent="0.55000000000000004">
      <c r="A143" s="6"/>
      <c r="B143" s="8"/>
      <c r="C143" s="6"/>
      <c r="D143" s="6"/>
      <c r="E143" s="6"/>
      <c r="F143" s="6"/>
    </row>
    <row r="144" spans="1:6" x14ac:dyDescent="0.55000000000000004">
      <c r="A144" s="7" t="s">
        <v>1121</v>
      </c>
      <c r="B144" s="6"/>
      <c r="C144" s="6"/>
      <c r="D144" s="6"/>
      <c r="E144" s="6"/>
      <c r="F144" s="6"/>
    </row>
    <row r="145" spans="1:6" x14ac:dyDescent="0.55000000000000004">
      <c r="A145" s="6" t="s">
        <v>559</v>
      </c>
      <c r="B145" s="6"/>
      <c r="C145" s="6"/>
      <c r="D145" s="6"/>
      <c r="E145" s="6"/>
      <c r="F145" s="6"/>
    </row>
    <row r="146" spans="1:6" x14ac:dyDescent="0.55000000000000004">
      <c r="A146" s="6"/>
      <c r="B146" s="6" t="s">
        <v>1122</v>
      </c>
      <c r="C146" s="6" t="s">
        <v>1123</v>
      </c>
      <c r="D146" s="6"/>
      <c r="E146" s="6"/>
      <c r="F146" s="6"/>
    </row>
    <row r="147" spans="1:6" x14ac:dyDescent="0.55000000000000004">
      <c r="A147" s="6" t="s">
        <v>1098</v>
      </c>
      <c r="B147" s="11">
        <v>0.86853142445902431</v>
      </c>
      <c r="C147" s="11">
        <v>0.62364231098760203</v>
      </c>
      <c r="D147" s="6"/>
      <c r="E147" s="6"/>
      <c r="F147" s="6"/>
    </row>
    <row r="148" spans="1:6" x14ac:dyDescent="0.55000000000000004">
      <c r="A148" s="6" t="s">
        <v>1099</v>
      </c>
      <c r="B148" s="11">
        <v>0.36015252050215696</v>
      </c>
      <c r="C148" s="11">
        <v>0.24848482080052753</v>
      </c>
      <c r="D148" s="6"/>
      <c r="E148" s="6"/>
      <c r="F148" s="6"/>
    </row>
    <row r="149" spans="1:6" x14ac:dyDescent="0.55000000000000004">
      <c r="A149" s="6" t="s">
        <v>1100</v>
      </c>
      <c r="B149" s="11">
        <v>0.48921462697065432</v>
      </c>
      <c r="C149" s="11">
        <v>0.87099455990329511</v>
      </c>
      <c r="D149" s="6"/>
      <c r="E149" s="6"/>
      <c r="F149" s="6"/>
    </row>
    <row r="150" spans="1:6" x14ac:dyDescent="0.55000000000000004">
      <c r="A150" s="6"/>
      <c r="B150" s="11"/>
      <c r="C150" s="11"/>
      <c r="D150" s="6"/>
      <c r="E150" s="6"/>
      <c r="F150" s="6"/>
    </row>
    <row r="151" spans="1:6" x14ac:dyDescent="0.55000000000000004">
      <c r="A151" s="6" t="s">
        <v>1101</v>
      </c>
      <c r="B151" s="11"/>
      <c r="C151" s="11"/>
      <c r="D151" s="6"/>
      <c r="E151" s="6"/>
      <c r="F151" s="6"/>
    </row>
    <row r="152" spans="1:6" x14ac:dyDescent="0.55000000000000004">
      <c r="A152" s="6"/>
      <c r="B152" s="11" t="s">
        <v>1122</v>
      </c>
      <c r="C152" s="11" t="s">
        <v>1123</v>
      </c>
      <c r="D152" s="6"/>
      <c r="E152" s="6"/>
      <c r="F152" s="6"/>
    </row>
    <row r="153" spans="1:6" x14ac:dyDescent="0.55000000000000004">
      <c r="A153" s="6" t="s">
        <v>1102</v>
      </c>
      <c r="B153" s="11">
        <v>0.10775458206802296</v>
      </c>
      <c r="C153" s="11">
        <v>0.16417555000595355</v>
      </c>
      <c r="D153" s="6"/>
      <c r="E153" s="6"/>
      <c r="F153" s="6"/>
    </row>
    <row r="154" spans="1:6" x14ac:dyDescent="0.55000000000000004">
      <c r="A154" s="6" t="s">
        <v>1103</v>
      </c>
      <c r="B154" s="11">
        <v>0.17237025684385238</v>
      </c>
      <c r="C154" s="11">
        <v>0.10324977728094517</v>
      </c>
      <c r="D154" s="6"/>
      <c r="E154" s="6"/>
      <c r="F154" s="6"/>
    </row>
    <row r="155" spans="1:6" x14ac:dyDescent="0.55000000000000004">
      <c r="A155" s="6" t="s">
        <v>1104</v>
      </c>
      <c r="B155" s="11">
        <v>0.14314064006490324</v>
      </c>
      <c r="C155" s="11">
        <v>9.0676109067247976E-2</v>
      </c>
      <c r="D155" s="6"/>
      <c r="E155" s="6"/>
      <c r="F155" s="6"/>
    </row>
    <row r="156" spans="1:6" x14ac:dyDescent="0.55000000000000004">
      <c r="A156" s="6"/>
      <c r="B156" s="6"/>
      <c r="C156" s="6"/>
      <c r="D156" s="6"/>
      <c r="E156" s="6"/>
      <c r="F156" s="6"/>
    </row>
    <row r="157" spans="1:6" x14ac:dyDescent="0.55000000000000004">
      <c r="A157" s="6" t="s">
        <v>562</v>
      </c>
      <c r="B157" s="6"/>
      <c r="C157" s="6"/>
      <c r="D157" s="6"/>
      <c r="E157" s="6"/>
      <c r="F157" s="6"/>
    </row>
    <row r="158" spans="1:6" x14ac:dyDescent="0.55000000000000004">
      <c r="A158" s="6"/>
      <c r="B158" s="6" t="s">
        <v>1122</v>
      </c>
      <c r="C158" s="6" t="s">
        <v>1123</v>
      </c>
      <c r="D158" s="6"/>
      <c r="E158" s="6"/>
      <c r="F158" s="6"/>
    </row>
    <row r="159" spans="1:6" x14ac:dyDescent="0.55000000000000004">
      <c r="A159" s="6" t="s">
        <v>1102</v>
      </c>
      <c r="B159" s="8" t="str">
        <f>ROUND(B147,2) &amp; " ±
" &amp; ROUND(B153,2)</f>
        <v>0.87 ±
0.11</v>
      </c>
      <c r="C159" s="6" t="str">
        <f t="shared" ref="C159" si="13">ROUND(C147,2) &amp; " ±
" &amp; ROUND(C153,2)</f>
        <v>0.62 ±
0.16</v>
      </c>
      <c r="D159" s="6"/>
      <c r="E159" s="6"/>
      <c r="F159" s="6"/>
    </row>
    <row r="160" spans="1:6" x14ac:dyDescent="0.55000000000000004">
      <c r="A160" s="6" t="s">
        <v>1103</v>
      </c>
      <c r="B160" s="8" t="str">
        <f t="shared" ref="B160:C160" si="14">ROUND(B148,2) &amp; " ±
" &amp; ROUND(B154,2)</f>
        <v>0.36 ±
0.17</v>
      </c>
      <c r="C160" s="6" t="str">
        <f t="shared" si="14"/>
        <v>0.25 ±
0.1</v>
      </c>
      <c r="D160" s="6"/>
      <c r="E160" s="6"/>
      <c r="F160" s="6"/>
    </row>
    <row r="161" spans="1:6" x14ac:dyDescent="0.55000000000000004">
      <c r="A161" s="6" t="s">
        <v>1104</v>
      </c>
      <c r="B161" s="8" t="str">
        <f t="shared" ref="B161:C161" si="15">ROUND(B149,2) &amp; " ±
" &amp; ROUND(B155,2)</f>
        <v>0.49 ±
0.14</v>
      </c>
      <c r="C161" s="6" t="str">
        <f t="shared" si="15"/>
        <v>0.87 ±
0.09</v>
      </c>
      <c r="D161" s="6"/>
      <c r="E161" s="6"/>
      <c r="F161" s="6"/>
    </row>
    <row r="162" spans="1:6" x14ac:dyDescent="0.55000000000000004">
      <c r="A162" s="6"/>
      <c r="B162" s="8"/>
      <c r="C162" s="6"/>
      <c r="D162" s="6"/>
      <c r="E162" s="6"/>
      <c r="F162" s="6"/>
    </row>
    <row r="163" spans="1:6" x14ac:dyDescent="0.55000000000000004">
      <c r="A163" s="7" t="s">
        <v>1124</v>
      </c>
      <c r="B163" s="6"/>
      <c r="C163" s="6"/>
      <c r="D163" s="6"/>
      <c r="E163" s="6"/>
      <c r="F163" s="6"/>
    </row>
    <row r="164" spans="1:6" x14ac:dyDescent="0.55000000000000004">
      <c r="A164" s="6" t="s">
        <v>559</v>
      </c>
      <c r="B164" s="6"/>
      <c r="C164" s="6"/>
      <c r="D164" s="6"/>
      <c r="E164" s="6"/>
      <c r="F164" s="6"/>
    </row>
    <row r="165" spans="1:6" x14ac:dyDescent="0.55000000000000004">
      <c r="A165" s="6"/>
      <c r="B165" s="6" t="s">
        <v>1122</v>
      </c>
      <c r="C165" s="6" t="s">
        <v>1123</v>
      </c>
      <c r="D165" s="6"/>
      <c r="E165" s="6"/>
      <c r="F165" s="6"/>
    </row>
    <row r="166" spans="1:6" x14ac:dyDescent="0.55000000000000004">
      <c r="A166" s="6" t="s">
        <v>1098</v>
      </c>
      <c r="B166" s="11">
        <v>0.92716752361562327</v>
      </c>
      <c r="C166" s="11">
        <v>0.73299016204356793</v>
      </c>
      <c r="D166" s="6"/>
      <c r="E166" s="6"/>
      <c r="F166" s="6"/>
    </row>
    <row r="167" spans="1:6" x14ac:dyDescent="0.55000000000000004">
      <c r="A167" s="6" t="s">
        <v>1099</v>
      </c>
      <c r="B167" s="11">
        <v>0.35816697256404934</v>
      </c>
      <c r="C167" s="11">
        <v>0.57505318371293401</v>
      </c>
      <c r="D167" s="6"/>
      <c r="E167" s="6"/>
      <c r="F167" s="6"/>
    </row>
    <row r="168" spans="1:6" x14ac:dyDescent="0.55000000000000004">
      <c r="A168" s="6" t="s">
        <v>1100</v>
      </c>
      <c r="B168" s="11">
        <v>0.32181330827665222</v>
      </c>
      <c r="C168" s="11">
        <v>0.51766582334663525</v>
      </c>
      <c r="D168" s="6"/>
      <c r="E168" s="6"/>
      <c r="F168" s="6"/>
    </row>
    <row r="169" spans="1:6" x14ac:dyDescent="0.55000000000000004">
      <c r="A169" s="6"/>
      <c r="B169" s="11"/>
      <c r="C169" s="11"/>
      <c r="D169" s="6"/>
      <c r="E169" s="6"/>
      <c r="F169" s="6"/>
    </row>
    <row r="170" spans="1:6" x14ac:dyDescent="0.55000000000000004">
      <c r="A170" s="6" t="s">
        <v>1101</v>
      </c>
      <c r="B170" s="11"/>
      <c r="C170" s="11"/>
      <c r="D170" s="6"/>
      <c r="E170" s="6"/>
      <c r="F170" s="6"/>
    </row>
    <row r="171" spans="1:6" x14ac:dyDescent="0.55000000000000004">
      <c r="A171" s="6"/>
      <c r="B171" s="11" t="s">
        <v>1122</v>
      </c>
      <c r="C171" s="11" t="s">
        <v>1123</v>
      </c>
      <c r="D171" s="6"/>
      <c r="E171" s="6"/>
      <c r="F171" s="6"/>
    </row>
    <row r="172" spans="1:6" x14ac:dyDescent="0.55000000000000004">
      <c r="A172" s="6" t="s">
        <v>1102</v>
      </c>
      <c r="B172" s="11">
        <v>4.4778154666493923E-2</v>
      </c>
      <c r="C172" s="11">
        <v>0.15855199969634354</v>
      </c>
      <c r="D172" s="6"/>
      <c r="E172" s="6"/>
      <c r="F172" s="6"/>
    </row>
    <row r="173" spans="1:6" x14ac:dyDescent="0.55000000000000004">
      <c r="A173" s="6" t="s">
        <v>1103</v>
      </c>
      <c r="B173" s="11">
        <v>9.0893733680692659E-2</v>
      </c>
      <c r="C173" s="11">
        <v>0.15428102129629545</v>
      </c>
      <c r="D173" s="6"/>
      <c r="E173" s="6"/>
      <c r="F173" s="6"/>
    </row>
    <row r="174" spans="1:6" x14ac:dyDescent="0.55000000000000004">
      <c r="A174" s="6" t="s">
        <v>1104</v>
      </c>
      <c r="B174" s="11">
        <v>0.11780671189139669</v>
      </c>
      <c r="C174" s="11">
        <v>0.22349864360046309</v>
      </c>
      <c r="D174" s="6"/>
      <c r="E174" s="6"/>
      <c r="F174" s="6"/>
    </row>
    <row r="175" spans="1:6" x14ac:dyDescent="0.55000000000000004">
      <c r="A175" s="6"/>
      <c r="B175" s="6"/>
      <c r="C175" s="6"/>
      <c r="D175" s="6"/>
      <c r="E175" s="6"/>
      <c r="F175" s="6"/>
    </row>
    <row r="176" spans="1:6" x14ac:dyDescent="0.55000000000000004">
      <c r="A176" s="6" t="s">
        <v>562</v>
      </c>
      <c r="B176" s="6"/>
      <c r="C176" s="6"/>
      <c r="D176" s="6"/>
      <c r="E176" s="6"/>
      <c r="F176" s="6"/>
    </row>
    <row r="177" spans="1:6" x14ac:dyDescent="0.55000000000000004">
      <c r="A177" s="6"/>
      <c r="B177" s="6" t="s">
        <v>1122</v>
      </c>
      <c r="C177" s="6" t="s">
        <v>1123</v>
      </c>
      <c r="D177" s="6"/>
      <c r="E177" s="6"/>
      <c r="F177" s="6"/>
    </row>
    <row r="178" spans="1:6" x14ac:dyDescent="0.55000000000000004">
      <c r="A178" s="6" t="s">
        <v>1102</v>
      </c>
      <c r="B178" s="8" t="str">
        <f t="shared" ref="B178:C178" si="16">ROUND(B166,2) &amp; " ±
" &amp; ROUND(B172,2)</f>
        <v>0.93 ±
0.04</v>
      </c>
      <c r="C178" s="6" t="str">
        <f t="shared" si="16"/>
        <v>0.73 ±
0.16</v>
      </c>
      <c r="D178" s="6"/>
      <c r="E178" s="6"/>
      <c r="F178" s="6"/>
    </row>
    <row r="179" spans="1:6" x14ac:dyDescent="0.55000000000000004">
      <c r="A179" s="6" t="s">
        <v>1103</v>
      </c>
      <c r="B179" s="8" t="str">
        <f t="shared" ref="B179:C179" si="17">ROUND(B167,2) &amp; " ±
" &amp; ROUND(B173,2)</f>
        <v>0.36 ±
0.09</v>
      </c>
      <c r="C179" s="6" t="str">
        <f t="shared" si="17"/>
        <v>0.58 ±
0.15</v>
      </c>
      <c r="D179" s="6"/>
      <c r="E179" s="6"/>
      <c r="F179" s="6"/>
    </row>
    <row r="180" spans="1:6" x14ac:dyDescent="0.55000000000000004">
      <c r="A180" s="6" t="s">
        <v>1104</v>
      </c>
      <c r="B180" s="8" t="str">
        <f t="shared" ref="B180:C180" si="18">ROUND(B168,2) &amp; " ±
" &amp; ROUND(B174,2)</f>
        <v>0.32 ±
0.12</v>
      </c>
      <c r="C180" s="6" t="str">
        <f t="shared" si="18"/>
        <v>0.52 ±
0.22</v>
      </c>
      <c r="D180" s="6"/>
      <c r="E180" s="6"/>
      <c r="F180" s="6"/>
    </row>
    <row r="181" spans="1:6" x14ac:dyDescent="0.55000000000000004">
      <c r="A181" s="6"/>
      <c r="B181" s="8"/>
      <c r="C181" s="6"/>
      <c r="D181" s="6"/>
      <c r="E181" s="6"/>
      <c r="F181" s="6"/>
    </row>
    <row r="182" spans="1:6" x14ac:dyDescent="0.55000000000000004">
      <c r="A182" s="7" t="s">
        <v>1119</v>
      </c>
      <c r="B182" s="6"/>
      <c r="C182" s="6"/>
      <c r="D182" s="6"/>
      <c r="E182" s="6"/>
      <c r="F182" s="6"/>
    </row>
    <row r="183" spans="1:6" x14ac:dyDescent="0.55000000000000004">
      <c r="A183" s="6" t="s">
        <v>559</v>
      </c>
      <c r="B183" s="6"/>
      <c r="C183" s="6"/>
      <c r="D183" s="6"/>
      <c r="E183" s="6"/>
      <c r="F183" s="6"/>
    </row>
    <row r="184" spans="1:6" x14ac:dyDescent="0.55000000000000004">
      <c r="A184" s="6"/>
      <c r="B184" s="6" t="s">
        <v>554</v>
      </c>
      <c r="C184" s="6" t="s">
        <v>322</v>
      </c>
      <c r="D184" s="6" t="s">
        <v>555</v>
      </c>
      <c r="E184" s="6" t="s">
        <v>556</v>
      </c>
      <c r="F184" s="6" t="s">
        <v>560</v>
      </c>
    </row>
    <row r="185" spans="1:6" x14ac:dyDescent="0.55000000000000004">
      <c r="A185" s="6" t="s">
        <v>561</v>
      </c>
      <c r="B185" s="11">
        <v>1.522912996622692</v>
      </c>
      <c r="C185" s="11">
        <v>1.2749581056715591</v>
      </c>
      <c r="D185" s="11">
        <v>1.8328150018597724</v>
      </c>
      <c r="E185" s="11">
        <v>1.4550239702876839</v>
      </c>
      <c r="F185" s="11">
        <v>1.4229206508158767</v>
      </c>
    </row>
    <row r="186" spans="1:6" x14ac:dyDescent="0.55000000000000004">
      <c r="A186" s="6" t="s">
        <v>1106</v>
      </c>
      <c r="B186" s="11">
        <v>1.0481130790513953</v>
      </c>
      <c r="C186" s="11">
        <v>0.97140291569708082</v>
      </c>
      <c r="D186" s="11">
        <v>1.267082704461806</v>
      </c>
      <c r="E186" s="11">
        <v>0.9073021337291749</v>
      </c>
      <c r="F186" s="11">
        <v>1.0111403408642894</v>
      </c>
    </row>
    <row r="187" spans="1:6" x14ac:dyDescent="0.55000000000000004">
      <c r="A187" s="6"/>
      <c r="B187" s="11"/>
      <c r="C187" s="11"/>
      <c r="D187" s="11"/>
      <c r="E187" s="11"/>
      <c r="F187" s="11"/>
    </row>
    <row r="188" spans="1:6" x14ac:dyDescent="0.55000000000000004">
      <c r="A188" s="6" t="s">
        <v>558</v>
      </c>
      <c r="B188" s="11"/>
      <c r="C188" s="11"/>
      <c r="D188" s="11"/>
      <c r="E188" s="11"/>
      <c r="F188" s="11"/>
    </row>
    <row r="189" spans="1:6" x14ac:dyDescent="0.55000000000000004">
      <c r="A189" s="6"/>
      <c r="B189" s="11" t="s">
        <v>554</v>
      </c>
      <c r="C189" s="11" t="s">
        <v>322</v>
      </c>
      <c r="D189" s="11" t="s">
        <v>555</v>
      </c>
      <c r="E189" s="11" t="s">
        <v>556</v>
      </c>
      <c r="F189" s="11" t="s">
        <v>560</v>
      </c>
    </row>
    <row r="190" spans="1:6" x14ac:dyDescent="0.55000000000000004">
      <c r="A190" s="6" t="s">
        <v>561</v>
      </c>
      <c r="B190" s="11">
        <v>1.0703246063708463</v>
      </c>
      <c r="C190" s="11">
        <v>0.51840162349638963</v>
      </c>
      <c r="D190" s="11">
        <v>0.71425005292929755</v>
      </c>
      <c r="E190" s="11">
        <v>0.8127867039338954</v>
      </c>
      <c r="F190" s="11">
        <v>0.85009253975881804</v>
      </c>
    </row>
    <row r="191" spans="1:6" x14ac:dyDescent="0.55000000000000004">
      <c r="A191" s="6" t="s">
        <v>1106</v>
      </c>
      <c r="B191" s="11">
        <v>0.24290073855232078</v>
      </c>
      <c r="C191" s="11">
        <v>0.23806489784929721</v>
      </c>
      <c r="D191" s="11">
        <v>0.15780877988296516</v>
      </c>
      <c r="E191" s="11">
        <v>0.24633662031409578</v>
      </c>
      <c r="F191" s="11">
        <v>0.24763373129327848</v>
      </c>
    </row>
    <row r="192" spans="1:6" x14ac:dyDescent="0.55000000000000004">
      <c r="A192" s="6"/>
      <c r="B192" s="6"/>
      <c r="C192" s="6"/>
      <c r="D192" s="6"/>
      <c r="E192" s="6"/>
      <c r="F192" s="6"/>
    </row>
    <row r="193" spans="1:6" x14ac:dyDescent="0.55000000000000004">
      <c r="A193" s="6" t="s">
        <v>562</v>
      </c>
      <c r="B193" s="6"/>
      <c r="C193" s="6"/>
      <c r="D193" s="6"/>
      <c r="E193" s="6"/>
      <c r="F193" s="6"/>
    </row>
    <row r="194" spans="1:6" x14ac:dyDescent="0.55000000000000004">
      <c r="A194" s="6"/>
      <c r="B194" s="6" t="s">
        <v>554</v>
      </c>
      <c r="C194" s="6" t="s">
        <v>322</v>
      </c>
      <c r="D194" s="6" t="s">
        <v>555</v>
      </c>
      <c r="E194" s="6" t="s">
        <v>556</v>
      </c>
      <c r="F194" s="6" t="s">
        <v>560</v>
      </c>
    </row>
    <row r="195" spans="1:6" x14ac:dyDescent="0.55000000000000004">
      <c r="A195" s="6" t="s">
        <v>561</v>
      </c>
      <c r="B195" s="8" t="str">
        <f t="shared" ref="B195:F196" si="19">ROUND(B185,2) &amp; " ±
" &amp; ROUND(B190,2)</f>
        <v>1.52 ±
1.07</v>
      </c>
      <c r="C195" s="8" t="str">
        <f t="shared" si="19"/>
        <v>1.27 ±
0.52</v>
      </c>
      <c r="D195" s="8" t="str">
        <f t="shared" si="19"/>
        <v>1.83 ±
0.71</v>
      </c>
      <c r="E195" s="8" t="str">
        <f t="shared" si="19"/>
        <v>1.46 ±
0.81</v>
      </c>
      <c r="F195" s="8" t="str">
        <f t="shared" si="19"/>
        <v>1.42 ±
0.85</v>
      </c>
    </row>
    <row r="196" spans="1:6" x14ac:dyDescent="0.55000000000000004">
      <c r="A196" s="6" t="s">
        <v>1106</v>
      </c>
      <c r="B196" s="6" t="str">
        <f t="shared" si="19"/>
        <v>1.05 ±
0.24</v>
      </c>
      <c r="C196" s="6" t="str">
        <f t="shared" si="19"/>
        <v>0.97 ±
0.24</v>
      </c>
      <c r="D196" s="6" t="str">
        <f t="shared" si="19"/>
        <v>1.27 ±
0.16</v>
      </c>
      <c r="E196" s="6" t="str">
        <f t="shared" si="19"/>
        <v>0.91 ±
0.25</v>
      </c>
      <c r="F196" s="6" t="str">
        <f t="shared" si="19"/>
        <v>1.01 ±
0.25</v>
      </c>
    </row>
    <row r="197" spans="1:6" x14ac:dyDescent="0.55000000000000004">
      <c r="A197" s="6"/>
      <c r="B197" s="6"/>
      <c r="C197" s="6"/>
      <c r="D197" s="6"/>
      <c r="E197" s="6"/>
      <c r="F197" s="6"/>
    </row>
    <row r="198" spans="1:6" x14ac:dyDescent="0.55000000000000004">
      <c r="A198" s="7" t="s">
        <v>1120</v>
      </c>
      <c r="B198" s="6"/>
      <c r="C198" s="6"/>
      <c r="D198" s="6"/>
      <c r="E198" s="6"/>
      <c r="F198" s="6"/>
    </row>
    <row r="199" spans="1:6" x14ac:dyDescent="0.55000000000000004">
      <c r="A199" s="6" t="s">
        <v>559</v>
      </c>
      <c r="B199" s="6"/>
      <c r="C199" s="6"/>
      <c r="D199" s="6"/>
      <c r="E199" s="6"/>
      <c r="F199" s="6"/>
    </row>
    <row r="200" spans="1:6" x14ac:dyDescent="0.55000000000000004">
      <c r="A200" s="6"/>
      <c r="B200" s="6" t="s">
        <v>554</v>
      </c>
      <c r="C200" s="6" t="s">
        <v>322</v>
      </c>
      <c r="D200" s="6" t="s">
        <v>555</v>
      </c>
      <c r="E200" s="6" t="s">
        <v>556</v>
      </c>
      <c r="F200" s="6" t="s">
        <v>560</v>
      </c>
    </row>
    <row r="201" spans="1:6" x14ac:dyDescent="0.55000000000000004">
      <c r="A201" s="6" t="s">
        <v>561</v>
      </c>
      <c r="B201" s="11">
        <v>1.4118231028573176</v>
      </c>
      <c r="C201" s="11">
        <v>1.436960246042442</v>
      </c>
      <c r="D201" s="11">
        <v>2.284672724997054</v>
      </c>
      <c r="E201" s="11">
        <v>1.5286719377820017</v>
      </c>
      <c r="F201" s="11">
        <v>1.4601490155270289</v>
      </c>
    </row>
    <row r="202" spans="1:6" x14ac:dyDescent="0.55000000000000004">
      <c r="A202" s="6" t="s">
        <v>1106</v>
      </c>
      <c r="B202" s="11">
        <v>1.067403193418959</v>
      </c>
      <c r="C202" s="11">
        <v>1.0788361636526884</v>
      </c>
      <c r="D202" s="11">
        <v>1.2872725468026887</v>
      </c>
      <c r="E202" s="11">
        <v>1.0523494451909803</v>
      </c>
      <c r="F202" s="11">
        <v>1.0777589947106614</v>
      </c>
    </row>
    <row r="203" spans="1:6" x14ac:dyDescent="0.55000000000000004">
      <c r="A203" s="6" t="s">
        <v>1097</v>
      </c>
      <c r="B203" s="11">
        <v>1.1510266974523173</v>
      </c>
      <c r="C203" s="11">
        <v>1.154965495327066</v>
      </c>
      <c r="D203" s="11">
        <v>1.3889568072165623</v>
      </c>
      <c r="E203" s="11">
        <v>1.0474312857735038</v>
      </c>
      <c r="F203" s="11">
        <v>1.1474473517748824</v>
      </c>
    </row>
    <row r="204" spans="1:6" x14ac:dyDescent="0.55000000000000004">
      <c r="A204" s="6"/>
      <c r="B204" s="11"/>
      <c r="C204" s="11"/>
      <c r="D204" s="11"/>
      <c r="E204" s="11"/>
      <c r="F204" s="11"/>
    </row>
    <row r="205" spans="1:6" x14ac:dyDescent="0.55000000000000004">
      <c r="A205" s="6" t="s">
        <v>558</v>
      </c>
      <c r="B205" s="11"/>
      <c r="C205" s="11"/>
      <c r="D205" s="11"/>
      <c r="E205" s="11"/>
      <c r="F205" s="11"/>
    </row>
    <row r="206" spans="1:6" x14ac:dyDescent="0.55000000000000004">
      <c r="A206" s="6"/>
      <c r="B206" s="11" t="s">
        <v>554</v>
      </c>
      <c r="C206" s="11" t="s">
        <v>322</v>
      </c>
      <c r="D206" s="11" t="s">
        <v>555</v>
      </c>
      <c r="E206" s="11" t="s">
        <v>556</v>
      </c>
      <c r="F206" s="11" t="s">
        <v>560</v>
      </c>
    </row>
    <row r="207" spans="1:6" x14ac:dyDescent="0.55000000000000004">
      <c r="A207" s="6" t="s">
        <v>561</v>
      </c>
      <c r="B207" s="11">
        <v>0.57749347540433682</v>
      </c>
      <c r="C207" s="11">
        <v>0.43634103390851242</v>
      </c>
      <c r="D207" s="11">
        <v>0.77947815329370274</v>
      </c>
      <c r="E207" s="11">
        <v>0.46168327869116449</v>
      </c>
      <c r="F207" s="11">
        <v>0.50152754021165258</v>
      </c>
    </row>
    <row r="208" spans="1:6" x14ac:dyDescent="0.55000000000000004">
      <c r="A208" s="6" t="s">
        <v>1106</v>
      </c>
      <c r="B208" s="11">
        <v>0.47594096057328461</v>
      </c>
      <c r="C208" s="11">
        <v>0.35080687534636645</v>
      </c>
      <c r="D208" s="11">
        <v>0.20791913711704593</v>
      </c>
      <c r="E208" s="11">
        <v>0.29037880110786157</v>
      </c>
      <c r="F208" s="11">
        <v>0.37843229551365909</v>
      </c>
    </row>
    <row r="209" spans="1:6" x14ac:dyDescent="0.55000000000000004">
      <c r="A209" s="6" t="s">
        <v>1097</v>
      </c>
      <c r="B209" s="11">
        <v>0.30057049269820535</v>
      </c>
      <c r="C209" s="11">
        <v>0.29403288225742696</v>
      </c>
      <c r="D209" s="11">
        <v>0.22863623597738189</v>
      </c>
      <c r="E209" s="11">
        <v>0.3291959906290719</v>
      </c>
      <c r="F209" s="11">
        <v>0.30073975850745643</v>
      </c>
    </row>
    <row r="210" spans="1:6" x14ac:dyDescent="0.55000000000000004">
      <c r="A210" s="6"/>
      <c r="B210" s="6"/>
      <c r="C210" s="6"/>
      <c r="D210" s="6"/>
      <c r="E210" s="6"/>
      <c r="F210" s="6"/>
    </row>
    <row r="211" spans="1:6" x14ac:dyDescent="0.55000000000000004">
      <c r="A211" s="6" t="s">
        <v>562</v>
      </c>
      <c r="B211" s="6"/>
      <c r="C211" s="6"/>
      <c r="D211" s="6"/>
      <c r="E211" s="6"/>
      <c r="F211" s="6"/>
    </row>
    <row r="212" spans="1:6" x14ac:dyDescent="0.55000000000000004">
      <c r="A212" s="6"/>
      <c r="B212" s="6" t="s">
        <v>554</v>
      </c>
      <c r="C212" s="6" t="s">
        <v>322</v>
      </c>
      <c r="D212" s="6" t="s">
        <v>555</v>
      </c>
      <c r="E212" s="6" t="s">
        <v>556</v>
      </c>
      <c r="F212" s="6" t="s">
        <v>560</v>
      </c>
    </row>
    <row r="213" spans="1:6" x14ac:dyDescent="0.55000000000000004">
      <c r="A213" s="6" t="s">
        <v>561</v>
      </c>
      <c r="B213" s="8" t="str">
        <f t="shared" ref="B213:F213" si="20">ROUND(B201,2) &amp; " ±
" &amp; ROUND(B207,2)</f>
        <v>1.41 ±
0.58</v>
      </c>
      <c r="C213" s="8" t="str">
        <f t="shared" si="20"/>
        <v>1.44 ±
0.44</v>
      </c>
      <c r="D213" s="8" t="str">
        <f t="shared" si="20"/>
        <v>2.28 ±
0.78</v>
      </c>
      <c r="E213" s="8" t="str">
        <f t="shared" si="20"/>
        <v>1.53 ±
0.46</v>
      </c>
      <c r="F213" s="8" t="str">
        <f t="shared" si="20"/>
        <v>1.46 ±
0.5</v>
      </c>
    </row>
    <row r="214" spans="1:6" x14ac:dyDescent="0.55000000000000004">
      <c r="A214" s="6" t="s">
        <v>1106</v>
      </c>
      <c r="B214" s="6" t="str">
        <f t="shared" ref="B214:F215" si="21">ROUND(B202,2) &amp; " ±
" &amp; ROUND(B208,2)</f>
        <v>1.07 ±
0.48</v>
      </c>
      <c r="C214" s="6" t="str">
        <f t="shared" si="21"/>
        <v>1.08 ±
0.35</v>
      </c>
      <c r="D214" s="6" t="str">
        <f t="shared" si="21"/>
        <v>1.29 ±
0.21</v>
      </c>
      <c r="E214" s="6" t="str">
        <f t="shared" si="21"/>
        <v>1.05 ±
0.29</v>
      </c>
      <c r="F214" s="6" t="str">
        <f t="shared" si="21"/>
        <v>1.08 ±
0.38</v>
      </c>
    </row>
    <row r="215" spans="1:6" x14ac:dyDescent="0.55000000000000004">
      <c r="A215" s="6" t="s">
        <v>1097</v>
      </c>
      <c r="B215" s="6" t="str">
        <f t="shared" si="21"/>
        <v>1.15 ±
0.3</v>
      </c>
      <c r="C215" s="6" t="str">
        <f t="shared" si="21"/>
        <v>1.15 ±
0.29</v>
      </c>
      <c r="D215" s="6" t="str">
        <f t="shared" si="21"/>
        <v>1.39 ±
0.23</v>
      </c>
      <c r="E215" s="6" t="str">
        <f t="shared" si="21"/>
        <v>1.05 ±
0.33</v>
      </c>
      <c r="F215" s="6" t="str">
        <f t="shared" si="21"/>
        <v>1.15 ±
0.3</v>
      </c>
    </row>
    <row r="216" spans="1:6" x14ac:dyDescent="0.55000000000000004">
      <c r="A216" s="6"/>
      <c r="B216" s="6"/>
      <c r="C216" s="6"/>
      <c r="D216" s="6"/>
      <c r="E216" s="6"/>
      <c r="F216" s="6"/>
    </row>
    <row r="217" spans="1:6" x14ac:dyDescent="0.55000000000000004">
      <c r="A217" s="7" t="s">
        <v>1113</v>
      </c>
      <c r="B217" s="6"/>
      <c r="C217" s="6"/>
      <c r="D217" s="6"/>
      <c r="E217" s="6"/>
      <c r="F217" s="6"/>
    </row>
    <row r="218" spans="1:6" x14ac:dyDescent="0.55000000000000004">
      <c r="A218" s="6" t="s">
        <v>559</v>
      </c>
      <c r="B218" s="6"/>
      <c r="C218" s="6"/>
      <c r="D218" s="6"/>
      <c r="E218" s="6"/>
      <c r="F218" s="6"/>
    </row>
    <row r="219" spans="1:6" x14ac:dyDescent="0.55000000000000004">
      <c r="A219" s="6"/>
      <c r="B219" s="6" t="s">
        <v>554</v>
      </c>
      <c r="C219" s="6" t="s">
        <v>322</v>
      </c>
      <c r="D219" s="6" t="s">
        <v>555</v>
      </c>
      <c r="E219" s="6" t="s">
        <v>556</v>
      </c>
      <c r="F219" s="6" t="s">
        <v>560</v>
      </c>
    </row>
    <row r="220" spans="1:6" x14ac:dyDescent="0.55000000000000004">
      <c r="A220" s="6" t="s">
        <v>563</v>
      </c>
      <c r="B220" s="6">
        <v>0.8757967579617536</v>
      </c>
      <c r="C220" s="6">
        <v>0.86028175088679215</v>
      </c>
      <c r="D220" s="6">
        <v>0.90224265751029686</v>
      </c>
      <c r="E220" s="6">
        <v>0.85720855220039849</v>
      </c>
      <c r="F220" s="6">
        <v>0.86853142445902431</v>
      </c>
    </row>
    <row r="221" spans="1:6" x14ac:dyDescent="0.55000000000000004">
      <c r="A221" s="6" t="s">
        <v>564</v>
      </c>
      <c r="B221" s="6">
        <v>0.36791619312085111</v>
      </c>
      <c r="C221" s="6">
        <v>0.36013238169759076</v>
      </c>
      <c r="D221" s="6">
        <v>0.31170804109929917</v>
      </c>
      <c r="E221" s="6">
        <v>0.34131168466268363</v>
      </c>
      <c r="F221" s="6">
        <v>0.36015252050215696</v>
      </c>
    </row>
    <row r="222" spans="1:6" x14ac:dyDescent="0.55000000000000004">
      <c r="A222" s="6" t="s">
        <v>565</v>
      </c>
      <c r="B222" s="6">
        <v>0.48197527905766813</v>
      </c>
      <c r="C222" s="6">
        <v>0.50659394953655101</v>
      </c>
      <c r="D222" s="6">
        <v>0.44727250566196847</v>
      </c>
      <c r="E222" s="6">
        <v>0.46004067004371157</v>
      </c>
      <c r="F222" s="6">
        <v>0.48921462697065432</v>
      </c>
    </row>
    <row r="223" spans="1:6" x14ac:dyDescent="0.55000000000000004">
      <c r="A223" s="6"/>
      <c r="B223" s="6"/>
      <c r="C223" s="6"/>
      <c r="D223" s="6"/>
      <c r="E223" s="6"/>
      <c r="F223" s="6"/>
    </row>
    <row r="224" spans="1:6" x14ac:dyDescent="0.55000000000000004">
      <c r="A224" s="6" t="s">
        <v>558</v>
      </c>
      <c r="B224" s="6"/>
      <c r="C224" s="6"/>
      <c r="D224" s="6"/>
      <c r="E224" s="6"/>
      <c r="F224" s="6"/>
    </row>
    <row r="225" spans="1:6" x14ac:dyDescent="0.55000000000000004">
      <c r="A225" s="6"/>
      <c r="B225" s="6" t="s">
        <v>554</v>
      </c>
      <c r="C225" s="6" t="s">
        <v>322</v>
      </c>
      <c r="D225" s="6" t="s">
        <v>555</v>
      </c>
      <c r="E225" s="6" t="s">
        <v>556</v>
      </c>
      <c r="F225" s="6" t="s">
        <v>560</v>
      </c>
    </row>
    <row r="226" spans="1:6" x14ac:dyDescent="0.55000000000000004">
      <c r="A226" s="6" t="s">
        <v>563</v>
      </c>
      <c r="B226" s="6">
        <v>0.10104038063945149</v>
      </c>
      <c r="C226" s="6">
        <v>0.10334395365971676</v>
      </c>
      <c r="D226" s="6">
        <v>7.7427419162193062E-2</v>
      </c>
      <c r="E226" s="6">
        <v>0.15856084203110785</v>
      </c>
      <c r="F226" s="6">
        <v>0.10775458206802296</v>
      </c>
    </row>
    <row r="227" spans="1:6" x14ac:dyDescent="0.55000000000000004">
      <c r="A227" s="6" t="s">
        <v>564</v>
      </c>
      <c r="B227" s="6">
        <v>0.17747649667926368</v>
      </c>
      <c r="C227" s="6">
        <v>0.16380365267130162</v>
      </c>
      <c r="D227" s="6">
        <v>0.17797226408847022</v>
      </c>
      <c r="E227" s="6">
        <v>0.18414605421332578</v>
      </c>
      <c r="F227" s="6">
        <v>0.17237025684385238</v>
      </c>
    </row>
    <row r="228" spans="1:6" x14ac:dyDescent="0.55000000000000004">
      <c r="A228" s="6" t="s">
        <v>565</v>
      </c>
      <c r="B228" s="6">
        <v>0.13690347349859014</v>
      </c>
      <c r="C228" s="6">
        <v>0.14250087750633014</v>
      </c>
      <c r="D228" s="6">
        <v>0.1241030251735486</v>
      </c>
      <c r="E228" s="6">
        <v>0.17413263558048531</v>
      </c>
      <c r="F228" s="6">
        <v>0.14314064006490324</v>
      </c>
    </row>
    <row r="229" spans="1:6" x14ac:dyDescent="0.55000000000000004">
      <c r="A229" s="6"/>
      <c r="B229" s="6"/>
      <c r="C229" s="6"/>
      <c r="D229" s="6"/>
      <c r="E229" s="6"/>
      <c r="F229" s="6"/>
    </row>
    <row r="230" spans="1:6" x14ac:dyDescent="0.55000000000000004">
      <c r="A230" s="6" t="s">
        <v>562</v>
      </c>
      <c r="B230" s="6"/>
      <c r="C230" s="6"/>
      <c r="D230" s="6"/>
      <c r="E230" s="6"/>
      <c r="F230" s="6"/>
    </row>
    <row r="231" spans="1:6" x14ac:dyDescent="0.55000000000000004">
      <c r="A231" s="6"/>
      <c r="B231" s="6" t="s">
        <v>554</v>
      </c>
      <c r="C231" s="6" t="s">
        <v>322</v>
      </c>
      <c r="D231" s="6" t="s">
        <v>555</v>
      </c>
      <c r="E231" s="6" t="s">
        <v>556</v>
      </c>
      <c r="F231" s="6" t="s">
        <v>560</v>
      </c>
    </row>
    <row r="232" spans="1:6" x14ac:dyDescent="0.55000000000000004">
      <c r="A232" s="6" t="s">
        <v>563</v>
      </c>
      <c r="B232" s="8" t="str">
        <f>ROUND(B220,2) &amp; " ±
" &amp; ROUND(B226,2)</f>
        <v>0.88 ±
0.1</v>
      </c>
      <c r="C232" s="8" t="str">
        <f>ROUND(C220,2) &amp; " ±
" &amp; ROUND(C226,2)</f>
        <v>0.86 ±
0.1</v>
      </c>
      <c r="D232" s="8" t="str">
        <f t="shared" ref="D232:F232" si="22">ROUND(D220,2) &amp; " ±
" &amp; ROUND(D226,2)</f>
        <v>0.9 ±
0.08</v>
      </c>
      <c r="E232" s="8" t="str">
        <f t="shared" si="22"/>
        <v>0.86 ±
0.16</v>
      </c>
      <c r="F232" s="8" t="str">
        <f t="shared" si="22"/>
        <v>0.87 ±
0.11</v>
      </c>
    </row>
    <row r="233" spans="1:6" x14ac:dyDescent="0.55000000000000004">
      <c r="A233" s="6" t="s">
        <v>564</v>
      </c>
      <c r="B233" s="8" t="str">
        <f t="shared" ref="B233:F234" si="23">ROUND(B221,2) &amp; " ±
" &amp; ROUND(B227,2)</f>
        <v>0.37 ±
0.18</v>
      </c>
      <c r="C233" s="8" t="str">
        <f t="shared" si="23"/>
        <v>0.36 ±
0.16</v>
      </c>
      <c r="D233" s="8" t="str">
        <f t="shared" si="23"/>
        <v>0.31 ±
0.18</v>
      </c>
      <c r="E233" s="8" t="str">
        <f t="shared" si="23"/>
        <v>0.34 ±
0.18</v>
      </c>
      <c r="F233" s="8" t="str">
        <f t="shared" si="23"/>
        <v>0.36 ±
0.17</v>
      </c>
    </row>
    <row r="234" spans="1:6" x14ac:dyDescent="0.55000000000000004">
      <c r="A234" s="6" t="s">
        <v>565</v>
      </c>
      <c r="B234" s="8" t="str">
        <f t="shared" si="23"/>
        <v>0.48 ±
0.14</v>
      </c>
      <c r="C234" s="8" t="str">
        <f t="shared" si="23"/>
        <v>0.51 ±
0.14</v>
      </c>
      <c r="D234" s="8" t="str">
        <f t="shared" si="23"/>
        <v>0.45 ±
0.12</v>
      </c>
      <c r="E234" s="8" t="str">
        <f t="shared" si="23"/>
        <v>0.46 ±
0.17</v>
      </c>
      <c r="F234" s="8" t="str">
        <f t="shared" si="23"/>
        <v>0.49 ±
0.14</v>
      </c>
    </row>
    <row r="235" spans="1:6" x14ac:dyDescent="0.55000000000000004">
      <c r="A235" s="6"/>
      <c r="B235" s="6"/>
      <c r="C235" s="6"/>
      <c r="D235" s="6"/>
      <c r="E235" s="6"/>
      <c r="F235" s="6"/>
    </row>
    <row r="236" spans="1:6" x14ac:dyDescent="0.55000000000000004">
      <c r="A236" s="6"/>
      <c r="B236" s="6"/>
      <c r="C236" s="6"/>
      <c r="D236" s="6"/>
      <c r="E236" s="6"/>
      <c r="F236" s="6"/>
    </row>
    <row r="237" spans="1:6" x14ac:dyDescent="0.55000000000000004">
      <c r="A237" s="6"/>
      <c r="B237" s="6"/>
      <c r="C237" s="6"/>
      <c r="D237" s="6"/>
      <c r="E237" s="6"/>
      <c r="F237" s="6"/>
    </row>
    <row r="238" spans="1:6" x14ac:dyDescent="0.55000000000000004">
      <c r="A238" s="7" t="s">
        <v>1114</v>
      </c>
      <c r="B238" s="6"/>
      <c r="C238" s="6"/>
      <c r="D238" s="6"/>
      <c r="E238" s="6"/>
      <c r="F238" s="6"/>
    </row>
    <row r="239" spans="1:6" x14ac:dyDescent="0.55000000000000004">
      <c r="A239" s="6" t="s">
        <v>559</v>
      </c>
      <c r="B239" s="6"/>
      <c r="C239" s="6"/>
      <c r="D239" s="6"/>
      <c r="E239" s="6"/>
      <c r="F239" s="6"/>
    </row>
    <row r="240" spans="1:6" x14ac:dyDescent="0.55000000000000004">
      <c r="A240" s="6"/>
      <c r="B240" s="6" t="s">
        <v>554</v>
      </c>
      <c r="C240" s="6" t="s">
        <v>322</v>
      </c>
      <c r="D240" s="6" t="s">
        <v>555</v>
      </c>
      <c r="E240" s="6" t="s">
        <v>556</v>
      </c>
      <c r="F240" s="6" t="s">
        <v>560</v>
      </c>
    </row>
    <row r="241" spans="1:6" x14ac:dyDescent="0.55000000000000004">
      <c r="A241" s="6" t="s">
        <v>563</v>
      </c>
      <c r="B241" s="6">
        <v>0.92905925104101883</v>
      </c>
      <c r="C241" s="6">
        <v>0.92594930174899859</v>
      </c>
      <c r="D241" s="6">
        <v>0.93420904975291763</v>
      </c>
      <c r="E241" s="6">
        <v>0.92048540682525015</v>
      </c>
      <c r="F241" s="6">
        <v>0.92716752361562327</v>
      </c>
    </row>
    <row r="242" spans="1:6" x14ac:dyDescent="0.55000000000000004">
      <c r="A242" s="6" t="s">
        <v>564</v>
      </c>
      <c r="B242" s="6">
        <v>0.36650963372879236</v>
      </c>
      <c r="C242" s="6">
        <v>0.35050717329751779</v>
      </c>
      <c r="D242" s="6">
        <v>0.34278338819459997</v>
      </c>
      <c r="E242" s="6">
        <v>0.35918124898496878</v>
      </c>
      <c r="F242" s="6">
        <v>0.35816697256404934</v>
      </c>
    </row>
    <row r="243" spans="1:6" x14ac:dyDescent="0.55000000000000004">
      <c r="A243" s="6" t="s">
        <v>565</v>
      </c>
      <c r="B243" s="6">
        <v>0.3093360267151346</v>
      </c>
      <c r="C243" s="6">
        <v>0.32662568701620259</v>
      </c>
      <c r="D243" s="6">
        <v>0.30413396706596024</v>
      </c>
      <c r="E243" s="6">
        <v>0.36902471270535336</v>
      </c>
      <c r="F243" s="6">
        <v>0.32181330827665222</v>
      </c>
    </row>
    <row r="244" spans="1:6" x14ac:dyDescent="0.55000000000000004">
      <c r="A244" s="6"/>
      <c r="B244" s="6"/>
      <c r="C244" s="6"/>
      <c r="D244" s="6"/>
      <c r="E244" s="6"/>
      <c r="F244" s="6"/>
    </row>
    <row r="245" spans="1:6" x14ac:dyDescent="0.55000000000000004">
      <c r="A245" s="6" t="s">
        <v>558</v>
      </c>
      <c r="B245" s="6"/>
      <c r="C245" s="6"/>
      <c r="D245" s="6"/>
      <c r="E245" s="6"/>
      <c r="F245" s="6"/>
    </row>
    <row r="246" spans="1:6" x14ac:dyDescent="0.55000000000000004">
      <c r="A246" s="6"/>
      <c r="B246" s="6" t="s">
        <v>554</v>
      </c>
      <c r="C246" s="6" t="s">
        <v>322</v>
      </c>
      <c r="D246" s="6" t="s">
        <v>555</v>
      </c>
      <c r="E246" s="6" t="s">
        <v>556</v>
      </c>
      <c r="F246" s="6" t="s">
        <v>560</v>
      </c>
    </row>
    <row r="247" spans="1:6" x14ac:dyDescent="0.55000000000000004">
      <c r="A247" s="6" t="s">
        <v>563</v>
      </c>
      <c r="B247" s="6">
        <v>4.0102279497310218E-2</v>
      </c>
      <c r="C247" s="6">
        <v>4.6386776237796939E-2</v>
      </c>
      <c r="D247" s="6">
        <v>4.0184257047942464E-2</v>
      </c>
      <c r="E247" s="6">
        <v>5.9333403544719096E-2</v>
      </c>
      <c r="F247" s="6">
        <v>4.4778154666493923E-2</v>
      </c>
    </row>
    <row r="248" spans="1:6" x14ac:dyDescent="0.55000000000000004">
      <c r="A248" s="6" t="s">
        <v>564</v>
      </c>
      <c r="B248" s="6">
        <v>8.8102649249976295E-2</v>
      </c>
      <c r="C248" s="6">
        <v>9.1147661612675651E-2</v>
      </c>
      <c r="D248" s="6">
        <v>7.9350454450008656E-2</v>
      </c>
      <c r="E248" s="6">
        <v>0.10566107146809087</v>
      </c>
      <c r="F248" s="6">
        <v>9.0893733680692659E-2</v>
      </c>
    </row>
    <row r="249" spans="1:6" x14ac:dyDescent="0.55000000000000004">
      <c r="A249" s="6" t="s">
        <v>565</v>
      </c>
      <c r="B249" s="6">
        <v>0.11307643602559167</v>
      </c>
      <c r="C249" s="6">
        <v>0.11994233374950858</v>
      </c>
      <c r="D249" s="6">
        <v>0.13391386274777742</v>
      </c>
      <c r="E249" s="6">
        <v>0.11344019213023843</v>
      </c>
      <c r="F249" s="6">
        <v>0.11780671189139669</v>
      </c>
    </row>
    <row r="250" spans="1:6" x14ac:dyDescent="0.55000000000000004">
      <c r="A250" s="6"/>
      <c r="B250" s="6"/>
      <c r="C250" s="6"/>
      <c r="D250" s="6"/>
      <c r="E250" s="6"/>
      <c r="F250" s="6"/>
    </row>
    <row r="251" spans="1:6" x14ac:dyDescent="0.55000000000000004">
      <c r="A251" s="6" t="s">
        <v>562</v>
      </c>
      <c r="B251" s="6"/>
      <c r="C251" s="6"/>
      <c r="D251" s="6"/>
      <c r="E251" s="6"/>
      <c r="F251" s="6"/>
    </row>
    <row r="252" spans="1:6" x14ac:dyDescent="0.55000000000000004">
      <c r="A252" s="6"/>
      <c r="B252" s="6" t="s">
        <v>554</v>
      </c>
      <c r="C252" s="6" t="s">
        <v>322</v>
      </c>
      <c r="D252" s="6" t="s">
        <v>555</v>
      </c>
      <c r="E252" s="6" t="s">
        <v>556</v>
      </c>
      <c r="F252" s="6" t="s">
        <v>560</v>
      </c>
    </row>
    <row r="253" spans="1:6" x14ac:dyDescent="0.55000000000000004">
      <c r="A253" s="6" t="s">
        <v>563</v>
      </c>
      <c r="B253" s="8" t="str">
        <f>ROUND(B241,2) &amp; " ±
" &amp; ROUND(B247,2)</f>
        <v>0.93 ±
0.04</v>
      </c>
      <c r="C253" s="8" t="str">
        <f t="shared" ref="C253:F253" si="24">ROUND(C241,2) &amp; " ±
" &amp; ROUND(C247,2)</f>
        <v>0.93 ±
0.05</v>
      </c>
      <c r="D253" s="8" t="str">
        <f t="shared" si="24"/>
        <v>0.93 ±
0.04</v>
      </c>
      <c r="E253" s="8" t="str">
        <f t="shared" si="24"/>
        <v>0.92 ±
0.06</v>
      </c>
      <c r="F253" s="8" t="str">
        <f t="shared" si="24"/>
        <v>0.93 ±
0.04</v>
      </c>
    </row>
    <row r="254" spans="1:6" x14ac:dyDescent="0.55000000000000004">
      <c r="A254" s="6" t="s">
        <v>564</v>
      </c>
      <c r="B254" s="8" t="str">
        <f t="shared" ref="B254:F255" si="25">ROUND(B242,2) &amp; " ±
" &amp; ROUND(B248,2)</f>
        <v>0.37 ±
0.09</v>
      </c>
      <c r="C254" s="8" t="str">
        <f t="shared" si="25"/>
        <v>0.35 ±
0.09</v>
      </c>
      <c r="D254" s="8" t="str">
        <f t="shared" si="25"/>
        <v>0.34 ±
0.08</v>
      </c>
      <c r="E254" s="8" t="str">
        <f t="shared" si="25"/>
        <v>0.36 ±
0.11</v>
      </c>
      <c r="F254" s="8" t="str">
        <f t="shared" si="25"/>
        <v>0.36 ±
0.09</v>
      </c>
    </row>
    <row r="255" spans="1:6" x14ac:dyDescent="0.55000000000000004">
      <c r="A255" s="6" t="s">
        <v>565</v>
      </c>
      <c r="B255" s="8" t="str">
        <f t="shared" si="25"/>
        <v>0.31 ±
0.11</v>
      </c>
      <c r="C255" s="8" t="str">
        <f t="shared" si="25"/>
        <v>0.33 ±
0.12</v>
      </c>
      <c r="D255" s="8" t="str">
        <f t="shared" si="25"/>
        <v>0.3 ±
0.13</v>
      </c>
      <c r="E255" s="8" t="str">
        <f t="shared" si="25"/>
        <v>0.37 ±
0.11</v>
      </c>
      <c r="F255" s="8" t="str">
        <f t="shared" si="25"/>
        <v>0.32 ±
0.12</v>
      </c>
    </row>
    <row r="256" spans="1:6" x14ac:dyDescent="0.55000000000000004">
      <c r="A256" s="6"/>
      <c r="B256" s="6"/>
      <c r="C256" s="6"/>
      <c r="D256" s="6"/>
      <c r="E256" s="6"/>
      <c r="F256" s="6"/>
    </row>
    <row r="257" spans="1:6" x14ac:dyDescent="0.55000000000000004">
      <c r="A257" s="7" t="s">
        <v>1115</v>
      </c>
      <c r="B257" s="6"/>
      <c r="C257" s="6"/>
      <c r="D257" s="6"/>
      <c r="E257" s="6"/>
      <c r="F257" s="6"/>
    </row>
    <row r="258" spans="1:6" x14ac:dyDescent="0.55000000000000004">
      <c r="A258" s="6" t="s">
        <v>559</v>
      </c>
      <c r="B258" s="6"/>
      <c r="C258" s="6"/>
      <c r="D258" s="6"/>
      <c r="E258" s="6"/>
      <c r="F258" s="6"/>
    </row>
    <row r="259" spans="1:6" x14ac:dyDescent="0.55000000000000004">
      <c r="A259" s="6"/>
      <c r="B259" s="6" t="s">
        <v>554</v>
      </c>
      <c r="C259" s="6" t="s">
        <v>322</v>
      </c>
      <c r="D259" s="6" t="s">
        <v>555</v>
      </c>
      <c r="E259" s="6" t="s">
        <v>556</v>
      </c>
      <c r="F259" s="6" t="s">
        <v>560</v>
      </c>
    </row>
    <row r="260" spans="1:6" x14ac:dyDescent="0.55000000000000004">
      <c r="A260" s="6" t="s">
        <v>563</v>
      </c>
      <c r="B260" s="6">
        <v>0.64190730961775944</v>
      </c>
      <c r="C260" s="6">
        <v>0.59978978053517584</v>
      </c>
      <c r="D260" s="6">
        <v>0.67633455532420972</v>
      </c>
      <c r="E260" s="6">
        <v>0.70123534743545113</v>
      </c>
      <c r="F260" s="6">
        <v>0.62364231098760203</v>
      </c>
    </row>
    <row r="261" spans="1:6" x14ac:dyDescent="0.55000000000000004">
      <c r="A261" s="6" t="s">
        <v>564</v>
      </c>
      <c r="B261" s="6">
        <v>0.26732963316617531</v>
      </c>
      <c r="C261" s="6">
        <v>0.23980412219821531</v>
      </c>
      <c r="D261" s="6">
        <v>0.17276361986660047</v>
      </c>
      <c r="E261" s="6">
        <v>0.26803268445463568</v>
      </c>
      <c r="F261" s="6">
        <v>0.24848482080052753</v>
      </c>
    </row>
    <row r="262" spans="1:6" x14ac:dyDescent="0.55000000000000004">
      <c r="A262" s="6" t="s">
        <v>565</v>
      </c>
      <c r="B262" s="6">
        <v>0.84839457611121105</v>
      </c>
      <c r="C262" s="6">
        <v>0.89297452978867375</v>
      </c>
      <c r="D262" s="6">
        <v>0.84717853774293217</v>
      </c>
      <c r="E262" s="6">
        <v>0.8077996923319839</v>
      </c>
      <c r="F262" s="6">
        <v>0.87099455990329511</v>
      </c>
    </row>
    <row r="263" spans="1:6" x14ac:dyDescent="0.55000000000000004">
      <c r="A263" s="6"/>
      <c r="B263" s="6"/>
      <c r="C263" s="6"/>
      <c r="D263" s="6"/>
      <c r="E263" s="6"/>
      <c r="F263" s="6"/>
    </row>
    <row r="264" spans="1:6" x14ac:dyDescent="0.55000000000000004">
      <c r="A264" s="6" t="s">
        <v>558</v>
      </c>
      <c r="B264" s="6"/>
      <c r="C264" s="6"/>
      <c r="D264" s="6"/>
      <c r="E264" s="6"/>
      <c r="F264" s="6"/>
    </row>
    <row r="265" spans="1:6" x14ac:dyDescent="0.55000000000000004">
      <c r="A265" s="6"/>
      <c r="B265" s="6" t="s">
        <v>554</v>
      </c>
      <c r="C265" s="6" t="s">
        <v>322</v>
      </c>
      <c r="D265" s="6" t="s">
        <v>555</v>
      </c>
      <c r="E265" s="6" t="s">
        <v>556</v>
      </c>
      <c r="F265" s="6" t="s">
        <v>560</v>
      </c>
    </row>
    <row r="266" spans="1:6" x14ac:dyDescent="0.55000000000000004">
      <c r="A266" s="6" t="s">
        <v>563</v>
      </c>
      <c r="B266" s="6">
        <v>0.17310878104399968</v>
      </c>
      <c r="C266" s="6">
        <v>0.15940714090055191</v>
      </c>
      <c r="D266" s="6">
        <v>0.22532778260060521</v>
      </c>
      <c r="E266" s="6">
        <v>0.13017865657977745</v>
      </c>
      <c r="F266" s="6">
        <v>0.16417555000595355</v>
      </c>
    </row>
    <row r="267" spans="1:6" x14ac:dyDescent="0.55000000000000004">
      <c r="A267" s="6" t="s">
        <v>564</v>
      </c>
      <c r="B267" s="6">
        <v>0.10205047094154079</v>
      </c>
      <c r="C267" s="6">
        <v>0.10431763000555701</v>
      </c>
      <c r="D267" s="6">
        <v>7.9154373584714874E-2</v>
      </c>
      <c r="E267" s="6">
        <v>9.5913507166466877E-2</v>
      </c>
      <c r="F267" s="6">
        <v>0.10324977728094517</v>
      </c>
    </row>
    <row r="268" spans="1:6" x14ac:dyDescent="0.55000000000000004">
      <c r="A268" s="6" t="s">
        <v>565</v>
      </c>
      <c r="B268" s="6">
        <v>0.12189000653824791</v>
      </c>
      <c r="C268" s="6">
        <v>6.1091260892942152E-2</v>
      </c>
      <c r="D268" s="6">
        <v>6.8730513852518896E-2</v>
      </c>
      <c r="E268" s="6">
        <v>0.10631755280436175</v>
      </c>
      <c r="F268" s="6">
        <v>9.0676109067247976E-2</v>
      </c>
    </row>
    <row r="269" spans="1:6" x14ac:dyDescent="0.55000000000000004">
      <c r="A269" s="6"/>
      <c r="B269" s="6"/>
      <c r="C269" s="6"/>
      <c r="D269" s="6"/>
      <c r="E269" s="6"/>
      <c r="F269" s="6"/>
    </row>
    <row r="270" spans="1:6" x14ac:dyDescent="0.55000000000000004">
      <c r="A270" s="6" t="s">
        <v>562</v>
      </c>
      <c r="B270" s="6"/>
      <c r="C270" s="6"/>
      <c r="D270" s="6"/>
      <c r="E270" s="6"/>
      <c r="F270" s="6"/>
    </row>
    <row r="271" spans="1:6" x14ac:dyDescent="0.55000000000000004">
      <c r="A271" s="6"/>
      <c r="B271" s="6" t="s">
        <v>554</v>
      </c>
      <c r="C271" s="6" t="s">
        <v>322</v>
      </c>
      <c r="D271" s="6" t="s">
        <v>555</v>
      </c>
      <c r="E271" s="6" t="s">
        <v>556</v>
      </c>
      <c r="F271" s="6" t="s">
        <v>560</v>
      </c>
    </row>
    <row r="272" spans="1:6" x14ac:dyDescent="0.55000000000000004">
      <c r="A272" s="6" t="s">
        <v>563</v>
      </c>
      <c r="B272" s="8" t="str">
        <f>ROUND(B260,2) &amp; " ±
" &amp; ROUND(B266,2)</f>
        <v>0.64 ±
0.17</v>
      </c>
      <c r="C272" s="8" t="str">
        <f>ROUND(C260,2) &amp; " ±
" &amp; ROUND(C266,2)</f>
        <v>0.6 ±
0.16</v>
      </c>
      <c r="D272" s="8" t="str">
        <f t="shared" ref="D272:F272" si="26">ROUND(D260,2) &amp; " ±
" &amp; ROUND(D266,2)</f>
        <v>0.68 ±
0.23</v>
      </c>
      <c r="E272" s="8" t="str">
        <f t="shared" si="26"/>
        <v>0.7 ±
0.13</v>
      </c>
      <c r="F272" s="8" t="str">
        <f t="shared" si="26"/>
        <v>0.62 ±
0.16</v>
      </c>
    </row>
    <row r="273" spans="1:6" x14ac:dyDescent="0.55000000000000004">
      <c r="A273" s="6" t="s">
        <v>564</v>
      </c>
      <c r="B273" s="8" t="str">
        <f t="shared" ref="B273:F273" si="27">ROUND(B261,2) &amp; " ±
" &amp; ROUND(B267,2)</f>
        <v>0.27 ±
0.1</v>
      </c>
      <c r="C273" s="8" t="str">
        <f t="shared" si="27"/>
        <v>0.24 ±
0.1</v>
      </c>
      <c r="D273" s="8" t="str">
        <f t="shared" si="27"/>
        <v>0.17 ±
0.08</v>
      </c>
      <c r="E273" s="8" t="str">
        <f t="shared" si="27"/>
        <v>0.27 ±
0.1</v>
      </c>
      <c r="F273" s="8" t="str">
        <f t="shared" si="27"/>
        <v>0.25 ±
0.1</v>
      </c>
    </row>
    <row r="274" spans="1:6" x14ac:dyDescent="0.55000000000000004">
      <c r="A274" s="6" t="s">
        <v>565</v>
      </c>
      <c r="B274" s="8" t="str">
        <f t="shared" ref="B274:F274" si="28">ROUND(B262,2) &amp; " ±
" &amp; ROUND(B268,2)</f>
        <v>0.85 ±
0.12</v>
      </c>
      <c r="C274" s="8" t="str">
        <f t="shared" si="28"/>
        <v>0.89 ±
0.06</v>
      </c>
      <c r="D274" s="8" t="str">
        <f t="shared" si="28"/>
        <v>0.85 ±
0.07</v>
      </c>
      <c r="E274" s="8" t="str">
        <f t="shared" si="28"/>
        <v>0.81 ±
0.11</v>
      </c>
      <c r="F274" s="8" t="str">
        <f t="shared" si="28"/>
        <v>0.87 ±
0.09</v>
      </c>
    </row>
    <row r="275" spans="1:6" x14ac:dyDescent="0.55000000000000004">
      <c r="A275" s="6"/>
      <c r="B275" s="6"/>
      <c r="C275" s="6"/>
      <c r="D275" s="6"/>
      <c r="E275" s="6"/>
      <c r="F275" s="6"/>
    </row>
    <row r="276" spans="1:6" x14ac:dyDescent="0.55000000000000004">
      <c r="A276" s="6"/>
      <c r="B276" s="6"/>
      <c r="C276" s="6"/>
      <c r="D276" s="6"/>
      <c r="E276" s="6"/>
      <c r="F276" s="6"/>
    </row>
    <row r="277" spans="1:6" x14ac:dyDescent="0.55000000000000004">
      <c r="A277" s="6"/>
      <c r="B277" s="6"/>
      <c r="C277" s="6"/>
      <c r="D277" s="6"/>
      <c r="E277" s="6"/>
      <c r="F277" s="6"/>
    </row>
    <row r="278" spans="1:6" x14ac:dyDescent="0.55000000000000004">
      <c r="A278" s="7" t="s">
        <v>1116</v>
      </c>
      <c r="B278" s="6"/>
      <c r="C278" s="6"/>
      <c r="D278" s="6"/>
      <c r="E278" s="6"/>
      <c r="F278" s="6"/>
    </row>
    <row r="279" spans="1:6" x14ac:dyDescent="0.55000000000000004">
      <c r="A279" s="6" t="s">
        <v>559</v>
      </c>
      <c r="B279" s="6"/>
      <c r="C279" s="6"/>
      <c r="D279" s="6"/>
      <c r="E279" s="6"/>
      <c r="F279" s="6"/>
    </row>
    <row r="280" spans="1:6" x14ac:dyDescent="0.55000000000000004">
      <c r="A280" s="6"/>
      <c r="B280" s="6" t="s">
        <v>554</v>
      </c>
      <c r="C280" s="6" t="s">
        <v>322</v>
      </c>
      <c r="D280" s="6" t="s">
        <v>555</v>
      </c>
      <c r="E280" s="6" t="s">
        <v>556</v>
      </c>
      <c r="F280" s="6" t="s">
        <v>560</v>
      </c>
    </row>
    <row r="281" spans="1:6" x14ac:dyDescent="0.55000000000000004">
      <c r="A281" s="6" t="s">
        <v>563</v>
      </c>
      <c r="B281" s="6">
        <v>0.72761809719568671</v>
      </c>
      <c r="C281" s="6">
        <v>0.72914930543914036</v>
      </c>
      <c r="D281" s="6">
        <v>0.867950556199373</v>
      </c>
      <c r="E281" s="6">
        <v>0.73853294256384494</v>
      </c>
      <c r="F281" s="6">
        <v>0.73299016204356793</v>
      </c>
    </row>
    <row r="282" spans="1:6" x14ac:dyDescent="0.55000000000000004">
      <c r="A282" s="6" t="s">
        <v>564</v>
      </c>
      <c r="B282" s="6">
        <v>0.58153378806498612</v>
      </c>
      <c r="C282" s="6">
        <v>0.56734116884971908</v>
      </c>
      <c r="D282" s="6">
        <v>0.45732296914995763</v>
      </c>
      <c r="E282" s="6">
        <v>0.6268749833397792</v>
      </c>
      <c r="F282" s="6">
        <v>0.57505318371293401</v>
      </c>
    </row>
    <row r="283" spans="1:6" x14ac:dyDescent="0.55000000000000004">
      <c r="A283" s="6" t="s">
        <v>565</v>
      </c>
      <c r="B283" s="6">
        <v>0.56445523805795883</v>
      </c>
      <c r="C283" s="6">
        <v>0.51753213661616659</v>
      </c>
      <c r="D283" s="6">
        <v>0.38706002894913338</v>
      </c>
      <c r="E283" s="6">
        <v>0.43643533987060473</v>
      </c>
      <c r="F283" s="6">
        <v>0.51766582334663525</v>
      </c>
    </row>
    <row r="284" spans="1:6" x14ac:dyDescent="0.55000000000000004">
      <c r="A284" s="6"/>
      <c r="B284" s="6"/>
      <c r="C284" s="6"/>
      <c r="D284" s="6"/>
      <c r="E284" s="6"/>
      <c r="F284" s="6"/>
    </row>
    <row r="285" spans="1:6" x14ac:dyDescent="0.55000000000000004">
      <c r="A285" s="6" t="s">
        <v>558</v>
      </c>
      <c r="B285" s="6"/>
      <c r="C285" s="6"/>
      <c r="D285" s="6"/>
      <c r="E285" s="6"/>
      <c r="F285" s="6"/>
    </row>
    <row r="286" spans="1:6" x14ac:dyDescent="0.55000000000000004">
      <c r="A286" s="6"/>
      <c r="B286" s="6" t="s">
        <v>554</v>
      </c>
      <c r="C286" s="6" t="s">
        <v>322</v>
      </c>
      <c r="D286" s="6" t="s">
        <v>555</v>
      </c>
      <c r="E286" s="6" t="s">
        <v>556</v>
      </c>
      <c r="F286" s="6" t="s">
        <v>560</v>
      </c>
    </row>
    <row r="287" spans="1:6" x14ac:dyDescent="0.55000000000000004">
      <c r="A287" s="6" t="s">
        <v>563</v>
      </c>
      <c r="B287" s="6">
        <v>0.16572869189524167</v>
      </c>
      <c r="C287" s="6">
        <v>0.1570735539375267</v>
      </c>
      <c r="D287" s="6">
        <v>8.1406160108840664E-2</v>
      </c>
      <c r="E287" s="6">
        <v>0.15679004829981241</v>
      </c>
      <c r="F287" s="6">
        <v>0.15855199969634354</v>
      </c>
    </row>
    <row r="288" spans="1:6" x14ac:dyDescent="0.55000000000000004">
      <c r="A288" s="6" t="s">
        <v>564</v>
      </c>
      <c r="B288" s="6">
        <v>0.13279699065901884</v>
      </c>
      <c r="C288" s="6">
        <v>0.15739636397209991</v>
      </c>
      <c r="D288" s="6">
        <v>0.15042704898272194</v>
      </c>
      <c r="E288" s="6">
        <v>0.17340931514800792</v>
      </c>
      <c r="F288" s="6">
        <v>0.15428102129629545</v>
      </c>
    </row>
    <row r="289" spans="1:6" x14ac:dyDescent="0.55000000000000004">
      <c r="A289" s="6" t="s">
        <v>565</v>
      </c>
      <c r="B289" s="6">
        <v>0.18575331132961603</v>
      </c>
      <c r="C289" s="6">
        <v>0.23670982016622219</v>
      </c>
      <c r="D289" s="6">
        <v>0.14005794966917115</v>
      </c>
      <c r="E289" s="6">
        <v>0.21938365593823306</v>
      </c>
      <c r="F289" s="6">
        <v>0.22349864360046309</v>
      </c>
    </row>
    <row r="290" spans="1:6" x14ac:dyDescent="0.55000000000000004">
      <c r="A290" s="6"/>
      <c r="B290" s="6"/>
      <c r="C290" s="6"/>
      <c r="D290" s="6"/>
      <c r="E290" s="6"/>
      <c r="F290" s="6"/>
    </row>
    <row r="291" spans="1:6" x14ac:dyDescent="0.55000000000000004">
      <c r="A291" s="6" t="s">
        <v>562</v>
      </c>
      <c r="B291" s="6"/>
      <c r="C291" s="6"/>
      <c r="D291" s="6"/>
      <c r="E291" s="6"/>
      <c r="F291" s="6"/>
    </row>
    <row r="292" spans="1:6" x14ac:dyDescent="0.55000000000000004">
      <c r="A292" s="6"/>
      <c r="B292" s="6" t="s">
        <v>554</v>
      </c>
      <c r="C292" s="6" t="s">
        <v>322</v>
      </c>
      <c r="D292" s="6" t="s">
        <v>555</v>
      </c>
      <c r="E292" s="6" t="s">
        <v>556</v>
      </c>
      <c r="F292" s="6" t="s">
        <v>560</v>
      </c>
    </row>
    <row r="293" spans="1:6" x14ac:dyDescent="0.55000000000000004">
      <c r="A293" s="6" t="s">
        <v>563</v>
      </c>
      <c r="B293" s="8" t="str">
        <f>ROUND(B281,2) &amp; " ±
" &amp; ROUND(B287,2)</f>
        <v>0.73 ±
0.17</v>
      </c>
      <c r="C293" s="8" t="str">
        <f t="shared" ref="C293:F293" si="29">ROUND(C281,2) &amp; " ±
" &amp; ROUND(C287,2)</f>
        <v>0.73 ±
0.16</v>
      </c>
      <c r="D293" s="8" t="str">
        <f t="shared" si="29"/>
        <v>0.87 ±
0.08</v>
      </c>
      <c r="E293" s="8" t="str">
        <f t="shared" si="29"/>
        <v>0.74 ±
0.16</v>
      </c>
      <c r="F293" s="8" t="str">
        <f t="shared" si="29"/>
        <v>0.73 ±
0.16</v>
      </c>
    </row>
    <row r="294" spans="1:6" x14ac:dyDescent="0.55000000000000004">
      <c r="A294" s="6" t="s">
        <v>564</v>
      </c>
      <c r="B294" s="8" t="str">
        <f t="shared" ref="B294:F294" si="30">ROUND(B282,2) &amp; " ±
" &amp; ROUND(B288,2)</f>
        <v>0.58 ±
0.13</v>
      </c>
      <c r="C294" s="8" t="str">
        <f t="shared" si="30"/>
        <v>0.57 ±
0.16</v>
      </c>
      <c r="D294" s="8" t="str">
        <f t="shared" si="30"/>
        <v>0.46 ±
0.15</v>
      </c>
      <c r="E294" s="8" t="str">
        <f t="shared" si="30"/>
        <v>0.63 ±
0.17</v>
      </c>
      <c r="F294" s="8" t="str">
        <f t="shared" si="30"/>
        <v>0.58 ±
0.15</v>
      </c>
    </row>
    <row r="295" spans="1:6" x14ac:dyDescent="0.55000000000000004">
      <c r="A295" s="6" t="s">
        <v>565</v>
      </c>
      <c r="B295" s="8" t="str">
        <f t="shared" ref="B295:F295" si="31">ROUND(B283,2) &amp; " ±
" &amp; ROUND(B289,2)</f>
        <v>0.56 ±
0.19</v>
      </c>
      <c r="C295" s="8" t="str">
        <f t="shared" si="31"/>
        <v>0.52 ±
0.24</v>
      </c>
      <c r="D295" s="8" t="str">
        <f t="shared" si="31"/>
        <v>0.39 ±
0.14</v>
      </c>
      <c r="E295" s="8" t="str">
        <f t="shared" si="31"/>
        <v>0.44 ±
0.22</v>
      </c>
      <c r="F295" s="8" t="str">
        <f t="shared" si="31"/>
        <v>0.52 ±
0.22</v>
      </c>
    </row>
    <row r="296" spans="1:6" x14ac:dyDescent="0.55000000000000004">
      <c r="A296" s="6"/>
      <c r="B296" s="6"/>
      <c r="C296" s="6"/>
      <c r="D296" s="6"/>
      <c r="E296" s="6"/>
      <c r="F296" s="6"/>
    </row>
    <row r="297" spans="1:6" x14ac:dyDescent="0.55000000000000004">
      <c r="A297" s="7" t="s">
        <v>1117</v>
      </c>
      <c r="B297" s="6"/>
      <c r="C297" s="6"/>
      <c r="D297" s="6"/>
      <c r="E297" s="6"/>
      <c r="F297" s="6"/>
    </row>
    <row r="298" spans="1:6" x14ac:dyDescent="0.55000000000000004">
      <c r="A298" s="6" t="s">
        <v>559</v>
      </c>
      <c r="B298" s="6"/>
      <c r="C298" s="6"/>
      <c r="D298" s="6"/>
      <c r="E298" s="6"/>
      <c r="F298" s="6"/>
    </row>
    <row r="299" spans="1:6" x14ac:dyDescent="0.55000000000000004">
      <c r="A299" s="6"/>
      <c r="B299" s="6" t="s">
        <v>554</v>
      </c>
      <c r="C299" s="6" t="s">
        <v>322</v>
      </c>
      <c r="D299" s="6" t="s">
        <v>555</v>
      </c>
      <c r="E299" s="6" t="s">
        <v>556</v>
      </c>
      <c r="F299" s="6" t="s">
        <v>560</v>
      </c>
    </row>
    <row r="300" spans="1:6" x14ac:dyDescent="0.55000000000000004">
      <c r="A300" s="6" t="s">
        <v>563</v>
      </c>
      <c r="B300" s="6">
        <v>0.76380758427488893</v>
      </c>
      <c r="C300" s="6">
        <v>0.78863390453123905</v>
      </c>
      <c r="D300" s="6">
        <v>0.7948118246990532</v>
      </c>
      <c r="E300" s="6">
        <v>0.85577787419824347</v>
      </c>
      <c r="F300" s="6">
        <v>0.78979552175931067</v>
      </c>
    </row>
    <row r="301" spans="1:6" x14ac:dyDescent="0.55000000000000004">
      <c r="A301" s="6" t="s">
        <v>564</v>
      </c>
      <c r="B301" s="6">
        <v>0.41938025836501852</v>
      </c>
      <c r="C301" s="6">
        <v>0.40980499876486404</v>
      </c>
      <c r="D301" s="6">
        <v>0.32362388885505028</v>
      </c>
      <c r="E301" s="6">
        <v>0.42690632975906451</v>
      </c>
      <c r="F301" s="6">
        <v>0.41218168508707798</v>
      </c>
    </row>
    <row r="302" spans="1:6" x14ac:dyDescent="0.55000000000000004">
      <c r="A302" s="6" t="s">
        <v>565</v>
      </c>
      <c r="B302" s="6">
        <v>0.6826552416362528</v>
      </c>
      <c r="C302" s="6">
        <v>0.62901712816097755</v>
      </c>
      <c r="D302" s="6">
        <v>0.68158545588218988</v>
      </c>
      <c r="E302" s="6">
        <v>0.54582133866802318</v>
      </c>
      <c r="F302" s="6">
        <v>0.63486909611208608</v>
      </c>
    </row>
    <row r="303" spans="1:6" x14ac:dyDescent="0.55000000000000004">
      <c r="A303" s="6"/>
      <c r="B303" s="6"/>
      <c r="C303" s="6"/>
      <c r="D303" s="6"/>
      <c r="E303" s="6"/>
      <c r="F303" s="6"/>
    </row>
    <row r="304" spans="1:6" x14ac:dyDescent="0.55000000000000004">
      <c r="A304" s="6" t="s">
        <v>558</v>
      </c>
      <c r="B304" s="6"/>
      <c r="C304" s="6"/>
      <c r="D304" s="6"/>
      <c r="E304" s="6"/>
      <c r="F304" s="6"/>
    </row>
    <row r="305" spans="1:10" x14ac:dyDescent="0.55000000000000004">
      <c r="A305" s="6"/>
      <c r="B305" s="6" t="s">
        <v>554</v>
      </c>
      <c r="C305" s="6" t="s">
        <v>322</v>
      </c>
      <c r="D305" s="6" t="s">
        <v>555</v>
      </c>
      <c r="E305" s="6" t="s">
        <v>556</v>
      </c>
      <c r="F305" s="6" t="s">
        <v>560</v>
      </c>
    </row>
    <row r="306" spans="1:10" x14ac:dyDescent="0.55000000000000004">
      <c r="A306" s="6" t="s">
        <v>563</v>
      </c>
      <c r="B306" s="6">
        <v>0.10633726147482654</v>
      </c>
      <c r="C306" s="6">
        <v>8.4358637130423339E-2</v>
      </c>
      <c r="D306" s="6">
        <v>0.13487941292067723</v>
      </c>
      <c r="E306" s="6">
        <v>7.4303544782237746E-2</v>
      </c>
      <c r="F306" s="6">
        <v>9.370290380500694E-2</v>
      </c>
    </row>
    <row r="307" spans="1:10" x14ac:dyDescent="0.55000000000000004">
      <c r="A307" s="6" t="s">
        <v>564</v>
      </c>
      <c r="B307" s="6">
        <v>9.5356187107786594E-2</v>
      </c>
      <c r="C307" s="6">
        <v>8.7715882647443857E-2</v>
      </c>
      <c r="D307" s="6">
        <v>7.1731285657091248E-2</v>
      </c>
      <c r="E307" s="6">
        <v>9.3906650476162812E-2</v>
      </c>
      <c r="F307" s="6">
        <v>9.0765715264018804E-2</v>
      </c>
    </row>
    <row r="308" spans="1:10" x14ac:dyDescent="0.55000000000000004">
      <c r="A308" s="6" t="s">
        <v>565</v>
      </c>
      <c r="B308" s="6">
        <v>0.12394924568806552</v>
      </c>
      <c r="C308" s="6">
        <v>0.12425068168429737</v>
      </c>
      <c r="D308" s="6">
        <v>0.13482541729806921</v>
      </c>
      <c r="E308" s="6">
        <v>0.11302099379938182</v>
      </c>
      <c r="F308" s="6">
        <v>0.12851576851069083</v>
      </c>
    </row>
    <row r="309" spans="1:10" x14ac:dyDescent="0.55000000000000004">
      <c r="A309" s="6"/>
      <c r="B309" s="6"/>
      <c r="C309" s="6"/>
      <c r="D309" s="6"/>
      <c r="E309" s="6"/>
      <c r="F309" s="6"/>
    </row>
    <row r="310" spans="1:10" x14ac:dyDescent="0.55000000000000004">
      <c r="A310" s="6" t="s">
        <v>562</v>
      </c>
      <c r="B310" s="6"/>
      <c r="C310" s="6"/>
      <c r="D310" s="6"/>
      <c r="E310" s="6"/>
      <c r="F310" s="6"/>
    </row>
    <row r="311" spans="1:10" x14ac:dyDescent="0.55000000000000004">
      <c r="A311" s="6"/>
      <c r="B311" s="6" t="s">
        <v>554</v>
      </c>
      <c r="C311" s="6" t="s">
        <v>322</v>
      </c>
      <c r="D311" s="6" t="s">
        <v>555</v>
      </c>
      <c r="E311" s="6" t="s">
        <v>556</v>
      </c>
      <c r="F311" s="6" t="s">
        <v>560</v>
      </c>
    </row>
    <row r="312" spans="1:10" x14ac:dyDescent="0.55000000000000004">
      <c r="A312" s="6" t="s">
        <v>563</v>
      </c>
      <c r="B312" s="8" t="str">
        <f>ROUND(B300,2) &amp; " ±
" &amp; ROUND(B306,2)</f>
        <v>0.76 ±
0.11</v>
      </c>
      <c r="C312" s="8" t="str">
        <f>ROUND(C300,2) &amp; " ±
" &amp; ROUND(C306,2)</f>
        <v>0.79 ±
0.08</v>
      </c>
      <c r="D312" s="8" t="str">
        <f t="shared" ref="D312:F312" si="32">ROUND(D300,2) &amp; " ±
" &amp; ROUND(D306,2)</f>
        <v>0.79 ±
0.13</v>
      </c>
      <c r="E312" s="8" t="str">
        <f t="shared" si="32"/>
        <v>0.86 ±
0.07</v>
      </c>
      <c r="F312" s="8" t="str">
        <f t="shared" si="32"/>
        <v>0.79 ±
0.09</v>
      </c>
    </row>
    <row r="313" spans="1:10" x14ac:dyDescent="0.55000000000000004">
      <c r="A313" s="6" t="s">
        <v>564</v>
      </c>
      <c r="B313" s="8" t="str">
        <f t="shared" ref="B313:F313" si="33">ROUND(B301,2) &amp; " ±
" &amp; ROUND(B307,2)</f>
        <v>0.42 ±
0.1</v>
      </c>
      <c r="C313" s="8" t="str">
        <f t="shared" si="33"/>
        <v>0.41 ±
0.09</v>
      </c>
      <c r="D313" s="8" t="str">
        <f t="shared" si="33"/>
        <v>0.32 ±
0.07</v>
      </c>
      <c r="E313" s="8" t="str">
        <f t="shared" si="33"/>
        <v>0.43 ±
0.09</v>
      </c>
      <c r="F313" s="8" t="str">
        <f t="shared" si="33"/>
        <v>0.41 ±
0.09</v>
      </c>
    </row>
    <row r="314" spans="1:10" x14ac:dyDescent="0.55000000000000004">
      <c r="A314" s="6" t="s">
        <v>565</v>
      </c>
      <c r="B314" s="8" t="str">
        <f t="shared" ref="B314:F314" si="34">ROUND(B302,2) &amp; " ±
" &amp; ROUND(B308,2)</f>
        <v>0.68 ±
0.12</v>
      </c>
      <c r="C314" s="8" t="str">
        <f t="shared" si="34"/>
        <v>0.63 ±
0.12</v>
      </c>
      <c r="D314" s="8" t="str">
        <f t="shared" si="34"/>
        <v>0.68 ±
0.13</v>
      </c>
      <c r="E314" s="8" t="str">
        <f t="shared" si="34"/>
        <v>0.55 ±
0.11</v>
      </c>
      <c r="F314" s="8" t="str">
        <f t="shared" si="34"/>
        <v>0.63 ±
0.13</v>
      </c>
    </row>
    <row r="316" spans="1:10" x14ac:dyDescent="0.55000000000000004">
      <c r="A316" s="7"/>
    </row>
    <row r="317" spans="1:10" x14ac:dyDescent="0.55000000000000004">
      <c r="A317" s="6"/>
      <c r="B317" s="6"/>
      <c r="C317" s="6"/>
      <c r="D317" s="6"/>
      <c r="E317" s="6"/>
      <c r="F317" s="6"/>
    </row>
    <row r="318" spans="1:10" x14ac:dyDescent="0.55000000000000004">
      <c r="A318" s="6"/>
      <c r="B318" s="6"/>
      <c r="C318" s="6"/>
      <c r="D318" s="6"/>
      <c r="E318" s="6"/>
      <c r="F318" s="6"/>
      <c r="G318" s="9"/>
      <c r="H318" s="9"/>
      <c r="I318" s="9"/>
      <c r="J318" s="9"/>
    </row>
    <row r="319" spans="1:10" x14ac:dyDescent="0.55000000000000004">
      <c r="A319" s="6"/>
      <c r="B319" s="6"/>
      <c r="C319" s="6"/>
      <c r="D319" s="6"/>
      <c r="E319" s="6"/>
      <c r="F319" s="6"/>
    </row>
    <row r="320" spans="1:10" x14ac:dyDescent="0.55000000000000004">
      <c r="A320" s="6"/>
      <c r="B320" s="6"/>
      <c r="C320" s="6"/>
      <c r="D320" s="6"/>
      <c r="E320" s="6"/>
      <c r="F320" s="6"/>
    </row>
    <row r="321" spans="1:8" x14ac:dyDescent="0.55000000000000004">
      <c r="A321" s="6"/>
      <c r="B321" s="6"/>
      <c r="C321" s="6"/>
      <c r="D321" s="6"/>
      <c r="E321" s="6"/>
      <c r="F321" s="6"/>
    </row>
    <row r="322" spans="1:8" x14ac:dyDescent="0.55000000000000004">
      <c r="A322" s="6"/>
      <c r="B322" s="6"/>
      <c r="C322" s="6"/>
      <c r="D322" s="6"/>
      <c r="E322" s="6"/>
      <c r="F322" s="6"/>
    </row>
    <row r="323" spans="1:8" x14ac:dyDescent="0.55000000000000004">
      <c r="A323" s="6"/>
      <c r="B323" s="6"/>
      <c r="C323" s="6"/>
      <c r="D323" s="6"/>
      <c r="E323" s="6"/>
      <c r="F323" s="6"/>
    </row>
    <row r="324" spans="1:8" x14ac:dyDescent="0.55000000000000004">
      <c r="A324" s="6"/>
      <c r="B324" s="6"/>
      <c r="C324" s="6"/>
      <c r="D324" s="6"/>
      <c r="E324" s="6"/>
      <c r="F324" s="6"/>
    </row>
    <row r="325" spans="1:8" x14ac:dyDescent="0.55000000000000004">
      <c r="A325" s="6"/>
      <c r="B325" s="6"/>
      <c r="C325" s="6"/>
      <c r="D325" s="6"/>
      <c r="E325" s="6"/>
      <c r="F325" s="6"/>
    </row>
    <row r="326" spans="1:8" x14ac:dyDescent="0.55000000000000004">
      <c r="A326" s="6"/>
      <c r="B326" s="6"/>
      <c r="C326" s="6"/>
      <c r="D326" s="6"/>
      <c r="E326" s="6"/>
      <c r="F326" s="6"/>
    </row>
    <row r="327" spans="1:8" x14ac:dyDescent="0.55000000000000004">
      <c r="A327" s="6"/>
      <c r="B327" s="6"/>
      <c r="C327" s="6"/>
      <c r="D327" s="6"/>
      <c r="E327" s="6"/>
      <c r="F327" s="6"/>
    </row>
    <row r="328" spans="1:8" x14ac:dyDescent="0.55000000000000004">
      <c r="A328" s="6"/>
      <c r="B328" s="6"/>
      <c r="C328" s="6"/>
      <c r="D328" s="6"/>
      <c r="E328" s="6"/>
      <c r="F328" s="6"/>
      <c r="H328" s="6"/>
    </row>
    <row r="329" spans="1:8" x14ac:dyDescent="0.55000000000000004">
      <c r="A329" s="6"/>
      <c r="B329" s="8"/>
      <c r="C329" s="8"/>
      <c r="D329" s="8"/>
      <c r="E329" s="8"/>
      <c r="F329" s="8"/>
    </row>
    <row r="330" spans="1:8" x14ac:dyDescent="0.55000000000000004">
      <c r="A330" s="6"/>
      <c r="B330" s="6"/>
      <c r="C330" s="6"/>
      <c r="D330" s="6"/>
      <c r="E330" s="6"/>
      <c r="F330" s="6"/>
    </row>
    <row r="331" spans="1:8" x14ac:dyDescent="0.55000000000000004">
      <c r="A331" s="6"/>
      <c r="B331" s="6"/>
      <c r="C331" s="6"/>
      <c r="D331" s="6"/>
      <c r="E331" s="6"/>
      <c r="F331" s="6"/>
    </row>
    <row r="332" spans="1:8" x14ac:dyDescent="0.55000000000000004">
      <c r="A332" s="7"/>
      <c r="B332" s="6"/>
      <c r="C332" s="6"/>
      <c r="D332" s="6"/>
      <c r="E332" s="6"/>
      <c r="F332" s="6"/>
    </row>
    <row r="333" spans="1:8" x14ac:dyDescent="0.55000000000000004">
      <c r="A333" s="6"/>
      <c r="B333" s="6"/>
      <c r="C333" s="6"/>
      <c r="D333" s="6"/>
      <c r="E333" s="6"/>
      <c r="F333" s="6"/>
    </row>
    <row r="334" spans="1:8" x14ac:dyDescent="0.55000000000000004">
      <c r="A334" s="6"/>
      <c r="B334" s="6"/>
      <c r="C334" s="6"/>
      <c r="D334" s="6"/>
      <c r="E334" s="6"/>
      <c r="F334" s="6"/>
    </row>
    <row r="335" spans="1:8" x14ac:dyDescent="0.55000000000000004">
      <c r="A335" s="6"/>
      <c r="B335" s="6"/>
      <c r="C335" s="6"/>
      <c r="D335" s="6"/>
      <c r="E335" s="6"/>
      <c r="F335" s="6"/>
    </row>
    <row r="336" spans="1:8" x14ac:dyDescent="0.55000000000000004">
      <c r="A336" s="6"/>
      <c r="B336" s="6"/>
      <c r="C336" s="6"/>
      <c r="D336" s="6"/>
      <c r="E336" s="6"/>
      <c r="F336" s="6"/>
    </row>
    <row r="337" spans="1:6" x14ac:dyDescent="0.55000000000000004">
      <c r="A337" s="6"/>
      <c r="B337" s="6"/>
      <c r="C337" s="6"/>
      <c r="D337" s="6"/>
      <c r="E337" s="6"/>
      <c r="F337" s="6"/>
    </row>
    <row r="338" spans="1:6" x14ac:dyDescent="0.55000000000000004">
      <c r="A338" s="6"/>
      <c r="B338" s="6"/>
      <c r="C338" s="6"/>
      <c r="D338" s="6"/>
      <c r="E338" s="6"/>
      <c r="F338" s="6"/>
    </row>
    <row r="339" spans="1:6" x14ac:dyDescent="0.55000000000000004">
      <c r="A339" s="6"/>
      <c r="B339" s="6"/>
      <c r="C339" s="6"/>
      <c r="D339" s="6"/>
      <c r="E339" s="6"/>
      <c r="F339" s="6"/>
    </row>
    <row r="340" spans="1:6" x14ac:dyDescent="0.55000000000000004">
      <c r="A340" s="6"/>
      <c r="B340" s="6"/>
      <c r="C340" s="6"/>
      <c r="D340" s="6"/>
      <c r="E340" s="6"/>
      <c r="F340" s="6"/>
    </row>
    <row r="341" spans="1:6" x14ac:dyDescent="0.55000000000000004">
      <c r="A341" s="6"/>
      <c r="B341" s="6"/>
      <c r="C341" s="6"/>
      <c r="D341" s="6"/>
      <c r="E341" s="6"/>
      <c r="F341" s="6"/>
    </row>
    <row r="342" spans="1:6" x14ac:dyDescent="0.55000000000000004">
      <c r="A342" s="6"/>
      <c r="B342" s="6"/>
      <c r="C342" s="6"/>
      <c r="D342" s="6"/>
      <c r="E342" s="6"/>
      <c r="F342" s="6"/>
    </row>
    <row r="343" spans="1:6" x14ac:dyDescent="0.55000000000000004">
      <c r="A343" s="6"/>
      <c r="B343" s="6"/>
      <c r="C343" s="6"/>
      <c r="D343" s="6"/>
      <c r="E343" s="6"/>
      <c r="F343" s="6"/>
    </row>
    <row r="344" spans="1:6" x14ac:dyDescent="0.55000000000000004">
      <c r="A344" s="6"/>
      <c r="B344" s="6"/>
      <c r="C344" s="6"/>
      <c r="D344" s="6"/>
      <c r="E344" s="6"/>
      <c r="F344" s="6"/>
    </row>
    <row r="345" spans="1:6" x14ac:dyDescent="0.55000000000000004">
      <c r="A345" s="6"/>
      <c r="B345" s="6"/>
      <c r="C345" s="6"/>
      <c r="D345" s="6"/>
      <c r="E345" s="6"/>
      <c r="F345" s="6"/>
    </row>
    <row r="346" spans="1:6" x14ac:dyDescent="0.55000000000000004">
      <c r="A346" s="6"/>
      <c r="B346" s="6"/>
      <c r="C346" s="6"/>
      <c r="D346" s="6"/>
      <c r="E346" s="6"/>
      <c r="F346" s="6"/>
    </row>
    <row r="347" spans="1:6" x14ac:dyDescent="0.55000000000000004">
      <c r="A347" s="6"/>
      <c r="B347" s="8"/>
      <c r="C347" s="8"/>
      <c r="D347" s="8"/>
      <c r="E347" s="8"/>
      <c r="F347" s="8"/>
    </row>
    <row r="348" spans="1:6" x14ac:dyDescent="0.55000000000000004">
      <c r="A348" s="6"/>
      <c r="B348" s="6"/>
      <c r="C348" s="6"/>
      <c r="D348" s="6"/>
      <c r="E348" s="6"/>
      <c r="F348" s="6"/>
    </row>
    <row r="349" spans="1:6" x14ac:dyDescent="0.55000000000000004">
      <c r="A349" s="6"/>
      <c r="B349" s="6"/>
      <c r="C349" s="6"/>
      <c r="D349" s="6"/>
      <c r="E349" s="6"/>
      <c r="F349" s="6"/>
    </row>
    <row r="350" spans="1:6" x14ac:dyDescent="0.55000000000000004">
      <c r="A350" s="6"/>
      <c r="B350" s="6"/>
      <c r="C350" s="6"/>
      <c r="D350" s="6"/>
      <c r="E350" s="6"/>
      <c r="F350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257"/>
  <sheetViews>
    <sheetView zoomScale="101" workbookViewId="0">
      <selection sqref="A1:A1048576"/>
    </sheetView>
  </sheetViews>
  <sheetFormatPr defaultRowHeight="14.4" x14ac:dyDescent="0.55000000000000004"/>
  <cols>
    <col min="1" max="1" width="14.7890625" customWidth="1"/>
    <col min="2" max="2" width="24.68359375" customWidth="1"/>
    <col min="3" max="3" width="13.47265625" customWidth="1"/>
    <col min="4" max="4" width="7.83984375" customWidth="1"/>
    <col min="5" max="5" width="20.20703125" customWidth="1"/>
    <col min="6" max="6" width="13.9453125" customWidth="1"/>
    <col min="7" max="7" width="15.26171875" customWidth="1"/>
    <col min="8" max="8" width="15.68359375" customWidth="1"/>
    <col min="9" max="10" width="21.15625" customWidth="1"/>
    <col min="11" max="11" width="21.20703125" customWidth="1"/>
    <col min="12" max="12" width="21.62890625" customWidth="1"/>
    <col min="13" max="14" width="21.5234375" customWidth="1"/>
    <col min="15" max="15" width="21.578125" customWidth="1"/>
    <col min="16" max="16" width="22" customWidth="1"/>
    <col min="17" max="17" width="26.68359375" customWidth="1"/>
    <col min="18" max="18" width="37.578125" customWidth="1"/>
    <col min="19" max="19" width="33.47265625" customWidth="1"/>
    <col min="20" max="20" width="27.20703125" customWidth="1"/>
    <col min="21" max="22" width="24.9453125" customWidth="1"/>
    <col min="23" max="23" width="25" customWidth="1"/>
    <col min="24" max="24" width="25.41796875" customWidth="1"/>
    <col min="25" max="26" width="25.3125" customWidth="1"/>
    <col min="27" max="27" width="25.3671875" customWidth="1"/>
    <col min="28" max="28" width="25.7890625" customWidth="1"/>
    <col min="29" max="30" width="25.20703125" customWidth="1"/>
    <col min="31" max="31" width="25.26171875" customWidth="1"/>
    <col min="32" max="32" width="25.68359375" customWidth="1"/>
    <col min="33" max="33" width="30.5234375" customWidth="1"/>
    <col min="34" max="34" width="41.3671875" customWidth="1"/>
    <col min="35" max="35" width="37.26171875" customWidth="1"/>
    <col min="36" max="36" width="31" customWidth="1"/>
    <col min="37" max="37" width="27.20703125" customWidth="1"/>
    <col min="38" max="38" width="38.05078125" customWidth="1"/>
    <col min="39" max="39" width="33.9453125" customWidth="1"/>
    <col min="40" max="40" width="27.68359375" customWidth="1"/>
    <col min="41" max="41" width="7.15625" bestFit="1" customWidth="1"/>
    <col min="42" max="42" width="32.5234375" customWidth="1"/>
    <col min="43" max="43" width="32.89453125" customWidth="1"/>
    <col min="44" max="44" width="36.3125" customWidth="1"/>
    <col min="45" max="45" width="36.68359375" customWidth="1"/>
    <col min="46" max="46" width="36.62890625" customWidth="1"/>
    <col min="47" max="48" width="21.1015625" customWidth="1"/>
    <col min="49" max="49" width="21.15625" customWidth="1"/>
    <col min="50" max="51" width="21.83984375" customWidth="1"/>
    <col min="52" max="52" width="21.89453125" customWidth="1"/>
    <col min="53" max="54" width="24.89453125" customWidth="1"/>
    <col min="55" max="55" width="24.9453125" customWidth="1"/>
    <col min="56" max="58" width="25.68359375" customWidth="1"/>
    <col min="59" max="60" width="25.47265625" customWidth="1"/>
    <col min="61" max="61" width="25.5234375" customWidth="1"/>
  </cols>
  <sheetData>
    <row r="1" spans="1:61" s="20" customFormat="1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1125</v>
      </c>
      <c r="F1" s="4" t="s">
        <v>4</v>
      </c>
      <c r="G1" s="4" t="s">
        <v>5</v>
      </c>
      <c r="H1" s="4" t="s">
        <v>1138</v>
      </c>
      <c r="I1" s="4" t="s">
        <v>566</v>
      </c>
      <c r="J1" s="4" t="s">
        <v>567</v>
      </c>
      <c r="K1" s="4" t="s">
        <v>568</v>
      </c>
      <c r="L1" s="4" t="s">
        <v>569</v>
      </c>
      <c r="M1" s="4" t="s">
        <v>570</v>
      </c>
      <c r="N1" s="4" t="s">
        <v>571</v>
      </c>
      <c r="O1" s="4" t="s">
        <v>572</v>
      </c>
      <c r="P1" s="4" t="s">
        <v>573</v>
      </c>
      <c r="Q1" s="4" t="s">
        <v>1126</v>
      </c>
      <c r="R1" s="4" t="s">
        <v>1129</v>
      </c>
      <c r="S1" s="4" t="s">
        <v>1130</v>
      </c>
      <c r="T1" s="4" t="s">
        <v>1135</v>
      </c>
      <c r="U1" s="4" t="s">
        <v>574</v>
      </c>
      <c r="V1" s="4" t="s">
        <v>575</v>
      </c>
      <c r="W1" s="4" t="s">
        <v>576</v>
      </c>
      <c r="X1" s="4" t="s">
        <v>577</v>
      </c>
      <c r="Y1" s="4" t="s">
        <v>578</v>
      </c>
      <c r="Z1" s="4" t="s">
        <v>579</v>
      </c>
      <c r="AA1" s="4" t="s">
        <v>580</v>
      </c>
      <c r="AB1" s="4" t="s">
        <v>581</v>
      </c>
      <c r="AC1" s="4" t="s">
        <v>582</v>
      </c>
      <c r="AD1" s="4" t="s">
        <v>583</v>
      </c>
      <c r="AE1" s="4" t="s">
        <v>584</v>
      </c>
      <c r="AF1" s="4" t="s">
        <v>585</v>
      </c>
      <c r="AG1" s="4" t="s">
        <v>1127</v>
      </c>
      <c r="AH1" s="4" t="s">
        <v>1131</v>
      </c>
      <c r="AI1" s="4" t="s">
        <v>1132</v>
      </c>
      <c r="AJ1" s="4" t="s">
        <v>1136</v>
      </c>
      <c r="AK1" s="4" t="s">
        <v>1128</v>
      </c>
      <c r="AL1" s="4" t="s">
        <v>1133</v>
      </c>
      <c r="AM1" s="4" t="s">
        <v>1134</v>
      </c>
      <c r="AN1" s="4" t="s">
        <v>1137</v>
      </c>
      <c r="AO1" s="4"/>
      <c r="AP1" s="4" t="s">
        <v>1077</v>
      </c>
      <c r="AQ1" s="4" t="s">
        <v>1078</v>
      </c>
      <c r="AR1" s="4" t="s">
        <v>1079</v>
      </c>
      <c r="AS1" s="4" t="s">
        <v>1080</v>
      </c>
      <c r="AT1" s="4" t="s">
        <v>1081</v>
      </c>
      <c r="AU1" s="4" t="s">
        <v>1082</v>
      </c>
      <c r="AV1" s="4" t="s">
        <v>1083</v>
      </c>
      <c r="AW1" s="4" t="s">
        <v>1084</v>
      </c>
      <c r="AX1" s="4" t="s">
        <v>1085</v>
      </c>
      <c r="AY1" s="4" t="s">
        <v>1086</v>
      </c>
      <c r="AZ1" s="4" t="s">
        <v>1087</v>
      </c>
      <c r="BA1" s="4" t="s">
        <v>1088</v>
      </c>
      <c r="BB1" s="4" t="s">
        <v>1089</v>
      </c>
      <c r="BC1" s="4" t="s">
        <v>1090</v>
      </c>
      <c r="BD1" s="4" t="s">
        <v>1091</v>
      </c>
      <c r="BE1" s="4" t="s">
        <v>1092</v>
      </c>
      <c r="BF1" s="4" t="s">
        <v>1093</v>
      </c>
      <c r="BG1" s="4" t="s">
        <v>1094</v>
      </c>
      <c r="BH1" s="4" t="s">
        <v>1095</v>
      </c>
      <c r="BI1" s="4" t="s">
        <v>1096</v>
      </c>
    </row>
    <row r="2" spans="1:61" x14ac:dyDescent="0.55000000000000004">
      <c r="A2" s="19" t="s">
        <v>6</v>
      </c>
      <c r="B2" s="19" t="s">
        <v>7</v>
      </c>
      <c r="C2" s="19" t="s">
        <v>8</v>
      </c>
      <c r="D2" s="19" t="s">
        <v>9</v>
      </c>
      <c r="E2" s="19">
        <v>1966</v>
      </c>
      <c r="F2" s="19">
        <v>75.727399999999989</v>
      </c>
      <c r="G2" s="19">
        <v>55.546599999999998</v>
      </c>
      <c r="H2" s="19">
        <v>109204.61559999999</v>
      </c>
      <c r="I2" s="19">
        <v>39.212200000000003</v>
      </c>
      <c r="J2" s="19">
        <v>17.7606</v>
      </c>
      <c r="K2" s="19">
        <v>25.631399999999999</v>
      </c>
      <c r="L2" s="19">
        <v>44.598199999999999</v>
      </c>
      <c r="M2" s="19">
        <v>42.794499999999999</v>
      </c>
      <c r="N2" s="19">
        <v>15.811400000000001</v>
      </c>
      <c r="O2" s="19">
        <v>28.801600000000001</v>
      </c>
      <c r="P2" s="19">
        <v>44.7258</v>
      </c>
      <c r="Q2" s="19">
        <v>712.65740000000005</v>
      </c>
      <c r="R2" s="19">
        <v>922.40750000000003</v>
      </c>
      <c r="S2" s="19">
        <v>957.25980000000004</v>
      </c>
      <c r="T2" s="19">
        <v>1002.18663095503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>
        <v>0.80289702700075249</v>
      </c>
      <c r="AQ2" s="19">
        <v>0.80519419730460551</v>
      </c>
      <c r="AR2" s="19"/>
      <c r="AS2" s="19"/>
      <c r="AT2" s="19"/>
      <c r="AU2" s="19">
        <v>0.87923279414864286</v>
      </c>
      <c r="AV2" s="19">
        <v>0.39823580323869573</v>
      </c>
      <c r="AW2" s="19">
        <v>0.57471826217201594</v>
      </c>
      <c r="AX2" s="19">
        <v>0.95681910664538139</v>
      </c>
      <c r="AY2" s="19">
        <v>0.35351855081407152</v>
      </c>
      <c r="AZ2" s="19">
        <v>0.64395941492382469</v>
      </c>
      <c r="BA2" s="19"/>
      <c r="BB2" s="19"/>
      <c r="BC2" s="19"/>
      <c r="BD2" s="19"/>
      <c r="BE2" s="19"/>
      <c r="BF2" s="19"/>
      <c r="BG2" s="19"/>
      <c r="BH2" s="19"/>
      <c r="BI2" s="19"/>
    </row>
    <row r="3" spans="1:61" x14ac:dyDescent="0.55000000000000004">
      <c r="A3" s="19" t="s">
        <v>10</v>
      </c>
      <c r="B3" s="19" t="s">
        <v>11</v>
      </c>
      <c r="C3" s="19" t="s">
        <v>8</v>
      </c>
      <c r="D3" s="19" t="s">
        <v>9</v>
      </c>
      <c r="E3" s="19">
        <v>1416</v>
      </c>
      <c r="F3" s="19">
        <v>68.874600000000001</v>
      </c>
      <c r="G3" s="19">
        <v>41.334499999999998</v>
      </c>
      <c r="H3" s="19">
        <v>58529.651999999995</v>
      </c>
      <c r="I3" s="19">
        <v>91.376099999999994</v>
      </c>
      <c r="J3" s="19">
        <v>13.794700000000001</v>
      </c>
      <c r="K3" s="19">
        <v>51.021700000000003</v>
      </c>
      <c r="L3" s="19">
        <v>99.995400000000004</v>
      </c>
      <c r="M3" s="19">
        <v>51.994</v>
      </c>
      <c r="N3" s="19">
        <v>19.499600000000001</v>
      </c>
      <c r="O3" s="19">
        <v>15.1982</v>
      </c>
      <c r="P3" s="19">
        <v>54.975999999999999</v>
      </c>
      <c r="Q3" s="19">
        <v>741.78779999999995</v>
      </c>
      <c r="R3" s="19">
        <v>92.968500000000006</v>
      </c>
      <c r="S3" s="19">
        <v>3354.8490000000002</v>
      </c>
      <c r="T3" s="19">
        <v>3400.5218164613811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>
        <v>2.4191752652142884</v>
      </c>
      <c r="AQ3" s="19">
        <v>1.3300269750450593</v>
      </c>
      <c r="AR3" s="19"/>
      <c r="AS3" s="19"/>
      <c r="AT3" s="19"/>
      <c r="AU3" s="19">
        <v>0.91380303493960713</v>
      </c>
      <c r="AV3" s="19">
        <v>0.13795334585390928</v>
      </c>
      <c r="AW3" s="19">
        <v>0.51024047106166881</v>
      </c>
      <c r="AX3" s="19">
        <v>0.94575814901047728</v>
      </c>
      <c r="AY3" s="19">
        <v>0.35469295692665892</v>
      </c>
      <c r="AZ3" s="19">
        <v>0.27645154249126891</v>
      </c>
      <c r="BA3" s="19"/>
      <c r="BB3" s="19"/>
      <c r="BC3" s="19"/>
      <c r="BD3" s="19"/>
      <c r="BE3" s="19"/>
      <c r="BF3" s="19"/>
      <c r="BG3" s="19"/>
      <c r="BH3" s="19"/>
      <c r="BI3" s="19"/>
    </row>
    <row r="4" spans="1:61" x14ac:dyDescent="0.55000000000000004">
      <c r="A4" s="19" t="s">
        <v>12</v>
      </c>
      <c r="B4" s="19" t="s">
        <v>11</v>
      </c>
      <c r="C4" s="19" t="s">
        <v>8</v>
      </c>
      <c r="D4" s="19" t="s">
        <v>9</v>
      </c>
      <c r="E4" s="19">
        <v>1415</v>
      </c>
      <c r="F4" s="19">
        <v>69.022300000000001</v>
      </c>
      <c r="G4" s="19">
        <v>39.066600000000001</v>
      </c>
      <c r="H4" s="19">
        <v>55279.239000000001</v>
      </c>
      <c r="I4" s="19">
        <v>168.02099999999999</v>
      </c>
      <c r="J4" s="19">
        <v>27.653500000000001</v>
      </c>
      <c r="K4" s="19">
        <v>44.808199999999999</v>
      </c>
      <c r="L4" s="19">
        <v>173.8742</v>
      </c>
      <c r="M4" s="19">
        <v>49.651200000000003</v>
      </c>
      <c r="N4" s="19">
        <v>17.2713</v>
      </c>
      <c r="O4" s="19">
        <v>17.002800000000001</v>
      </c>
      <c r="P4" s="19">
        <v>52.249299999999998</v>
      </c>
      <c r="Q4" s="19">
        <v>1659.7760000000001</v>
      </c>
      <c r="R4" s="19">
        <v>988.61490000000003</v>
      </c>
      <c r="S4" s="19">
        <v>3191.9897000000001</v>
      </c>
      <c r="T4" s="19">
        <v>3597.7290913966954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>
        <v>4.4507123732293055</v>
      </c>
      <c r="AQ4" s="19">
        <v>1.3374417021189455</v>
      </c>
      <c r="AR4" s="19"/>
      <c r="AS4" s="19"/>
      <c r="AT4" s="19"/>
      <c r="AU4" s="19">
        <v>0.96633658127542776</v>
      </c>
      <c r="AV4" s="19">
        <v>0.15904314728694655</v>
      </c>
      <c r="AW4" s="19">
        <v>0.25770470834660919</v>
      </c>
      <c r="AX4" s="19">
        <v>0.95027493191296353</v>
      </c>
      <c r="AY4" s="19">
        <v>0.33055562466865585</v>
      </c>
      <c r="AZ4" s="19">
        <v>0.32541679984229455</v>
      </c>
      <c r="BA4" s="19"/>
      <c r="BB4" s="19"/>
      <c r="BC4" s="19"/>
      <c r="BD4" s="19"/>
      <c r="BE4" s="19"/>
      <c r="BF4" s="19"/>
      <c r="BG4" s="19"/>
      <c r="BH4" s="19"/>
      <c r="BI4" s="19"/>
    </row>
    <row r="5" spans="1:61" x14ac:dyDescent="0.55000000000000004">
      <c r="A5" s="19" t="s">
        <v>13</v>
      </c>
      <c r="B5" s="19" t="s">
        <v>14</v>
      </c>
      <c r="C5" s="19" t="s">
        <v>8</v>
      </c>
      <c r="D5" s="19" t="s">
        <v>9</v>
      </c>
      <c r="E5" s="19">
        <v>1370</v>
      </c>
      <c r="F5" s="19">
        <v>64.367241000000007</v>
      </c>
      <c r="G5" s="19">
        <v>42.128526999999998</v>
      </c>
      <c r="H5" s="19">
        <v>57716.081989999999</v>
      </c>
      <c r="I5" s="19">
        <v>58.319688999999997</v>
      </c>
      <c r="J5" s="19">
        <v>16.252884999999999</v>
      </c>
      <c r="K5" s="19">
        <v>21.794421</v>
      </c>
      <c r="L5" s="19">
        <v>62.74418</v>
      </c>
      <c r="M5" s="19">
        <v>45.946365</v>
      </c>
      <c r="N5" s="19">
        <v>15.075847</v>
      </c>
      <c r="O5" s="19">
        <v>18.030318999999999</v>
      </c>
      <c r="P5" s="19">
        <v>49.233038000000001</v>
      </c>
      <c r="Q5" s="19">
        <v>735.465417</v>
      </c>
      <c r="R5" s="19">
        <v>366.98285399999997</v>
      </c>
      <c r="S5" s="19">
        <v>2604.783531</v>
      </c>
      <c r="T5" s="19">
        <v>2672.2277232185929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>
        <v>1.4893513841582926</v>
      </c>
      <c r="AQ5" s="19">
        <v>1.1686389604839496</v>
      </c>
      <c r="AR5" s="19"/>
      <c r="AS5" s="19"/>
      <c r="AT5" s="19"/>
      <c r="AU5" s="19">
        <v>0.92948364294505081</v>
      </c>
      <c r="AV5" s="19">
        <v>0.25903414468082936</v>
      </c>
      <c r="AW5" s="19">
        <v>0.34735366690583891</v>
      </c>
      <c r="AX5" s="19">
        <v>0.93324253116372791</v>
      </c>
      <c r="AY5" s="19">
        <v>0.30621403050528789</v>
      </c>
      <c r="AZ5" s="19">
        <v>0.36622397748438756</v>
      </c>
      <c r="BA5" s="19"/>
      <c r="BB5" s="19"/>
      <c r="BC5" s="19"/>
      <c r="BD5" s="19"/>
      <c r="BE5" s="19"/>
      <c r="BF5" s="19"/>
      <c r="BG5" s="19"/>
      <c r="BH5" s="19"/>
      <c r="BI5" s="19"/>
    </row>
    <row r="6" spans="1:61" x14ac:dyDescent="0.55000000000000004">
      <c r="A6" s="19" t="s">
        <v>15</v>
      </c>
      <c r="B6" s="19" t="s">
        <v>16</v>
      </c>
      <c r="C6" s="19" t="s">
        <v>8</v>
      </c>
      <c r="D6" s="19" t="s">
        <v>9</v>
      </c>
      <c r="E6" s="19">
        <v>1460</v>
      </c>
      <c r="F6" s="19">
        <v>63.888387000000002</v>
      </c>
      <c r="G6" s="19">
        <v>93.418446000000003</v>
      </c>
      <c r="H6" s="19">
        <v>136390.93116000001</v>
      </c>
      <c r="I6" s="19">
        <v>54.314807999999999</v>
      </c>
      <c r="J6" s="19">
        <v>19.024228999999998</v>
      </c>
      <c r="K6" s="19">
        <v>19.353985000000002</v>
      </c>
      <c r="L6" s="19">
        <v>56.201106000000003</v>
      </c>
      <c r="M6" s="19">
        <v>41.988200999999997</v>
      </c>
      <c r="N6" s="19">
        <v>23.557303999999998</v>
      </c>
      <c r="O6" s="19">
        <v>18.102250999999999</v>
      </c>
      <c r="P6" s="19">
        <v>43.517394000000003</v>
      </c>
      <c r="Q6" s="19">
        <v>441.32769500000001</v>
      </c>
      <c r="R6" s="19">
        <v>35.665975000000003</v>
      </c>
      <c r="S6" s="19">
        <v>2227.0082809999999</v>
      </c>
      <c r="T6" s="19">
        <v>2228.6901375918137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>
        <v>0.60160608965813889</v>
      </c>
      <c r="AQ6" s="19">
        <v>0.46583298977163462</v>
      </c>
      <c r="AR6" s="19"/>
      <c r="AS6" s="19"/>
      <c r="AT6" s="19"/>
      <c r="AU6" s="19">
        <v>0.96643663916507261</v>
      </c>
      <c r="AV6" s="19">
        <v>0.33850275117361567</v>
      </c>
      <c r="AW6" s="19">
        <v>0.34437018018826893</v>
      </c>
      <c r="AX6" s="19">
        <v>0.96486018900856041</v>
      </c>
      <c r="AY6" s="19">
        <v>0.54133076075281528</v>
      </c>
      <c r="AZ6" s="19">
        <v>0.41597736757858245</v>
      </c>
      <c r="BA6" s="19"/>
      <c r="BB6" s="19"/>
      <c r="BC6" s="19"/>
      <c r="BD6" s="19"/>
      <c r="BE6" s="19"/>
      <c r="BF6" s="19"/>
      <c r="BG6" s="19"/>
      <c r="BH6" s="19"/>
      <c r="BI6" s="19"/>
    </row>
    <row r="7" spans="1:61" x14ac:dyDescent="0.55000000000000004">
      <c r="A7" s="19" t="s">
        <v>17</v>
      </c>
      <c r="B7" s="19" t="s">
        <v>18</v>
      </c>
      <c r="C7" s="19" t="s">
        <v>8</v>
      </c>
      <c r="D7" s="19" t="s">
        <v>9</v>
      </c>
      <c r="E7" s="19">
        <v>1474</v>
      </c>
      <c r="F7" s="19">
        <v>69.694766000000001</v>
      </c>
      <c r="G7" s="19">
        <v>55.772489</v>
      </c>
      <c r="H7" s="19">
        <v>82208.648786000005</v>
      </c>
      <c r="I7" s="19">
        <v>36.902098000000002</v>
      </c>
      <c r="J7" s="19">
        <v>17.044695999999998</v>
      </c>
      <c r="K7" s="19">
        <v>19.563597999999999</v>
      </c>
      <c r="L7" s="19">
        <v>39.51867</v>
      </c>
      <c r="M7" s="19">
        <v>34.003306000000002</v>
      </c>
      <c r="N7" s="19">
        <v>21.960336999999999</v>
      </c>
      <c r="O7" s="19">
        <v>16.8048</v>
      </c>
      <c r="P7" s="19">
        <v>40.103577000000001</v>
      </c>
      <c r="Q7" s="19">
        <v>353.82497100000001</v>
      </c>
      <c r="R7" s="19">
        <v>120.70808100000001</v>
      </c>
      <c r="S7" s="19">
        <v>1330.1744960000001</v>
      </c>
      <c r="T7" s="19">
        <v>1341.1360026628261</v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>
        <v>0.70856923742456612</v>
      </c>
      <c r="AQ7" s="19">
        <v>0.71905661230216933</v>
      </c>
      <c r="AR7" s="19"/>
      <c r="AS7" s="19"/>
      <c r="AT7" s="19"/>
      <c r="AU7" s="19">
        <v>0.93378896607603445</v>
      </c>
      <c r="AV7" s="19">
        <v>0.43130743013365574</v>
      </c>
      <c r="AW7" s="19">
        <v>0.49504697399988407</v>
      </c>
      <c r="AX7" s="19">
        <v>0.8478871099203944</v>
      </c>
      <c r="AY7" s="19">
        <v>0.54759048051997949</v>
      </c>
      <c r="AZ7" s="19">
        <v>0.41903494044932699</v>
      </c>
      <c r="BA7" s="19"/>
      <c r="BB7" s="19"/>
      <c r="BC7" s="19"/>
      <c r="BD7" s="19"/>
      <c r="BE7" s="19"/>
      <c r="BF7" s="19"/>
      <c r="BG7" s="19"/>
      <c r="BH7" s="19"/>
      <c r="BI7" s="19"/>
    </row>
    <row r="8" spans="1:61" x14ac:dyDescent="0.55000000000000004">
      <c r="A8" s="19" t="s">
        <v>19</v>
      </c>
      <c r="B8" s="19" t="s">
        <v>20</v>
      </c>
      <c r="C8" s="19" t="s">
        <v>8</v>
      </c>
      <c r="D8" s="19" t="s">
        <v>9</v>
      </c>
      <c r="E8" s="19">
        <v>1644</v>
      </c>
      <c r="F8" s="19">
        <v>69.000200000000007</v>
      </c>
      <c r="G8" s="19">
        <v>39.735256</v>
      </c>
      <c r="H8" s="19">
        <v>65324.760863999996</v>
      </c>
      <c r="I8" s="19">
        <v>52.025120999999999</v>
      </c>
      <c r="J8" s="19">
        <v>21.291087000000001</v>
      </c>
      <c r="K8" s="19">
        <v>17.759540999999999</v>
      </c>
      <c r="L8" s="19">
        <v>56.218527999999999</v>
      </c>
      <c r="M8" s="19">
        <v>44.398736</v>
      </c>
      <c r="N8" s="19">
        <v>17.351341000000001</v>
      </c>
      <c r="O8" s="19">
        <v>12.730338</v>
      </c>
      <c r="P8" s="19">
        <v>48.125673999999997</v>
      </c>
      <c r="Q8" s="19">
        <v>614.49905799999999</v>
      </c>
      <c r="R8" s="19">
        <v>223.66899100000001</v>
      </c>
      <c r="S8" s="19">
        <v>1264.567213</v>
      </c>
      <c r="T8" s="19">
        <v>1340.3266814084725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>
        <v>1.4148273764739303</v>
      </c>
      <c r="AQ8" s="19">
        <v>1.2111580204743111</v>
      </c>
      <c r="AR8" s="19"/>
      <c r="AS8" s="19"/>
      <c r="AT8" s="19"/>
      <c r="AU8" s="19">
        <v>0.92540880828469929</v>
      </c>
      <c r="AV8" s="19">
        <v>0.3787201080754018</v>
      </c>
      <c r="AW8" s="19">
        <v>0.31590192116022675</v>
      </c>
      <c r="AX8" s="19">
        <v>0.92255821705478869</v>
      </c>
      <c r="AY8" s="19">
        <v>0.36054229598945464</v>
      </c>
      <c r="AZ8" s="19">
        <v>0.26452279920277066</v>
      </c>
      <c r="BA8" s="19"/>
      <c r="BB8" s="19"/>
      <c r="BC8" s="19"/>
      <c r="BD8" s="19"/>
      <c r="BE8" s="19"/>
      <c r="BF8" s="19"/>
      <c r="BG8" s="19"/>
      <c r="BH8" s="19"/>
      <c r="BI8" s="19"/>
    </row>
    <row r="9" spans="1:61" x14ac:dyDescent="0.55000000000000004">
      <c r="A9" s="19" t="s">
        <v>21</v>
      </c>
      <c r="B9" s="19" t="s">
        <v>22</v>
      </c>
      <c r="C9" s="19" t="s">
        <v>8</v>
      </c>
      <c r="D9" s="19" t="s">
        <v>9</v>
      </c>
      <c r="E9" s="19">
        <v>1586</v>
      </c>
      <c r="F9" s="19">
        <v>69.943708999999998</v>
      </c>
      <c r="G9" s="19">
        <v>38.649790000000003</v>
      </c>
      <c r="H9" s="19">
        <v>61298.566940000004</v>
      </c>
      <c r="I9" s="19">
        <v>61.977767999999998</v>
      </c>
      <c r="J9" s="19">
        <v>12.977299</v>
      </c>
      <c r="K9" s="19">
        <v>24.651796000000001</v>
      </c>
      <c r="L9" s="19">
        <v>66.028035000000003</v>
      </c>
      <c r="M9" s="19">
        <v>43.165027000000002</v>
      </c>
      <c r="N9" s="19">
        <v>15.020104</v>
      </c>
      <c r="O9" s="19">
        <v>11.934234999999999</v>
      </c>
      <c r="P9" s="19">
        <v>45.205559999999998</v>
      </c>
      <c r="Q9" s="19">
        <v>423.55979000000002</v>
      </c>
      <c r="R9" s="19">
        <v>1569.0361009999999</v>
      </c>
      <c r="S9" s="19">
        <v>1848.8098230000001</v>
      </c>
      <c r="T9" s="19">
        <v>1855.6603135986777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>
        <v>1.7083672382178532</v>
      </c>
      <c r="AQ9" s="19">
        <v>1.1696198090597645</v>
      </c>
      <c r="AR9" s="19"/>
      <c r="AS9" s="19"/>
      <c r="AT9" s="19"/>
      <c r="AU9" s="19">
        <v>0.93865837443140621</v>
      </c>
      <c r="AV9" s="19">
        <v>0.19654225663386771</v>
      </c>
      <c r="AW9" s="19">
        <v>0.37335347023427246</v>
      </c>
      <c r="AX9" s="19">
        <v>0.95486101709612714</v>
      </c>
      <c r="AY9" s="19">
        <v>0.33226231463563333</v>
      </c>
      <c r="AZ9" s="19">
        <v>0.26399927354068836</v>
      </c>
      <c r="BA9" s="19"/>
      <c r="BB9" s="19"/>
      <c r="BC9" s="19"/>
      <c r="BD9" s="19"/>
      <c r="BE9" s="19"/>
      <c r="BF9" s="19"/>
      <c r="BG9" s="19"/>
      <c r="BH9" s="19"/>
      <c r="BI9" s="19"/>
    </row>
    <row r="10" spans="1:61" x14ac:dyDescent="0.55000000000000004">
      <c r="A10" s="19" t="s">
        <v>23</v>
      </c>
      <c r="B10" s="19" t="s">
        <v>24</v>
      </c>
      <c r="C10" s="19" t="s">
        <v>8</v>
      </c>
      <c r="D10" s="19" t="s">
        <v>9</v>
      </c>
      <c r="E10" s="19">
        <v>1538</v>
      </c>
      <c r="F10" s="19">
        <v>69.972559000000004</v>
      </c>
      <c r="G10" s="19">
        <v>77.176965999999993</v>
      </c>
      <c r="H10" s="19">
        <v>118698.17370799999</v>
      </c>
      <c r="I10" s="19">
        <v>79.981238000000005</v>
      </c>
      <c r="J10" s="19">
        <v>21.250064999999999</v>
      </c>
      <c r="K10" s="19">
        <v>35.553389000000003</v>
      </c>
      <c r="L10" s="19">
        <v>87.008298999999994</v>
      </c>
      <c r="M10" s="19">
        <v>46.870350000000002</v>
      </c>
      <c r="N10" s="19">
        <v>18.127036</v>
      </c>
      <c r="O10" s="19">
        <v>9.6821629999999992</v>
      </c>
      <c r="P10" s="19">
        <v>47.282226999999999</v>
      </c>
      <c r="Q10" s="19">
        <v>565.38275499999997</v>
      </c>
      <c r="R10" s="19">
        <v>2514.1204950000001</v>
      </c>
      <c r="S10" s="19">
        <v>297.40767099999999</v>
      </c>
      <c r="T10" s="19">
        <v>2530.6132116795197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>
        <v>1.1273868812101269</v>
      </c>
      <c r="AQ10" s="19">
        <v>0.6126468744573349</v>
      </c>
      <c r="AR10" s="19"/>
      <c r="AS10" s="19"/>
      <c r="AT10" s="19"/>
      <c r="AU10" s="19">
        <v>0.91923688796628478</v>
      </c>
      <c r="AV10" s="19">
        <v>0.24423032336260247</v>
      </c>
      <c r="AW10" s="19">
        <v>0.40862066502414907</v>
      </c>
      <c r="AX10" s="19">
        <v>0.99128896783986087</v>
      </c>
      <c r="AY10" s="19">
        <v>0.38337948844922215</v>
      </c>
      <c r="AZ10" s="19">
        <v>0.20477383605471883</v>
      </c>
      <c r="BA10" s="19"/>
      <c r="BB10" s="19"/>
      <c r="BC10" s="19"/>
      <c r="BD10" s="19"/>
      <c r="BE10" s="19"/>
      <c r="BF10" s="19"/>
      <c r="BG10" s="19"/>
      <c r="BH10" s="19"/>
      <c r="BI10" s="19"/>
    </row>
    <row r="11" spans="1:61" x14ac:dyDescent="0.55000000000000004">
      <c r="A11" s="19" t="s">
        <v>25</v>
      </c>
      <c r="B11" s="19" t="s">
        <v>26</v>
      </c>
      <c r="C11" s="19" t="s">
        <v>8</v>
      </c>
      <c r="D11" s="19" t="s">
        <v>9</v>
      </c>
      <c r="E11" s="19">
        <v>1657</v>
      </c>
      <c r="F11" s="19">
        <v>70.672808000000003</v>
      </c>
      <c r="G11" s="19">
        <v>53.670743999999999</v>
      </c>
      <c r="H11" s="19">
        <v>88932.422808000003</v>
      </c>
      <c r="I11" s="19">
        <v>43.694954000000003</v>
      </c>
      <c r="J11" s="19">
        <v>14.026657</v>
      </c>
      <c r="K11" s="19">
        <v>19.815414000000001</v>
      </c>
      <c r="L11" s="19">
        <v>48.109662999999998</v>
      </c>
      <c r="M11" s="19">
        <v>42.909305000000003</v>
      </c>
      <c r="N11" s="19">
        <v>14.670116</v>
      </c>
      <c r="O11" s="19">
        <v>14.491102</v>
      </c>
      <c r="P11" s="19">
        <v>45.315784000000001</v>
      </c>
      <c r="Q11" s="19">
        <v>704.45898599999998</v>
      </c>
      <c r="R11" s="19">
        <v>1271.7795309999999</v>
      </c>
      <c r="S11" s="19">
        <v>73.064671000000004</v>
      </c>
      <c r="T11" s="19">
        <v>1287.300330474676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>
        <v>0.89638524481792159</v>
      </c>
      <c r="AQ11" s="19">
        <v>0.84432934263031645</v>
      </c>
      <c r="AR11" s="19"/>
      <c r="AS11" s="19"/>
      <c r="AT11" s="19"/>
      <c r="AU11" s="19">
        <v>0.90823654283340138</v>
      </c>
      <c r="AV11" s="19">
        <v>0.29155591881822163</v>
      </c>
      <c r="AW11" s="19">
        <v>0.41188012478906788</v>
      </c>
      <c r="AX11" s="19">
        <v>0.94689534666331721</v>
      </c>
      <c r="AY11" s="19">
        <v>0.32373082191405977</v>
      </c>
      <c r="AZ11" s="19">
        <v>0.31978045442179703</v>
      </c>
      <c r="BA11" s="19"/>
      <c r="BB11" s="19"/>
      <c r="BC11" s="19"/>
      <c r="BD11" s="19"/>
      <c r="BE11" s="19"/>
      <c r="BF11" s="19"/>
      <c r="BG11" s="19"/>
      <c r="BH11" s="19"/>
      <c r="BI11" s="19"/>
    </row>
    <row r="12" spans="1:61" x14ac:dyDescent="0.55000000000000004">
      <c r="A12" s="19" t="s">
        <v>27</v>
      </c>
      <c r="B12" s="19" t="s">
        <v>28</v>
      </c>
      <c r="C12" s="19" t="s">
        <v>8</v>
      </c>
      <c r="D12" s="19" t="s">
        <v>9</v>
      </c>
      <c r="E12" s="19">
        <v>1800</v>
      </c>
      <c r="F12" s="19">
        <v>67.394908999999998</v>
      </c>
      <c r="G12" s="19">
        <v>38.079225999999998</v>
      </c>
      <c r="H12" s="19">
        <v>68542.606799999994</v>
      </c>
      <c r="I12" s="19">
        <v>50.394795000000002</v>
      </c>
      <c r="J12" s="19">
        <v>16.137115000000001</v>
      </c>
      <c r="K12" s="19">
        <v>24.136382000000001</v>
      </c>
      <c r="L12" s="19">
        <v>55.331404999999997</v>
      </c>
      <c r="M12" s="19">
        <v>48.371237999999998</v>
      </c>
      <c r="N12" s="19">
        <v>18.965467</v>
      </c>
      <c r="O12" s="19">
        <v>7.9103579999999996</v>
      </c>
      <c r="P12" s="19">
        <v>51.552919000000003</v>
      </c>
      <c r="Q12" s="19">
        <v>302.136571</v>
      </c>
      <c r="R12" s="19">
        <v>218.739529</v>
      </c>
      <c r="S12" s="19">
        <v>1518.3483040000001</v>
      </c>
      <c r="T12" s="19">
        <v>1524.8385387993064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>
        <v>1.4530601278502877</v>
      </c>
      <c r="AQ12" s="19">
        <v>1.3538331635207081</v>
      </c>
      <c r="AR12" s="19"/>
      <c r="AS12" s="19"/>
      <c r="AT12" s="19"/>
      <c r="AU12" s="19">
        <v>0.91078104739975441</v>
      </c>
      <c r="AV12" s="19">
        <v>0.29164477207835227</v>
      </c>
      <c r="AW12" s="19">
        <v>0.43621487652446206</v>
      </c>
      <c r="AX12" s="19">
        <v>0.93828320371151042</v>
      </c>
      <c r="AY12" s="19">
        <v>0.36788347523056841</v>
      </c>
      <c r="AZ12" s="19">
        <v>0.15344151511575899</v>
      </c>
      <c r="BA12" s="19"/>
      <c r="BB12" s="19"/>
      <c r="BC12" s="19"/>
      <c r="BD12" s="19"/>
      <c r="BE12" s="19"/>
      <c r="BF12" s="19"/>
      <c r="BG12" s="19"/>
      <c r="BH12" s="19"/>
      <c r="BI12" s="19"/>
    </row>
    <row r="13" spans="1:61" x14ac:dyDescent="0.55000000000000004">
      <c r="A13" s="19" t="s">
        <v>29</v>
      </c>
      <c r="B13" s="19" t="s">
        <v>30</v>
      </c>
      <c r="C13" s="19" t="s">
        <v>8</v>
      </c>
      <c r="D13" s="19" t="s">
        <v>9</v>
      </c>
      <c r="E13" s="19">
        <v>1690</v>
      </c>
      <c r="F13" s="19">
        <v>73.151397000000003</v>
      </c>
      <c r="G13" s="19">
        <v>39.848762000000001</v>
      </c>
      <c r="H13" s="19">
        <v>67344.407779999994</v>
      </c>
      <c r="I13" s="19">
        <v>44.512658000000002</v>
      </c>
      <c r="J13" s="19">
        <v>14.109515</v>
      </c>
      <c r="K13" s="19">
        <v>14.744401</v>
      </c>
      <c r="L13" s="19">
        <v>45.199556999999999</v>
      </c>
      <c r="M13" s="19">
        <v>43.041032999999999</v>
      </c>
      <c r="N13" s="19">
        <v>17.480388999999999</v>
      </c>
      <c r="O13" s="19">
        <v>14.681293</v>
      </c>
      <c r="P13" s="19">
        <v>46.550033999999997</v>
      </c>
      <c r="Q13" s="19">
        <v>322.62562800000001</v>
      </c>
      <c r="R13" s="19">
        <v>1011.091171</v>
      </c>
      <c r="S13" s="19">
        <v>14.177752999999999</v>
      </c>
      <c r="T13" s="19">
        <v>1011.1037920176832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>
        <v>1.1342775717850406</v>
      </c>
      <c r="AQ13" s="19">
        <v>1.1681676334135549</v>
      </c>
      <c r="AR13" s="19"/>
      <c r="AS13" s="19"/>
      <c r="AT13" s="19"/>
      <c r="AU13" s="19">
        <v>0.98480297052468901</v>
      </c>
      <c r="AV13" s="19">
        <v>0.31216047095328836</v>
      </c>
      <c r="AW13" s="19">
        <v>0.32620675906182001</v>
      </c>
      <c r="AX13" s="19">
        <v>0.9246187231571088</v>
      </c>
      <c r="AY13" s="19">
        <v>0.37551828640984453</v>
      </c>
      <c r="AZ13" s="19">
        <v>0.31538737436797576</v>
      </c>
      <c r="BA13" s="19"/>
      <c r="BB13" s="19"/>
      <c r="BC13" s="19"/>
      <c r="BD13" s="19"/>
      <c r="BE13" s="19"/>
      <c r="BF13" s="19"/>
      <c r="BG13" s="19"/>
      <c r="BH13" s="19"/>
      <c r="BI13" s="19"/>
    </row>
    <row r="14" spans="1:61" x14ac:dyDescent="0.55000000000000004">
      <c r="A14" s="19" t="s">
        <v>31</v>
      </c>
      <c r="B14" s="19" t="s">
        <v>32</v>
      </c>
      <c r="C14" s="19" t="s">
        <v>8</v>
      </c>
      <c r="D14" s="19" t="s">
        <v>9</v>
      </c>
      <c r="E14" s="19">
        <v>1674</v>
      </c>
      <c r="F14" s="19">
        <v>69.76217299999999</v>
      </c>
      <c r="G14" s="19">
        <v>41.824460000000002</v>
      </c>
      <c r="H14" s="19">
        <v>70014.146040000007</v>
      </c>
      <c r="I14" s="19">
        <v>36.024608000000001</v>
      </c>
      <c r="J14" s="19">
        <v>17.972289</v>
      </c>
      <c r="K14" s="19">
        <v>21.457008999999999</v>
      </c>
      <c r="L14" s="19">
        <v>40.832343000000002</v>
      </c>
      <c r="M14" s="19">
        <v>43.657207999999997</v>
      </c>
      <c r="N14" s="19">
        <v>18.136434000000001</v>
      </c>
      <c r="O14" s="19">
        <v>15.806964000000001</v>
      </c>
      <c r="P14" s="19">
        <v>48.925294999999998</v>
      </c>
      <c r="Q14" s="19">
        <v>625.60720500000002</v>
      </c>
      <c r="R14" s="19">
        <v>1976.418287</v>
      </c>
      <c r="S14" s="19">
        <v>1124.99638</v>
      </c>
      <c r="T14" s="19">
        <v>2032.4242857080435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>
        <v>0.97627902428387603</v>
      </c>
      <c r="AQ14" s="19">
        <v>1.1697770873790121</v>
      </c>
      <c r="AR14" s="19"/>
      <c r="AS14" s="19"/>
      <c r="AT14" s="19"/>
      <c r="AU14" s="19">
        <v>0.88225669538483253</v>
      </c>
      <c r="AV14" s="19">
        <v>0.44014836474115626</v>
      </c>
      <c r="AW14" s="19">
        <v>0.5254905161822333</v>
      </c>
      <c r="AX14" s="19">
        <v>0.89232385824142701</v>
      </c>
      <c r="AY14" s="19">
        <v>0.37069646692983665</v>
      </c>
      <c r="AZ14" s="19">
        <v>0.32308367277090516</v>
      </c>
      <c r="BA14" s="19"/>
      <c r="BB14" s="19"/>
      <c r="BC14" s="19"/>
      <c r="BD14" s="19"/>
      <c r="BE14" s="19"/>
      <c r="BF14" s="19"/>
      <c r="BG14" s="19"/>
      <c r="BH14" s="19"/>
      <c r="BI14" s="19"/>
    </row>
    <row r="15" spans="1:61" x14ac:dyDescent="0.55000000000000004">
      <c r="A15" s="19" t="s">
        <v>33</v>
      </c>
      <c r="B15" s="19" t="s">
        <v>34</v>
      </c>
      <c r="C15" s="19" t="s">
        <v>8</v>
      </c>
      <c r="D15" s="19" t="s">
        <v>9</v>
      </c>
      <c r="E15" s="19">
        <v>1742</v>
      </c>
      <c r="F15" s="19">
        <v>70.245531999999997</v>
      </c>
      <c r="G15" s="19">
        <v>36.131751000000001</v>
      </c>
      <c r="H15" s="19">
        <v>62941.510242000004</v>
      </c>
      <c r="I15" s="19">
        <v>41.006405000000001</v>
      </c>
      <c r="J15" s="19">
        <v>14.224303000000001</v>
      </c>
      <c r="K15" s="19">
        <v>24.242381999999999</v>
      </c>
      <c r="L15" s="19">
        <v>48.1297</v>
      </c>
      <c r="M15" s="19">
        <v>39.310706000000003</v>
      </c>
      <c r="N15" s="19">
        <v>12.100061999999999</v>
      </c>
      <c r="O15" s="19">
        <v>9.2842459999999996</v>
      </c>
      <c r="P15" s="19">
        <v>40.736539</v>
      </c>
      <c r="Q15" s="19">
        <v>613.07293700000002</v>
      </c>
      <c r="R15" s="19">
        <v>255.846645</v>
      </c>
      <c r="S15" s="19">
        <v>1230.901226</v>
      </c>
      <c r="T15" s="19">
        <v>1259.5105243060714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>
        <v>1.3320611004985614</v>
      </c>
      <c r="AQ15" s="19">
        <v>1.127444363269303</v>
      </c>
      <c r="AR15" s="19"/>
      <c r="AS15" s="19"/>
      <c r="AT15" s="19"/>
      <c r="AU15" s="19">
        <v>0.85199793474715202</v>
      </c>
      <c r="AV15" s="19">
        <v>0.29554106923583567</v>
      </c>
      <c r="AW15" s="19">
        <v>0.50368861638447782</v>
      </c>
      <c r="AX15" s="19">
        <v>0.96499867109476345</v>
      </c>
      <c r="AY15" s="19">
        <v>0.29703215582452891</v>
      </c>
      <c r="AZ15" s="19">
        <v>0.22790954332178293</v>
      </c>
      <c r="BA15" s="19"/>
      <c r="BB15" s="19"/>
      <c r="BC15" s="19"/>
      <c r="BD15" s="19"/>
      <c r="BE15" s="19"/>
      <c r="BF15" s="19"/>
      <c r="BG15" s="19"/>
      <c r="BH15" s="19"/>
      <c r="BI15" s="19"/>
    </row>
    <row r="16" spans="1:61" x14ac:dyDescent="0.55000000000000004">
      <c r="A16" s="19" t="s">
        <v>35</v>
      </c>
      <c r="B16" s="19" t="s">
        <v>36</v>
      </c>
      <c r="C16" s="19" t="s">
        <v>8</v>
      </c>
      <c r="D16" s="19" t="s">
        <v>9</v>
      </c>
      <c r="E16" s="19">
        <v>1745</v>
      </c>
      <c r="F16" s="19">
        <v>74.309810999999996</v>
      </c>
      <c r="G16" s="19">
        <v>44.567003999999997</v>
      </c>
      <c r="H16" s="19">
        <v>77769.421979999999</v>
      </c>
      <c r="I16" s="19">
        <v>102.09313299999999</v>
      </c>
      <c r="J16" s="19">
        <v>20.957671000000001</v>
      </c>
      <c r="K16" s="19">
        <v>22.584589999999999</v>
      </c>
      <c r="L16" s="19">
        <v>103.78941</v>
      </c>
      <c r="M16" s="19">
        <v>57.589666999999999</v>
      </c>
      <c r="N16" s="19">
        <v>15.670263</v>
      </c>
      <c r="O16" s="19">
        <v>22.79325</v>
      </c>
      <c r="P16" s="19">
        <v>60.591096999999998</v>
      </c>
      <c r="Q16" s="19">
        <v>1858.422294</v>
      </c>
      <c r="R16" s="19">
        <v>1598.3947169999999</v>
      </c>
      <c r="S16" s="19">
        <v>46.661472000000003</v>
      </c>
      <c r="T16" s="19">
        <v>2347.6239328695342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>
        <v>2.328839739821865</v>
      </c>
      <c r="AQ16" s="19">
        <v>1.3595505993627035</v>
      </c>
      <c r="AR16" s="19"/>
      <c r="AS16" s="19"/>
      <c r="AT16" s="19"/>
      <c r="AU16" s="19">
        <v>0.98365655031664589</v>
      </c>
      <c r="AV16" s="19">
        <v>0.2019249459072944</v>
      </c>
      <c r="AW16" s="19">
        <v>0.21760013858832031</v>
      </c>
      <c r="AX16" s="19">
        <v>0.95046417462948396</v>
      </c>
      <c r="AY16" s="19">
        <v>0.25862319343714807</v>
      </c>
      <c r="AZ16" s="19">
        <v>0.37618150402525308</v>
      </c>
      <c r="BA16" s="19"/>
      <c r="BB16" s="19"/>
      <c r="BC16" s="19"/>
      <c r="BD16" s="19"/>
      <c r="BE16" s="19"/>
      <c r="BF16" s="19"/>
      <c r="BG16" s="19"/>
      <c r="BH16" s="19"/>
      <c r="BI16" s="19"/>
    </row>
    <row r="17" spans="1:61" x14ac:dyDescent="0.55000000000000004">
      <c r="A17" s="19" t="s">
        <v>37</v>
      </c>
      <c r="B17" s="19" t="s">
        <v>38</v>
      </c>
      <c r="C17" s="19" t="s">
        <v>8</v>
      </c>
      <c r="D17" s="19" t="s">
        <v>9</v>
      </c>
      <c r="E17" s="19">
        <v>1732</v>
      </c>
      <c r="F17" s="19">
        <v>68.981820999999997</v>
      </c>
      <c r="G17" s="19">
        <v>37.607621999999999</v>
      </c>
      <c r="H17" s="19">
        <v>65136.401303999999</v>
      </c>
      <c r="I17" s="19">
        <v>36.020130000000002</v>
      </c>
      <c r="J17" s="19">
        <v>27.302211</v>
      </c>
      <c r="K17" s="19">
        <v>32.398516000000001</v>
      </c>
      <c r="L17" s="19">
        <v>42.758420000000001</v>
      </c>
      <c r="M17" s="19">
        <v>35.602485000000001</v>
      </c>
      <c r="N17" s="19">
        <v>15.662077999999999</v>
      </c>
      <c r="O17" s="19">
        <v>16.687825</v>
      </c>
      <c r="P17" s="19">
        <v>38.637152999999998</v>
      </c>
      <c r="Q17" s="19">
        <v>502.677097</v>
      </c>
      <c r="R17" s="19">
        <v>2287.9021910000001</v>
      </c>
      <c r="S17" s="19">
        <v>1689.9740019999999</v>
      </c>
      <c r="T17" s="19">
        <v>2287.9617619046135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>
        <v>1.1369615446570911</v>
      </c>
      <c r="AQ17" s="19">
        <v>1.0273755942345941</v>
      </c>
      <c r="AR17" s="19"/>
      <c r="AS17" s="19"/>
      <c r="AT17" s="19"/>
      <c r="AU17" s="19">
        <v>0.8424102200221617</v>
      </c>
      <c r="AV17" s="19">
        <v>0.63852244774245637</v>
      </c>
      <c r="AW17" s="19">
        <v>0.75771078538449266</v>
      </c>
      <c r="AX17" s="19">
        <v>0.92145725643915855</v>
      </c>
      <c r="AY17" s="19">
        <v>0.40536314878065682</v>
      </c>
      <c r="AZ17" s="19">
        <v>0.43191135226759592</v>
      </c>
      <c r="BA17" s="19"/>
      <c r="BB17" s="19"/>
      <c r="BC17" s="19"/>
      <c r="BD17" s="19"/>
      <c r="BE17" s="19"/>
      <c r="BF17" s="19"/>
      <c r="BG17" s="19"/>
      <c r="BH17" s="19"/>
      <c r="BI17" s="19"/>
    </row>
    <row r="18" spans="1:61" x14ac:dyDescent="0.55000000000000004">
      <c r="A18" s="19" t="s">
        <v>39</v>
      </c>
      <c r="B18" s="19" t="s">
        <v>24</v>
      </c>
      <c r="C18" s="19" t="s">
        <v>8</v>
      </c>
      <c r="D18" s="19" t="s">
        <v>9</v>
      </c>
      <c r="E18" s="19">
        <v>1543</v>
      </c>
      <c r="F18" s="19">
        <v>70.63625900000001</v>
      </c>
      <c r="G18" s="19">
        <v>38.256742000000003</v>
      </c>
      <c r="H18" s="19">
        <v>59030.152906000003</v>
      </c>
      <c r="I18" s="19">
        <v>40.092950000000002</v>
      </c>
      <c r="J18" s="19">
        <v>13.009467000000001</v>
      </c>
      <c r="K18" s="19">
        <v>18.893932</v>
      </c>
      <c r="L18" s="19">
        <v>42.253861999999998</v>
      </c>
      <c r="M18" s="19">
        <v>31.590852000000002</v>
      </c>
      <c r="N18" s="19">
        <v>17.677538999999999</v>
      </c>
      <c r="O18" s="19">
        <v>9.4896100000000008</v>
      </c>
      <c r="P18" s="19">
        <v>35.498823000000002</v>
      </c>
      <c r="Q18" s="19">
        <v>493.770105</v>
      </c>
      <c r="R18" s="19">
        <v>916.487752</v>
      </c>
      <c r="S18" s="19">
        <v>122.092281</v>
      </c>
      <c r="T18" s="19">
        <v>928.32182677108108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>
        <v>1.1044814532298646</v>
      </c>
      <c r="AQ18" s="19">
        <v>0.92791024912680753</v>
      </c>
      <c r="AR18" s="19"/>
      <c r="AS18" s="19"/>
      <c r="AT18" s="19"/>
      <c r="AU18" s="19">
        <v>0.94885882857287707</v>
      </c>
      <c r="AV18" s="19">
        <v>0.30788823516297759</v>
      </c>
      <c r="AW18" s="19">
        <v>0.44715278333611258</v>
      </c>
      <c r="AX18" s="19">
        <v>0.88991265992114721</v>
      </c>
      <c r="AY18" s="19">
        <v>0.49797535540826238</v>
      </c>
      <c r="AZ18" s="19">
        <v>0.26732182078262146</v>
      </c>
      <c r="BA18" s="19"/>
      <c r="BB18" s="19"/>
      <c r="BC18" s="19"/>
      <c r="BD18" s="19"/>
      <c r="BE18" s="19"/>
      <c r="BF18" s="19"/>
      <c r="BG18" s="19"/>
      <c r="BH18" s="19"/>
      <c r="BI18" s="19"/>
    </row>
    <row r="19" spans="1:61" x14ac:dyDescent="0.55000000000000004">
      <c r="A19" s="19" t="s">
        <v>40</v>
      </c>
      <c r="B19" s="19" t="s">
        <v>41</v>
      </c>
      <c r="C19" s="19" t="s">
        <v>8</v>
      </c>
      <c r="D19" s="19" t="s">
        <v>9</v>
      </c>
      <c r="E19" s="19">
        <v>1734</v>
      </c>
      <c r="F19" s="19">
        <v>70.646870000000007</v>
      </c>
      <c r="G19" s="19">
        <v>39.935662999999998</v>
      </c>
      <c r="H19" s="19">
        <v>69248.439641999998</v>
      </c>
      <c r="I19" s="19">
        <v>34.847678999999999</v>
      </c>
      <c r="J19" s="19">
        <v>31.550149000000001</v>
      </c>
      <c r="K19" s="19">
        <v>19.943321000000001</v>
      </c>
      <c r="L19" s="19">
        <v>40.544131999999998</v>
      </c>
      <c r="M19" s="19">
        <v>41.207630999999999</v>
      </c>
      <c r="N19" s="19">
        <v>18.875695</v>
      </c>
      <c r="O19" s="19">
        <v>9.4917619999999996</v>
      </c>
      <c r="P19" s="19">
        <v>45.230195999999999</v>
      </c>
      <c r="Q19" s="19">
        <v>683.702135</v>
      </c>
      <c r="R19" s="19">
        <v>2241.7512969999998</v>
      </c>
      <c r="S19" s="19">
        <v>998.44632000000001</v>
      </c>
      <c r="T19" s="19">
        <v>2246.3165656196984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>
        <v>1.0152362313353855</v>
      </c>
      <c r="AQ19" s="19">
        <v>1.1325765644606927</v>
      </c>
      <c r="AR19" s="19"/>
      <c r="AS19" s="19"/>
      <c r="AT19" s="19"/>
      <c r="AU19" s="19">
        <v>0.85949993947336201</v>
      </c>
      <c r="AV19" s="19">
        <v>0.77816807127601106</v>
      </c>
      <c r="AW19" s="19">
        <v>0.49189167497777486</v>
      </c>
      <c r="AX19" s="19">
        <v>0.91106461267600958</v>
      </c>
      <c r="AY19" s="19">
        <v>0.41732507637154614</v>
      </c>
      <c r="AZ19" s="19">
        <v>0.20985454053747632</v>
      </c>
      <c r="BA19" s="19"/>
      <c r="BB19" s="19"/>
      <c r="BC19" s="19"/>
      <c r="BD19" s="19"/>
      <c r="BE19" s="19"/>
      <c r="BF19" s="19"/>
      <c r="BG19" s="19"/>
      <c r="BH19" s="19"/>
      <c r="BI19" s="19"/>
    </row>
    <row r="20" spans="1:61" x14ac:dyDescent="0.55000000000000004">
      <c r="A20" s="19" t="s">
        <v>42</v>
      </c>
      <c r="B20" s="19" t="s">
        <v>43</v>
      </c>
      <c r="C20" s="19" t="s">
        <v>8</v>
      </c>
      <c r="D20" s="19" t="s">
        <v>9</v>
      </c>
      <c r="E20" s="19">
        <v>1330</v>
      </c>
      <c r="F20" s="19">
        <v>68.503430999999992</v>
      </c>
      <c r="G20" s="19">
        <v>44.454549</v>
      </c>
      <c r="H20" s="19"/>
      <c r="I20" s="19">
        <v>40.469712000000001</v>
      </c>
      <c r="J20" s="19">
        <v>16.061263</v>
      </c>
      <c r="K20" s="19">
        <v>25.168837</v>
      </c>
      <c r="L20" s="19">
        <v>44.724474999999998</v>
      </c>
      <c r="M20" s="19">
        <v>38.470739000000002</v>
      </c>
      <c r="N20" s="19">
        <v>21.327196000000001</v>
      </c>
      <c r="O20" s="19">
        <v>14.408384</v>
      </c>
      <c r="P20" s="19">
        <v>44.137829000000004</v>
      </c>
      <c r="Q20" s="19">
        <v>561.49722299999996</v>
      </c>
      <c r="R20" s="19">
        <v>2462.2709789999999</v>
      </c>
      <c r="S20" s="19">
        <v>1332.1546900000001</v>
      </c>
      <c r="T20" s="19">
        <v>2519.921925959095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>
        <v>1.0060719545259587</v>
      </c>
      <c r="AQ20" s="19">
        <v>0.99287541979112204</v>
      </c>
      <c r="AR20" s="19"/>
      <c r="AS20" s="19"/>
      <c r="AT20" s="19"/>
      <c r="AU20" s="19">
        <v>0.90486723432751315</v>
      </c>
      <c r="AV20" s="19">
        <v>0.35911574143687547</v>
      </c>
      <c r="AW20" s="19">
        <v>0.56275310107049892</v>
      </c>
      <c r="AX20" s="19">
        <v>0.8716046953736668</v>
      </c>
      <c r="AY20" s="19">
        <v>0.48319540138686928</v>
      </c>
      <c r="AZ20" s="19">
        <v>0.32644070463909763</v>
      </c>
      <c r="BA20" s="19"/>
      <c r="BB20" s="19"/>
      <c r="BC20" s="19"/>
      <c r="BD20" s="19"/>
      <c r="BE20" s="19"/>
      <c r="BF20" s="19"/>
      <c r="BG20" s="19"/>
      <c r="BH20" s="19"/>
      <c r="BI20" s="19"/>
    </row>
    <row r="21" spans="1:61" x14ac:dyDescent="0.55000000000000004">
      <c r="A21" s="19" t="s">
        <v>44</v>
      </c>
      <c r="B21" s="19" t="s">
        <v>45</v>
      </c>
      <c r="C21" s="19" t="s">
        <v>8</v>
      </c>
      <c r="D21" s="19" t="s">
        <v>9</v>
      </c>
      <c r="E21" s="19">
        <v>1297</v>
      </c>
      <c r="F21" s="19">
        <v>67.587586000000002</v>
      </c>
      <c r="G21" s="19">
        <v>52.001717999999997</v>
      </c>
      <c r="H21" s="19">
        <v>67446.228245999999</v>
      </c>
      <c r="I21" s="19">
        <v>41.237721999999998</v>
      </c>
      <c r="J21" s="19">
        <v>12.868797000000001</v>
      </c>
      <c r="K21" s="19">
        <v>25.581866000000002</v>
      </c>
      <c r="L21" s="19">
        <v>42.153903999999997</v>
      </c>
      <c r="M21" s="19">
        <v>51.233964</v>
      </c>
      <c r="N21" s="19">
        <v>15.985535</v>
      </c>
      <c r="O21" s="19">
        <v>18.511783000000001</v>
      </c>
      <c r="P21" s="19">
        <v>52.247191000000001</v>
      </c>
      <c r="Q21" s="19">
        <v>642.248424</v>
      </c>
      <c r="R21" s="19">
        <v>1436.553388</v>
      </c>
      <c r="S21" s="19">
        <v>438.96203200000002</v>
      </c>
      <c r="T21" s="19">
        <v>1440.5295151842663</v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>
        <v>0.81062521818990674</v>
      </c>
      <c r="AQ21" s="19">
        <v>1.0047204786580322</v>
      </c>
      <c r="AR21" s="19"/>
      <c r="AS21" s="19"/>
      <c r="AT21" s="19"/>
      <c r="AU21" s="19">
        <v>0.97826578529950636</v>
      </c>
      <c r="AV21" s="19">
        <v>0.30528126173082337</v>
      </c>
      <c r="AW21" s="19">
        <v>0.60686825115889631</v>
      </c>
      <c r="AX21" s="19">
        <v>0.98060705311410901</v>
      </c>
      <c r="AY21" s="19">
        <v>0.30595970221633545</v>
      </c>
      <c r="AZ21" s="19">
        <v>0.35431154566759387</v>
      </c>
      <c r="BA21" s="19"/>
      <c r="BB21" s="19"/>
      <c r="BC21" s="19"/>
      <c r="BD21" s="19"/>
      <c r="BE21" s="19"/>
      <c r="BF21" s="19"/>
      <c r="BG21" s="19"/>
      <c r="BH21" s="19"/>
      <c r="BI21" s="19"/>
    </row>
    <row r="22" spans="1:61" x14ac:dyDescent="0.55000000000000004">
      <c r="A22" s="19" t="s">
        <v>46</v>
      </c>
      <c r="B22" s="19" t="s">
        <v>47</v>
      </c>
      <c r="C22" s="19" t="s">
        <v>8</v>
      </c>
      <c r="D22" s="19" t="s">
        <v>9</v>
      </c>
      <c r="E22" s="19">
        <v>1568</v>
      </c>
      <c r="F22" s="19">
        <v>70.421459999999996</v>
      </c>
      <c r="G22" s="19">
        <v>36.797459000000003</v>
      </c>
      <c r="H22" s="19">
        <v>57698.415712000002</v>
      </c>
      <c r="I22" s="19">
        <v>56.857056999999998</v>
      </c>
      <c r="J22" s="19">
        <v>12.084630000000001</v>
      </c>
      <c r="K22" s="19">
        <v>17.185072000000002</v>
      </c>
      <c r="L22" s="19">
        <v>57.040621999999999</v>
      </c>
      <c r="M22" s="19">
        <v>40.089517999999998</v>
      </c>
      <c r="N22" s="19">
        <v>12.863671999999999</v>
      </c>
      <c r="O22" s="19">
        <v>9.2872260000000004</v>
      </c>
      <c r="P22" s="19">
        <v>41.299821000000001</v>
      </c>
      <c r="Q22" s="19">
        <v>372.46071599999999</v>
      </c>
      <c r="R22" s="19">
        <v>217.408794</v>
      </c>
      <c r="S22" s="19">
        <v>1669.9479229999999</v>
      </c>
      <c r="T22" s="19">
        <v>1670.6750864033688</v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>
        <v>1.550123936546814</v>
      </c>
      <c r="AQ22" s="19">
        <v>1.1223552419747242</v>
      </c>
      <c r="AR22" s="19"/>
      <c r="AS22" s="19"/>
      <c r="AT22" s="19"/>
      <c r="AU22" s="19">
        <v>0.99678185486827264</v>
      </c>
      <c r="AV22" s="19">
        <v>0.21186006702381333</v>
      </c>
      <c r="AW22" s="19">
        <v>0.30127778059643184</v>
      </c>
      <c r="AX22" s="19">
        <v>0.97069471560179399</v>
      </c>
      <c r="AY22" s="19">
        <v>0.31147040564655232</v>
      </c>
      <c r="AZ22" s="19">
        <v>0.22487327487448433</v>
      </c>
      <c r="BA22" s="19"/>
      <c r="BB22" s="19"/>
      <c r="BC22" s="19"/>
      <c r="BD22" s="19"/>
      <c r="BE22" s="19"/>
      <c r="BF22" s="19"/>
      <c r="BG22" s="19"/>
      <c r="BH22" s="19"/>
      <c r="BI22" s="19"/>
    </row>
    <row r="23" spans="1:61" x14ac:dyDescent="0.55000000000000004">
      <c r="A23" s="19" t="s">
        <v>48</v>
      </c>
      <c r="B23" s="19" t="s">
        <v>36</v>
      </c>
      <c r="C23" s="19" t="s">
        <v>8</v>
      </c>
      <c r="D23" s="19" t="s">
        <v>9</v>
      </c>
      <c r="E23" s="19">
        <v>1720</v>
      </c>
      <c r="F23" s="19">
        <v>75.664417</v>
      </c>
      <c r="G23" s="19">
        <v>49.829411</v>
      </c>
      <c r="H23" s="19">
        <v>85706.586920000002</v>
      </c>
      <c r="I23" s="19">
        <v>48.177430999999999</v>
      </c>
      <c r="J23" s="19">
        <v>12.185074999999999</v>
      </c>
      <c r="K23" s="19">
        <v>21.481632000000001</v>
      </c>
      <c r="L23" s="19">
        <v>49.600920000000002</v>
      </c>
      <c r="M23" s="19">
        <v>56.772933999999999</v>
      </c>
      <c r="N23" s="19">
        <v>16.778324999999999</v>
      </c>
      <c r="O23" s="19">
        <v>14.155618</v>
      </c>
      <c r="P23" s="19">
        <v>58.599609000000001</v>
      </c>
      <c r="Q23" s="19">
        <v>1254.7148729999999</v>
      </c>
      <c r="R23" s="19">
        <v>2159.4414320000001</v>
      </c>
      <c r="S23" s="19">
        <v>1210.8499449999999</v>
      </c>
      <c r="T23" s="19">
        <v>2193.7724122478057</v>
      </c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>
        <v>0.99541453540359937</v>
      </c>
      <c r="AQ23" s="19">
        <v>1.1760044484571572</v>
      </c>
      <c r="AR23" s="19"/>
      <c r="AS23" s="19"/>
      <c r="AT23" s="19"/>
      <c r="AU23" s="19">
        <v>0.9713011573172432</v>
      </c>
      <c r="AV23" s="19">
        <v>0.24566227803839119</v>
      </c>
      <c r="AW23" s="19">
        <v>0.43308938624525511</v>
      </c>
      <c r="AX23" s="19">
        <v>0.96882786368079687</v>
      </c>
      <c r="AY23" s="19">
        <v>0.28632144968748852</v>
      </c>
      <c r="AZ23" s="19">
        <v>0.24156505890679236</v>
      </c>
      <c r="BA23" s="19"/>
      <c r="BB23" s="19"/>
      <c r="BC23" s="19"/>
      <c r="BD23" s="19"/>
      <c r="BE23" s="19"/>
      <c r="BF23" s="19"/>
      <c r="BG23" s="19"/>
      <c r="BH23" s="19"/>
      <c r="BI23" s="19"/>
    </row>
    <row r="24" spans="1:61" x14ac:dyDescent="0.55000000000000004">
      <c r="A24" s="19" t="s">
        <v>49</v>
      </c>
      <c r="B24" s="19" t="s">
        <v>50</v>
      </c>
      <c r="C24" s="19" t="s">
        <v>51</v>
      </c>
      <c r="D24" s="19" t="s">
        <v>9</v>
      </c>
      <c r="E24" s="19">
        <v>1248</v>
      </c>
      <c r="F24" s="19">
        <v>66.860294999999994</v>
      </c>
      <c r="G24" s="19">
        <v>50.285342</v>
      </c>
      <c r="H24" s="19">
        <v>62756.106816</v>
      </c>
      <c r="I24" s="19">
        <v>41.540526999999997</v>
      </c>
      <c r="J24" s="19">
        <v>27.693617</v>
      </c>
      <c r="K24" s="19">
        <v>25.849937000000001</v>
      </c>
      <c r="L24" s="19">
        <v>47.584401999999997</v>
      </c>
      <c r="M24" s="19">
        <v>44.072536999999997</v>
      </c>
      <c r="N24" s="19">
        <v>18.252670999999999</v>
      </c>
      <c r="O24" s="19">
        <v>16.438746999999999</v>
      </c>
      <c r="P24" s="19">
        <v>48.291640999999998</v>
      </c>
      <c r="Q24" s="19">
        <v>627.44653800000003</v>
      </c>
      <c r="R24" s="19">
        <v>450.367773</v>
      </c>
      <c r="S24" s="19">
        <v>1657.25595</v>
      </c>
      <c r="T24" s="19">
        <v>1771.6235306846609</v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>
        <v>0.94628772734607225</v>
      </c>
      <c r="AQ24" s="19">
        <v>0.96035224340325653</v>
      </c>
      <c r="AR24" s="19"/>
      <c r="AS24" s="19"/>
      <c r="AT24" s="19"/>
      <c r="AU24" s="19">
        <v>0.8729862151046891</v>
      </c>
      <c r="AV24" s="19">
        <v>0.58198938803518008</v>
      </c>
      <c r="AW24" s="19">
        <v>0.54324391845882614</v>
      </c>
      <c r="AX24" s="19">
        <v>0.91263283018276387</v>
      </c>
      <c r="AY24" s="19">
        <v>0.37796750373423837</v>
      </c>
      <c r="AZ24" s="19">
        <v>0.34040564080230779</v>
      </c>
      <c r="BA24" s="19"/>
      <c r="BB24" s="19"/>
      <c r="BC24" s="19"/>
      <c r="BD24" s="19"/>
      <c r="BE24" s="19"/>
      <c r="BF24" s="19"/>
      <c r="BG24" s="19"/>
      <c r="BH24" s="19"/>
      <c r="BI24" s="19"/>
    </row>
    <row r="25" spans="1:61" x14ac:dyDescent="0.55000000000000004">
      <c r="A25" s="19" t="s">
        <v>52</v>
      </c>
      <c r="B25" s="19" t="s">
        <v>45</v>
      </c>
      <c r="C25" s="19" t="s">
        <v>8</v>
      </c>
      <c r="D25" s="19" t="s">
        <v>9</v>
      </c>
      <c r="E25" s="19">
        <v>1279</v>
      </c>
      <c r="F25" s="19">
        <v>71.024285999999989</v>
      </c>
      <c r="G25" s="19">
        <v>40.290927000000003</v>
      </c>
      <c r="H25" s="19">
        <v>51532.095633000004</v>
      </c>
      <c r="I25" s="19">
        <v>43.443924000000003</v>
      </c>
      <c r="J25" s="19">
        <v>17.147789</v>
      </c>
      <c r="K25" s="19">
        <v>24.786313</v>
      </c>
      <c r="L25" s="19">
        <v>46.255136999999998</v>
      </c>
      <c r="M25" s="19">
        <v>44.120010000000001</v>
      </c>
      <c r="N25" s="19">
        <v>15.624784</v>
      </c>
      <c r="O25" s="19">
        <v>10.850312000000001</v>
      </c>
      <c r="P25" s="19">
        <v>46.048186000000001</v>
      </c>
      <c r="Q25" s="19">
        <v>423.547819</v>
      </c>
      <c r="R25" s="19">
        <v>540.78845200000001</v>
      </c>
      <c r="S25" s="19">
        <v>1272.3926750000001</v>
      </c>
      <c r="T25" s="19">
        <v>1272.4057104985641</v>
      </c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>
        <v>1.1480286119999172</v>
      </c>
      <c r="AQ25" s="19">
        <v>1.1428921950592001</v>
      </c>
      <c r="AR25" s="19"/>
      <c r="AS25" s="19"/>
      <c r="AT25" s="19"/>
      <c r="AU25" s="19">
        <v>0.93922376664888063</v>
      </c>
      <c r="AV25" s="19">
        <v>0.37072182923163755</v>
      </c>
      <c r="AW25" s="19">
        <v>0.53586076288132067</v>
      </c>
      <c r="AX25" s="19">
        <v>0.95812699331956308</v>
      </c>
      <c r="AY25" s="19">
        <v>0.33931377883159175</v>
      </c>
      <c r="AZ25" s="19">
        <v>0.2356295207806883</v>
      </c>
      <c r="BA25" s="19"/>
      <c r="BB25" s="19"/>
      <c r="BC25" s="19"/>
      <c r="BD25" s="19"/>
      <c r="BE25" s="19"/>
      <c r="BF25" s="19"/>
      <c r="BG25" s="19"/>
      <c r="BH25" s="19"/>
      <c r="BI25" s="19"/>
    </row>
    <row r="26" spans="1:61" x14ac:dyDescent="0.55000000000000004">
      <c r="A26" s="19" t="s">
        <v>53</v>
      </c>
      <c r="B26" s="19" t="s">
        <v>54</v>
      </c>
      <c r="C26" s="19" t="s">
        <v>8</v>
      </c>
      <c r="D26" s="19" t="s">
        <v>9</v>
      </c>
      <c r="E26" s="19">
        <v>1849</v>
      </c>
      <c r="F26" s="19">
        <v>76.559345999999991</v>
      </c>
      <c r="G26" s="19">
        <v>53.046540999999998</v>
      </c>
      <c r="H26" s="19">
        <v>98083.054308999999</v>
      </c>
      <c r="I26" s="19">
        <v>132.14009999999999</v>
      </c>
      <c r="J26" s="19">
        <v>15.474985999999999</v>
      </c>
      <c r="K26" s="19">
        <v>30.920573000000001</v>
      </c>
      <c r="L26" s="19">
        <v>135.62388000000001</v>
      </c>
      <c r="M26" s="19">
        <v>43.092936000000002</v>
      </c>
      <c r="N26" s="19">
        <v>22.893443999999999</v>
      </c>
      <c r="O26" s="19">
        <v>6.653842</v>
      </c>
      <c r="P26" s="19">
        <v>48.025039</v>
      </c>
      <c r="Q26" s="19">
        <v>574.68824600000005</v>
      </c>
      <c r="R26" s="19">
        <v>14.092062</v>
      </c>
      <c r="S26" s="19">
        <v>1799.3946759999999</v>
      </c>
      <c r="T26" s="19">
        <v>1803.0976244596498</v>
      </c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>
        <v>2.5566960152972089</v>
      </c>
      <c r="AQ26" s="19">
        <v>0.90533780515491102</v>
      </c>
      <c r="AR26" s="19"/>
      <c r="AS26" s="19"/>
      <c r="AT26" s="19"/>
      <c r="AU26" s="19">
        <v>0.97431293073166747</v>
      </c>
      <c r="AV26" s="19">
        <v>0.11410222152617959</v>
      </c>
      <c r="AW26" s="19">
        <v>0.22798767444199353</v>
      </c>
      <c r="AX26" s="19">
        <v>0.8973014264496485</v>
      </c>
      <c r="AY26" s="19">
        <v>0.47669808243154155</v>
      </c>
      <c r="AZ26" s="19">
        <v>0.13854943459806457</v>
      </c>
      <c r="BA26" s="19"/>
      <c r="BB26" s="19"/>
      <c r="BC26" s="19"/>
      <c r="BD26" s="19"/>
      <c r="BE26" s="19"/>
      <c r="BF26" s="19"/>
      <c r="BG26" s="19"/>
      <c r="BH26" s="19"/>
      <c r="BI26" s="19"/>
    </row>
    <row r="27" spans="1:61" x14ac:dyDescent="0.55000000000000004">
      <c r="A27" s="19" t="s">
        <v>55</v>
      </c>
      <c r="B27" s="19" t="s">
        <v>56</v>
      </c>
      <c r="C27" s="19" t="s">
        <v>8</v>
      </c>
      <c r="D27" s="19" t="s">
        <v>9</v>
      </c>
      <c r="E27" s="19">
        <v>2074</v>
      </c>
      <c r="F27" s="19">
        <v>70.431140999999997</v>
      </c>
      <c r="G27" s="19">
        <v>49.789960999999998</v>
      </c>
      <c r="H27" s="19">
        <v>103264.379114</v>
      </c>
      <c r="I27" s="19">
        <v>171.73191800000001</v>
      </c>
      <c r="J27" s="19">
        <v>57.514997999999999</v>
      </c>
      <c r="K27" s="19">
        <v>52.875328000000003</v>
      </c>
      <c r="L27" s="19">
        <v>180.293871</v>
      </c>
      <c r="M27" s="19">
        <v>42.505637999999998</v>
      </c>
      <c r="N27" s="19">
        <v>8.0381610000000006</v>
      </c>
      <c r="O27" s="19">
        <v>14.590057</v>
      </c>
      <c r="P27" s="19">
        <v>43.157347000000001</v>
      </c>
      <c r="Q27" s="19">
        <v>1000.8133340000001</v>
      </c>
      <c r="R27" s="19">
        <v>366.015717</v>
      </c>
      <c r="S27" s="19">
        <v>1361.4044730000001</v>
      </c>
      <c r="T27" s="19">
        <v>1421.0425248044771</v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>
        <v>3.6210888174827049</v>
      </c>
      <c r="AQ27" s="19">
        <v>0.86678812622488299</v>
      </c>
      <c r="AR27" s="19"/>
      <c r="AS27" s="19"/>
      <c r="AT27" s="19"/>
      <c r="AU27" s="19">
        <v>0.95251112557231643</v>
      </c>
      <c r="AV27" s="19">
        <v>0.31900695060233081</v>
      </c>
      <c r="AW27" s="19">
        <v>0.29327301980220949</v>
      </c>
      <c r="AX27" s="19">
        <v>0.9848992339589363</v>
      </c>
      <c r="AY27" s="19">
        <v>0.18625243576719394</v>
      </c>
      <c r="AZ27" s="19">
        <v>0.33806658690118274</v>
      </c>
      <c r="BA27" s="19"/>
      <c r="BB27" s="19"/>
      <c r="BC27" s="19"/>
      <c r="BD27" s="19"/>
      <c r="BE27" s="19"/>
      <c r="BF27" s="19"/>
      <c r="BG27" s="19"/>
      <c r="BH27" s="19"/>
      <c r="BI27" s="19"/>
    </row>
    <row r="28" spans="1:61" x14ac:dyDescent="0.55000000000000004">
      <c r="A28" s="19" t="s">
        <v>57</v>
      </c>
      <c r="B28" s="19" t="s">
        <v>58</v>
      </c>
      <c r="C28" s="19" t="s">
        <v>8</v>
      </c>
      <c r="D28" s="19" t="s">
        <v>9</v>
      </c>
      <c r="E28" s="19">
        <v>1914</v>
      </c>
      <c r="F28" s="19">
        <v>73.960031999999998</v>
      </c>
      <c r="G28" s="19">
        <v>61.545642999999998</v>
      </c>
      <c r="H28" s="19">
        <v>117798.36070199999</v>
      </c>
      <c r="I28" s="19">
        <v>44.676577999999999</v>
      </c>
      <c r="J28" s="19">
        <v>16.186173</v>
      </c>
      <c r="K28" s="19">
        <v>18.786593</v>
      </c>
      <c r="L28" s="19">
        <v>46.466085</v>
      </c>
      <c r="M28" s="19">
        <v>42.652141</v>
      </c>
      <c r="N28" s="19">
        <v>15.933147999999999</v>
      </c>
      <c r="O28" s="19">
        <v>19.449876</v>
      </c>
      <c r="P28" s="19">
        <v>47.437705000000001</v>
      </c>
      <c r="Q28" s="19">
        <v>535.15770699999996</v>
      </c>
      <c r="R28" s="19">
        <v>190.239563</v>
      </c>
      <c r="S28" s="19">
        <v>969.28960199999995</v>
      </c>
      <c r="T28" s="19">
        <v>1106.7621222324583</v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>
        <v>0.75498577535374845</v>
      </c>
      <c r="AQ28" s="19">
        <v>0.77077275803260359</v>
      </c>
      <c r="AR28" s="19"/>
      <c r="AS28" s="19"/>
      <c r="AT28" s="19"/>
      <c r="AU28" s="19">
        <v>0.96148788950048192</v>
      </c>
      <c r="AV28" s="19">
        <v>0.3483438081775127</v>
      </c>
      <c r="AW28" s="19">
        <v>0.4043076364191216</v>
      </c>
      <c r="AX28" s="19">
        <v>0.89911898140940838</v>
      </c>
      <c r="AY28" s="19">
        <v>0.33587518620472889</v>
      </c>
      <c r="AZ28" s="19">
        <v>0.41000878942183228</v>
      </c>
      <c r="BA28" s="19"/>
      <c r="BB28" s="19"/>
      <c r="BC28" s="19"/>
      <c r="BD28" s="19"/>
      <c r="BE28" s="19"/>
      <c r="BF28" s="19"/>
      <c r="BG28" s="19"/>
      <c r="BH28" s="19"/>
      <c r="BI28" s="19"/>
    </row>
    <row r="29" spans="1:61" x14ac:dyDescent="0.55000000000000004">
      <c r="A29" s="19" t="s">
        <v>59</v>
      </c>
      <c r="B29" s="19" t="s">
        <v>60</v>
      </c>
      <c r="C29" s="19" t="s">
        <v>8</v>
      </c>
      <c r="D29" s="19" t="s">
        <v>9</v>
      </c>
      <c r="E29" s="19">
        <v>1614</v>
      </c>
      <c r="F29" s="19">
        <v>70.786011999999999</v>
      </c>
      <c r="G29" s="19">
        <v>34.165664</v>
      </c>
      <c r="H29" s="19">
        <v>55143.381695999997</v>
      </c>
      <c r="I29" s="19">
        <v>30.164256999999999</v>
      </c>
      <c r="J29" s="19">
        <v>22.877654</v>
      </c>
      <c r="K29" s="19">
        <v>26.467734</v>
      </c>
      <c r="L29" s="19">
        <v>44.321418999999999</v>
      </c>
      <c r="M29" s="19">
        <v>42.921174999999998</v>
      </c>
      <c r="N29" s="19">
        <v>17.474668999999999</v>
      </c>
      <c r="O29" s="19">
        <v>12.811061</v>
      </c>
      <c r="P29" s="19">
        <v>46.095647</v>
      </c>
      <c r="Q29" s="19">
        <v>491.67857500000002</v>
      </c>
      <c r="R29" s="19">
        <v>507.28275500000001</v>
      </c>
      <c r="S29" s="19">
        <v>1134.0579069999999</v>
      </c>
      <c r="T29" s="19">
        <v>1140.2121201576081</v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>
        <v>1.2972503329658689</v>
      </c>
      <c r="AQ29" s="19">
        <v>1.3491804813159785</v>
      </c>
      <c r="AR29" s="19"/>
      <c r="AS29" s="19"/>
      <c r="AT29" s="19"/>
      <c r="AU29" s="19">
        <v>0.68057967638626371</v>
      </c>
      <c r="AV29" s="19">
        <v>0.51617602766734527</v>
      </c>
      <c r="AW29" s="19">
        <v>0.5971770443541079</v>
      </c>
      <c r="AX29" s="19">
        <v>0.93113293322469248</v>
      </c>
      <c r="AY29" s="19">
        <v>0.37909586126429679</v>
      </c>
      <c r="AZ29" s="19">
        <v>0.27792344470183922</v>
      </c>
      <c r="BA29" s="19"/>
      <c r="BB29" s="19"/>
      <c r="BC29" s="19"/>
      <c r="BD29" s="19"/>
      <c r="BE29" s="19"/>
      <c r="BF29" s="19"/>
      <c r="BG29" s="19"/>
      <c r="BH29" s="19"/>
      <c r="BI29" s="19"/>
    </row>
    <row r="30" spans="1:61" x14ac:dyDescent="0.55000000000000004">
      <c r="A30" s="19" t="s">
        <v>61</v>
      </c>
      <c r="B30" s="19" t="s">
        <v>62</v>
      </c>
      <c r="C30" s="19" t="s">
        <v>8</v>
      </c>
      <c r="D30" s="19" t="s">
        <v>9</v>
      </c>
      <c r="E30" s="19">
        <v>1678</v>
      </c>
      <c r="F30" s="19">
        <v>72.023580999999993</v>
      </c>
      <c r="G30" s="19">
        <v>51.394908000000001</v>
      </c>
      <c r="H30" s="19">
        <v>86240.655624000006</v>
      </c>
      <c r="I30" s="19">
        <v>78.765665999999996</v>
      </c>
      <c r="J30" s="19">
        <v>19.165171999999998</v>
      </c>
      <c r="K30" s="19">
        <v>18.113209999999999</v>
      </c>
      <c r="L30" s="19">
        <v>80.239031999999995</v>
      </c>
      <c r="M30" s="19">
        <v>51.716631999999997</v>
      </c>
      <c r="N30" s="19">
        <v>20.272632000000002</v>
      </c>
      <c r="O30" s="19">
        <v>17.537711000000002</v>
      </c>
      <c r="P30" s="19">
        <v>54.715468000000001</v>
      </c>
      <c r="Q30" s="19">
        <v>1418.197392</v>
      </c>
      <c r="R30" s="19">
        <v>265.87330600000001</v>
      </c>
      <c r="S30" s="19">
        <v>1323.32719</v>
      </c>
      <c r="T30" s="19">
        <v>1639.1765585106252</v>
      </c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>
        <v>1.561225326057593</v>
      </c>
      <c r="AQ30" s="19">
        <v>1.0646087351688616</v>
      </c>
      <c r="AR30" s="19"/>
      <c r="AS30" s="19"/>
      <c r="AT30" s="19"/>
      <c r="AU30" s="19">
        <v>0.98163778944890567</v>
      </c>
      <c r="AV30" s="19">
        <v>0.23885098713553773</v>
      </c>
      <c r="AW30" s="19">
        <v>0.22574063455800414</v>
      </c>
      <c r="AX30" s="19">
        <v>0.94519217125219501</v>
      </c>
      <c r="AY30" s="19">
        <v>0.37051007221577636</v>
      </c>
      <c r="AZ30" s="19">
        <v>0.32052565099141622</v>
      </c>
      <c r="BA30" s="19"/>
      <c r="BB30" s="19"/>
      <c r="BC30" s="19"/>
      <c r="BD30" s="19"/>
      <c r="BE30" s="19"/>
      <c r="BF30" s="19"/>
      <c r="BG30" s="19"/>
      <c r="BH30" s="19"/>
      <c r="BI30" s="19"/>
    </row>
    <row r="31" spans="1:61" x14ac:dyDescent="0.55000000000000004">
      <c r="A31" s="19" t="s">
        <v>63</v>
      </c>
      <c r="B31" s="19" t="s">
        <v>64</v>
      </c>
      <c r="C31" s="19" t="s">
        <v>8</v>
      </c>
      <c r="D31" s="19" t="s">
        <v>9</v>
      </c>
      <c r="E31" s="19">
        <v>1902</v>
      </c>
      <c r="F31" s="19">
        <v>70.907535999999993</v>
      </c>
      <c r="G31" s="19">
        <v>62.269196999999998</v>
      </c>
      <c r="H31" s="19">
        <v>118436.01269399999</v>
      </c>
      <c r="I31" s="19">
        <v>46.673403999999998</v>
      </c>
      <c r="J31" s="19">
        <v>17.473669000000001</v>
      </c>
      <c r="K31" s="19">
        <v>30.62472</v>
      </c>
      <c r="L31" s="19">
        <v>50.545442999999999</v>
      </c>
      <c r="M31" s="19">
        <v>58.367846</v>
      </c>
      <c r="N31" s="19">
        <v>17.366786999999999</v>
      </c>
      <c r="O31" s="19">
        <v>11.813891999999999</v>
      </c>
      <c r="P31" s="19">
        <v>58.915816</v>
      </c>
      <c r="Q31" s="19">
        <v>763.35542999999996</v>
      </c>
      <c r="R31" s="19">
        <v>78.088594999999998</v>
      </c>
      <c r="S31" s="19">
        <v>1434.763357</v>
      </c>
      <c r="T31" s="19">
        <v>1494.7424534953416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>
        <v>0.81172466380126918</v>
      </c>
      <c r="AQ31" s="19">
        <v>0.9461470331791817</v>
      </c>
      <c r="AR31" s="19"/>
      <c r="AS31" s="19"/>
      <c r="AT31" s="19"/>
      <c r="AU31" s="19">
        <v>0.92339489437257483</v>
      </c>
      <c r="AV31" s="19">
        <v>0.34570216349671723</v>
      </c>
      <c r="AW31" s="19">
        <v>0.60588488659600825</v>
      </c>
      <c r="AX31" s="19">
        <v>0.9906991019185748</v>
      </c>
      <c r="AY31" s="19">
        <v>0.29477291802255612</v>
      </c>
      <c r="AZ31" s="19">
        <v>0.20052157132135789</v>
      </c>
      <c r="BA31" s="19"/>
      <c r="BB31" s="19"/>
      <c r="BC31" s="19"/>
      <c r="BD31" s="19"/>
      <c r="BE31" s="19"/>
      <c r="BF31" s="19"/>
      <c r="BG31" s="19"/>
      <c r="BH31" s="19"/>
      <c r="BI31" s="19"/>
    </row>
    <row r="32" spans="1:61" x14ac:dyDescent="0.55000000000000004">
      <c r="A32" s="19" t="s">
        <v>65</v>
      </c>
      <c r="B32" s="19" t="s">
        <v>66</v>
      </c>
      <c r="C32" s="19" t="s">
        <v>8</v>
      </c>
      <c r="D32" s="19" t="s">
        <v>9</v>
      </c>
      <c r="E32" s="19">
        <v>1520</v>
      </c>
      <c r="F32" s="19">
        <v>71.403272999999999</v>
      </c>
      <c r="G32" s="19">
        <v>38.363688000000003</v>
      </c>
      <c r="H32" s="19">
        <v>58312.805760000003</v>
      </c>
      <c r="I32" s="19">
        <v>56.508465999999999</v>
      </c>
      <c r="J32" s="19">
        <v>49.539116</v>
      </c>
      <c r="K32" s="19">
        <v>30.464262999999999</v>
      </c>
      <c r="L32" s="19">
        <v>78.965935999999999</v>
      </c>
      <c r="M32" s="19">
        <v>39.276572999999999</v>
      </c>
      <c r="N32" s="19">
        <v>15.021751999999999</v>
      </c>
      <c r="O32" s="19">
        <v>9.3720210000000002</v>
      </c>
      <c r="P32" s="19">
        <v>42.016235999999999</v>
      </c>
      <c r="Q32" s="19">
        <v>302.57135099999999</v>
      </c>
      <c r="R32" s="19">
        <v>1151.5655730000001</v>
      </c>
      <c r="S32" s="19">
        <v>988.95773399999996</v>
      </c>
      <c r="T32" s="19">
        <v>1152.531818248284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>
        <v>2.058351011508591</v>
      </c>
      <c r="AQ32" s="19">
        <v>1.095208469008506</v>
      </c>
      <c r="AR32" s="19"/>
      <c r="AS32" s="19"/>
      <c r="AT32" s="19"/>
      <c r="AU32" s="19">
        <v>0.71560559986270533</v>
      </c>
      <c r="AV32" s="19">
        <v>0.62734792379336835</v>
      </c>
      <c r="AW32" s="19">
        <v>0.38578993098999043</v>
      </c>
      <c r="AX32" s="19">
        <v>0.93479513490927646</v>
      </c>
      <c r="AY32" s="19">
        <v>0.35752255390035415</v>
      </c>
      <c r="AZ32" s="19">
        <v>0.2230571296296032</v>
      </c>
      <c r="BA32" s="19"/>
      <c r="BB32" s="19"/>
      <c r="BC32" s="19"/>
      <c r="BD32" s="19"/>
      <c r="BE32" s="19"/>
      <c r="BF32" s="19"/>
      <c r="BG32" s="19"/>
      <c r="BH32" s="19"/>
      <c r="BI32" s="19"/>
    </row>
    <row r="33" spans="1:61" x14ac:dyDescent="0.55000000000000004">
      <c r="A33" s="19" t="s">
        <v>67</v>
      </c>
      <c r="B33" s="19" t="s">
        <v>56</v>
      </c>
      <c r="C33" s="19" t="s">
        <v>8</v>
      </c>
      <c r="D33" s="19" t="s">
        <v>9</v>
      </c>
      <c r="E33" s="19">
        <v>2092</v>
      </c>
      <c r="F33" s="19">
        <v>72.441648999999998</v>
      </c>
      <c r="G33" s="19">
        <v>48.867538000000003</v>
      </c>
      <c r="H33" s="19">
        <v>102230.889496</v>
      </c>
      <c r="I33" s="19">
        <v>44.929535999999999</v>
      </c>
      <c r="J33" s="19">
        <v>12.820586</v>
      </c>
      <c r="K33" s="19">
        <v>33.784714000000001</v>
      </c>
      <c r="L33" s="19">
        <v>53.044145</v>
      </c>
      <c r="M33" s="19">
        <v>45.292929000000001</v>
      </c>
      <c r="N33" s="19">
        <v>8.4746229999999994</v>
      </c>
      <c r="O33" s="19">
        <v>16.431349000000001</v>
      </c>
      <c r="P33" s="19">
        <v>47.662759000000001</v>
      </c>
      <c r="Q33" s="19">
        <v>384.38290999999998</v>
      </c>
      <c r="R33" s="19">
        <v>605.35509200000001</v>
      </c>
      <c r="S33" s="19">
        <v>1513.18136</v>
      </c>
      <c r="T33" s="19">
        <v>1518.8482300473945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>
        <v>1.0854679235119231</v>
      </c>
      <c r="AQ33" s="19">
        <v>0.97534602623115574</v>
      </c>
      <c r="AR33" s="19"/>
      <c r="AS33" s="19"/>
      <c r="AT33" s="19"/>
      <c r="AU33" s="19">
        <v>0.84702158928190852</v>
      </c>
      <c r="AV33" s="19">
        <v>0.24169653408495886</v>
      </c>
      <c r="AW33" s="19">
        <v>0.63691693022858609</v>
      </c>
      <c r="AX33" s="19">
        <v>0.95027921065165366</v>
      </c>
      <c r="AY33" s="19">
        <v>0.17780386989347383</v>
      </c>
      <c r="AZ33" s="19">
        <v>0.34474187698618119</v>
      </c>
      <c r="BA33" s="19"/>
      <c r="BB33" s="19"/>
      <c r="BC33" s="19"/>
      <c r="BD33" s="19"/>
      <c r="BE33" s="19"/>
      <c r="BF33" s="19"/>
      <c r="BG33" s="19"/>
      <c r="BH33" s="19"/>
      <c r="BI33" s="19"/>
    </row>
    <row r="34" spans="1:61" x14ac:dyDescent="0.55000000000000004">
      <c r="A34" s="19" t="s">
        <v>68</v>
      </c>
      <c r="B34" s="19" t="s">
        <v>69</v>
      </c>
      <c r="C34" s="19" t="s">
        <v>8</v>
      </c>
      <c r="D34" s="19" t="s">
        <v>9</v>
      </c>
      <c r="E34" s="19">
        <v>1644</v>
      </c>
      <c r="F34" s="19">
        <v>67.479410000000001</v>
      </c>
      <c r="G34" s="19">
        <v>37.226773000000001</v>
      </c>
      <c r="H34" s="19">
        <v>61200.814812000004</v>
      </c>
      <c r="I34" s="19">
        <v>258.09911799999998</v>
      </c>
      <c r="J34" s="19">
        <v>106.51496400000001</v>
      </c>
      <c r="K34" s="19">
        <v>229.44343499999999</v>
      </c>
      <c r="L34" s="19">
        <v>359.40427899999997</v>
      </c>
      <c r="M34" s="19">
        <v>36.184604</v>
      </c>
      <c r="N34" s="19">
        <v>20.975068</v>
      </c>
      <c r="O34" s="19">
        <v>29.549468999999998</v>
      </c>
      <c r="P34" s="19">
        <v>40.484791999999999</v>
      </c>
      <c r="Q34" s="19">
        <v>1197.2692509999999</v>
      </c>
      <c r="R34" s="19">
        <v>4166.8344429999997</v>
      </c>
      <c r="S34" s="19">
        <v>1805.0310730000001</v>
      </c>
      <c r="T34" s="19">
        <v>4167.7947322345735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>
        <v>9.6544569952383448</v>
      </c>
      <c r="AQ34" s="19">
        <v>1.0875181687115345</v>
      </c>
      <c r="AR34" s="19"/>
      <c r="AS34" s="19"/>
      <c r="AT34" s="19"/>
      <c r="AU34" s="19">
        <v>0.71813034257168651</v>
      </c>
      <c r="AV34" s="19">
        <v>0.29636531956816242</v>
      </c>
      <c r="AW34" s="19">
        <v>0.63839928572469784</v>
      </c>
      <c r="AX34" s="19">
        <v>0.89378263324163798</v>
      </c>
      <c r="AY34" s="19">
        <v>0.51809746237550147</v>
      </c>
      <c r="AZ34" s="19">
        <v>0.72989059694316816</v>
      </c>
      <c r="BA34" s="19"/>
      <c r="BB34" s="19"/>
      <c r="BC34" s="19"/>
      <c r="BD34" s="19"/>
      <c r="BE34" s="19"/>
      <c r="BF34" s="19"/>
      <c r="BG34" s="19"/>
      <c r="BH34" s="19"/>
      <c r="BI34" s="19"/>
    </row>
    <row r="35" spans="1:61" x14ac:dyDescent="0.55000000000000004">
      <c r="A35" s="19" t="s">
        <v>70</v>
      </c>
      <c r="B35" s="19" t="s">
        <v>69</v>
      </c>
      <c r="C35" s="19" t="s">
        <v>8</v>
      </c>
      <c r="D35" s="19" t="s">
        <v>9</v>
      </c>
      <c r="E35" s="19">
        <v>1627</v>
      </c>
      <c r="F35" s="19">
        <v>69.073356000000004</v>
      </c>
      <c r="G35" s="19">
        <v>31.436682000000001</v>
      </c>
      <c r="H35" s="19">
        <v>51147.481614000004</v>
      </c>
      <c r="I35" s="19">
        <v>43.789551000000003</v>
      </c>
      <c r="J35" s="19">
        <v>25.754318000000001</v>
      </c>
      <c r="K35" s="19">
        <v>32.812266000000001</v>
      </c>
      <c r="L35" s="19">
        <v>48.410668999999999</v>
      </c>
      <c r="M35" s="19">
        <v>32.838377000000001</v>
      </c>
      <c r="N35" s="19">
        <v>17.083998999999999</v>
      </c>
      <c r="O35" s="19">
        <v>14.265473</v>
      </c>
      <c r="P35" s="19">
        <v>36.517964999999997</v>
      </c>
      <c r="Q35" s="19">
        <v>782.03495199999998</v>
      </c>
      <c r="R35" s="19">
        <v>3208.3134399999999</v>
      </c>
      <c r="S35" s="19">
        <v>1302.6379119999999</v>
      </c>
      <c r="T35" s="19">
        <v>3297.3486339579044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>
        <v>1.5399420651327007</v>
      </c>
      <c r="AQ35" s="19">
        <v>1.161635474125418</v>
      </c>
      <c r="AR35" s="19"/>
      <c r="AS35" s="19"/>
      <c r="AT35" s="19"/>
      <c r="AU35" s="19">
        <v>0.9045433972416288</v>
      </c>
      <c r="AV35" s="19">
        <v>0.5319967381570373</v>
      </c>
      <c r="AW35" s="19">
        <v>0.67778997228895976</v>
      </c>
      <c r="AX35" s="19">
        <v>0.89923896361694866</v>
      </c>
      <c r="AY35" s="19">
        <v>0.46782450774570816</v>
      </c>
      <c r="AZ35" s="19">
        <v>0.39064260563259756</v>
      </c>
      <c r="BA35" s="19"/>
      <c r="BB35" s="19"/>
      <c r="BC35" s="19"/>
      <c r="BD35" s="19"/>
      <c r="BE35" s="19"/>
      <c r="BF35" s="19"/>
      <c r="BG35" s="19"/>
      <c r="BH35" s="19"/>
      <c r="BI35" s="19"/>
    </row>
    <row r="36" spans="1:61" x14ac:dyDescent="0.55000000000000004">
      <c r="A36" s="19" t="s">
        <v>71</v>
      </c>
      <c r="B36" s="19" t="s">
        <v>72</v>
      </c>
      <c r="C36" s="19" t="s">
        <v>8</v>
      </c>
      <c r="D36" s="19" t="s">
        <v>9</v>
      </c>
      <c r="E36" s="19">
        <v>1730</v>
      </c>
      <c r="F36" s="19">
        <v>72.207373000000004</v>
      </c>
      <c r="G36" s="19">
        <v>39.997083000000003</v>
      </c>
      <c r="H36" s="19">
        <v>69194.953590000005</v>
      </c>
      <c r="I36" s="19">
        <v>40.274166999999998</v>
      </c>
      <c r="J36" s="19">
        <v>13.317748999999999</v>
      </c>
      <c r="K36" s="19">
        <v>21.191679000000001</v>
      </c>
      <c r="L36" s="19">
        <v>42.857826000000003</v>
      </c>
      <c r="M36" s="19">
        <v>34.339556999999999</v>
      </c>
      <c r="N36" s="19">
        <v>16.461556999999999</v>
      </c>
      <c r="O36" s="19">
        <v>11.641252</v>
      </c>
      <c r="P36" s="19">
        <v>37.850223</v>
      </c>
      <c r="Q36" s="19">
        <v>659.845732</v>
      </c>
      <c r="R36" s="19">
        <v>55.758823999999997</v>
      </c>
      <c r="S36" s="19">
        <v>1030.6701599999999</v>
      </c>
      <c r="T36" s="19">
        <v>1141.4825046715525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>
        <v>1.0715237908724493</v>
      </c>
      <c r="AQ36" s="19">
        <v>0.94632458572041356</v>
      </c>
      <c r="AR36" s="19"/>
      <c r="AS36" s="19"/>
      <c r="AT36" s="19"/>
      <c r="AU36" s="19">
        <v>0.93971558426692003</v>
      </c>
      <c r="AV36" s="19">
        <v>0.31074252343084313</v>
      </c>
      <c r="AW36" s="19">
        <v>0.49446462823382592</v>
      </c>
      <c r="AX36" s="19">
        <v>0.90724847248588203</v>
      </c>
      <c r="AY36" s="19">
        <v>0.43491307831924791</v>
      </c>
      <c r="AZ36" s="19">
        <v>0.30756098847819208</v>
      </c>
      <c r="BA36" s="19"/>
      <c r="BB36" s="19"/>
      <c r="BC36" s="19"/>
      <c r="BD36" s="19"/>
      <c r="BE36" s="19"/>
      <c r="BF36" s="19"/>
      <c r="BG36" s="19"/>
      <c r="BH36" s="19"/>
      <c r="BI36" s="19"/>
    </row>
    <row r="37" spans="1:61" x14ac:dyDescent="0.55000000000000004">
      <c r="A37" s="19" t="s">
        <v>73</v>
      </c>
      <c r="B37" s="19" t="s">
        <v>74</v>
      </c>
      <c r="C37" s="19" t="s">
        <v>8</v>
      </c>
      <c r="D37" s="19" t="s">
        <v>9</v>
      </c>
      <c r="E37" s="19">
        <v>1598</v>
      </c>
      <c r="F37" s="19">
        <v>70.150265000000005</v>
      </c>
      <c r="G37" s="19">
        <v>45.640614999999997</v>
      </c>
      <c r="H37" s="19">
        <v>72933.702769999989</v>
      </c>
      <c r="I37" s="19">
        <v>43.421194</v>
      </c>
      <c r="J37" s="19">
        <v>23.827318999999999</v>
      </c>
      <c r="K37" s="19">
        <v>17.116226000000001</v>
      </c>
      <c r="L37" s="19">
        <v>44.539448</v>
      </c>
      <c r="M37" s="19">
        <v>43.700943000000002</v>
      </c>
      <c r="N37" s="19">
        <v>16.731120000000001</v>
      </c>
      <c r="O37" s="19">
        <v>6.404191</v>
      </c>
      <c r="P37" s="19">
        <v>45.785020000000003</v>
      </c>
      <c r="Q37" s="19">
        <v>547.74221599999998</v>
      </c>
      <c r="R37" s="19">
        <v>747.88561800000002</v>
      </c>
      <c r="S37" s="19">
        <v>1026.4938979999999</v>
      </c>
      <c r="T37" s="19">
        <v>1028.3072860129191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>
        <v>0.97587309022895519</v>
      </c>
      <c r="AQ37" s="19">
        <v>1.0031639582420178</v>
      </c>
      <c r="AR37" s="19"/>
      <c r="AS37" s="19"/>
      <c r="AT37" s="19"/>
      <c r="AU37" s="19">
        <v>0.97489295332084047</v>
      </c>
      <c r="AV37" s="19">
        <v>0.5349711339035903</v>
      </c>
      <c r="AW37" s="19">
        <v>0.38429362662958916</v>
      </c>
      <c r="AX37" s="19">
        <v>0.95448124735994433</v>
      </c>
      <c r="AY37" s="19">
        <v>0.3654278189678633</v>
      </c>
      <c r="AZ37" s="19">
        <v>0.13987524740624771</v>
      </c>
      <c r="BA37" s="19"/>
      <c r="BB37" s="19"/>
      <c r="BC37" s="19"/>
      <c r="BD37" s="19"/>
      <c r="BE37" s="19"/>
      <c r="BF37" s="19"/>
      <c r="BG37" s="19"/>
      <c r="BH37" s="19"/>
      <c r="BI37" s="19"/>
    </row>
    <row r="38" spans="1:61" x14ac:dyDescent="0.55000000000000004">
      <c r="A38" s="19" t="s">
        <v>75</v>
      </c>
      <c r="B38" s="19" t="s">
        <v>76</v>
      </c>
      <c r="C38" s="19" t="s">
        <v>8</v>
      </c>
      <c r="D38" s="19" t="s">
        <v>9</v>
      </c>
      <c r="E38" s="19">
        <v>1576</v>
      </c>
      <c r="F38" s="19">
        <v>70.113527999999988</v>
      </c>
      <c r="G38" s="19">
        <v>62.618588000000003</v>
      </c>
      <c r="H38" s="19">
        <v>98686.894688</v>
      </c>
      <c r="I38" s="19">
        <v>87.030456999999998</v>
      </c>
      <c r="J38" s="19">
        <v>25.034134000000002</v>
      </c>
      <c r="K38" s="19">
        <v>28.396052999999998</v>
      </c>
      <c r="L38" s="19">
        <v>92.560462000000001</v>
      </c>
      <c r="M38" s="19">
        <v>46.376877</v>
      </c>
      <c r="N38" s="19">
        <v>17.206745999999999</v>
      </c>
      <c r="O38" s="19">
        <v>7.5194749999999999</v>
      </c>
      <c r="P38" s="19">
        <v>48.213343999999999</v>
      </c>
      <c r="Q38" s="19">
        <v>431.09112299999998</v>
      </c>
      <c r="R38" s="19">
        <v>229.840902</v>
      </c>
      <c r="S38" s="19">
        <v>1493.4491069999999</v>
      </c>
      <c r="T38" s="19">
        <v>1494.0718569851063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>
        <v>1.4781627142406979</v>
      </c>
      <c r="AQ38" s="19">
        <v>0.76995258979649939</v>
      </c>
      <c r="AR38" s="19"/>
      <c r="AS38" s="19"/>
      <c r="AT38" s="19"/>
      <c r="AU38" s="19">
        <v>0.94025521393789069</v>
      </c>
      <c r="AV38" s="19">
        <v>0.2704625005004837</v>
      </c>
      <c r="AW38" s="19">
        <v>0.30678382957941586</v>
      </c>
      <c r="AX38" s="19">
        <v>0.96190957009744027</v>
      </c>
      <c r="AY38" s="19">
        <v>0.35688762845406447</v>
      </c>
      <c r="AZ38" s="19">
        <v>0.15596252771846733</v>
      </c>
      <c r="BA38" s="19"/>
      <c r="BB38" s="19"/>
      <c r="BC38" s="19"/>
      <c r="BD38" s="19"/>
      <c r="BE38" s="19"/>
      <c r="BF38" s="19"/>
      <c r="BG38" s="19"/>
      <c r="BH38" s="19"/>
      <c r="BI38" s="19"/>
    </row>
    <row r="39" spans="1:61" x14ac:dyDescent="0.55000000000000004">
      <c r="A39" s="19" t="s">
        <v>77</v>
      </c>
      <c r="B39" s="19" t="s">
        <v>78</v>
      </c>
      <c r="C39" s="19" t="s">
        <v>8</v>
      </c>
      <c r="D39" s="19" t="s">
        <v>9</v>
      </c>
      <c r="E39" s="19">
        <v>1696</v>
      </c>
      <c r="F39" s="19">
        <v>68.154015000000001</v>
      </c>
      <c r="G39" s="19">
        <v>33.861314</v>
      </c>
      <c r="H39" s="19">
        <v>57428.788544000003</v>
      </c>
      <c r="I39" s="19">
        <v>42.571786000000003</v>
      </c>
      <c r="J39" s="19">
        <v>21.614450000000001</v>
      </c>
      <c r="K39" s="19">
        <v>21.913627000000002</v>
      </c>
      <c r="L39" s="19">
        <v>48.452480000000001</v>
      </c>
      <c r="M39" s="19">
        <v>31.901713000000001</v>
      </c>
      <c r="N39" s="19">
        <v>14.895595</v>
      </c>
      <c r="O39" s="19">
        <v>5.4935309999999999</v>
      </c>
      <c r="P39" s="19">
        <v>33.958345999999999</v>
      </c>
      <c r="Q39" s="19">
        <v>435.684864</v>
      </c>
      <c r="R39" s="19">
        <v>55.755394000000003</v>
      </c>
      <c r="S39" s="19">
        <v>1051.6274060000001</v>
      </c>
      <c r="T39" s="19">
        <v>1068.7027756316911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>
        <v>1.4309096215226615</v>
      </c>
      <c r="AQ39" s="19">
        <v>1.0028655710171199</v>
      </c>
      <c r="AR39" s="19"/>
      <c r="AS39" s="19"/>
      <c r="AT39" s="19"/>
      <c r="AU39" s="19">
        <v>0.87862965941062254</v>
      </c>
      <c r="AV39" s="19">
        <v>0.44609584483601256</v>
      </c>
      <c r="AW39" s="19">
        <v>0.45227049265589708</v>
      </c>
      <c r="AX39" s="19">
        <v>0.93943659682364988</v>
      </c>
      <c r="AY39" s="19">
        <v>0.43864312472698169</v>
      </c>
      <c r="AZ39" s="19">
        <v>0.16177263168235578</v>
      </c>
      <c r="BA39" s="19"/>
      <c r="BB39" s="19"/>
      <c r="BC39" s="19"/>
      <c r="BD39" s="19"/>
      <c r="BE39" s="19"/>
      <c r="BF39" s="19"/>
      <c r="BG39" s="19"/>
      <c r="BH39" s="19"/>
      <c r="BI39" s="19"/>
    </row>
    <row r="40" spans="1:61" x14ac:dyDescent="0.55000000000000004">
      <c r="A40" s="19" t="s">
        <v>79</v>
      </c>
      <c r="B40" s="19" t="s">
        <v>80</v>
      </c>
      <c r="C40" s="19" t="s">
        <v>8</v>
      </c>
      <c r="D40" s="19" t="s">
        <v>9</v>
      </c>
      <c r="E40" s="19">
        <v>1652</v>
      </c>
      <c r="F40" s="19">
        <v>69.265118000000001</v>
      </c>
      <c r="G40" s="19">
        <v>36.625549999999997</v>
      </c>
      <c r="H40" s="19">
        <v>60505.408599999995</v>
      </c>
      <c r="I40" s="19">
        <v>59.884177000000001</v>
      </c>
      <c r="J40" s="19">
        <v>19.946261</v>
      </c>
      <c r="K40" s="19">
        <v>29.937308000000002</v>
      </c>
      <c r="L40" s="19">
        <v>63.808596000000001</v>
      </c>
      <c r="M40" s="19">
        <v>43.631587000000003</v>
      </c>
      <c r="N40" s="19">
        <v>15.985597</v>
      </c>
      <c r="O40" s="19">
        <v>10.035621000000001</v>
      </c>
      <c r="P40" s="19">
        <v>45.647036</v>
      </c>
      <c r="Q40" s="19">
        <v>368.33454</v>
      </c>
      <c r="R40" s="19">
        <v>472.39088800000002</v>
      </c>
      <c r="S40" s="19">
        <v>1609.257402</v>
      </c>
      <c r="T40" s="19">
        <v>1609.2585263556921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>
        <v>1.7421880627048605</v>
      </c>
      <c r="AQ40" s="19">
        <v>1.2463167379056426</v>
      </c>
      <c r="AR40" s="19"/>
      <c r="AS40" s="19"/>
      <c r="AT40" s="19"/>
      <c r="AU40" s="19">
        <v>0.93849701692229681</v>
      </c>
      <c r="AV40" s="19">
        <v>0.31259520269024565</v>
      </c>
      <c r="AW40" s="19">
        <v>0.46917358908821627</v>
      </c>
      <c r="AX40" s="19">
        <v>0.95584710034623066</v>
      </c>
      <c r="AY40" s="19">
        <v>0.35020010937840523</v>
      </c>
      <c r="AZ40" s="19">
        <v>0.21985263183353243</v>
      </c>
      <c r="BA40" s="19"/>
      <c r="BB40" s="19"/>
      <c r="BC40" s="19"/>
      <c r="BD40" s="19"/>
      <c r="BE40" s="19"/>
      <c r="BF40" s="19"/>
      <c r="BG40" s="19"/>
      <c r="BH40" s="19"/>
      <c r="BI40" s="19"/>
    </row>
    <row r="41" spans="1:61" x14ac:dyDescent="0.55000000000000004">
      <c r="A41" s="19" t="s">
        <v>81</v>
      </c>
      <c r="B41" s="19" t="s">
        <v>82</v>
      </c>
      <c r="C41" s="19" t="s">
        <v>8</v>
      </c>
      <c r="D41" s="19" t="s">
        <v>9</v>
      </c>
      <c r="E41" s="19">
        <v>1847</v>
      </c>
      <c r="F41" s="19">
        <v>69.896450000000002</v>
      </c>
      <c r="G41" s="19">
        <v>56.138672</v>
      </c>
      <c r="H41" s="19">
        <v>103688.127184</v>
      </c>
      <c r="I41" s="19">
        <v>41.269134999999999</v>
      </c>
      <c r="J41" s="19">
        <v>14.546443</v>
      </c>
      <c r="K41" s="19">
        <v>31.498093000000001</v>
      </c>
      <c r="L41" s="19">
        <v>53.701044000000003</v>
      </c>
      <c r="M41" s="19">
        <v>44.626637000000002</v>
      </c>
      <c r="N41" s="19">
        <v>22.140218000000001</v>
      </c>
      <c r="O41" s="19">
        <v>11.310279</v>
      </c>
      <c r="P41" s="19">
        <v>50.555441999999999</v>
      </c>
      <c r="Q41" s="19">
        <v>607.91430800000001</v>
      </c>
      <c r="R41" s="19">
        <v>965.98684900000001</v>
      </c>
      <c r="S41" s="19">
        <v>1493.319348</v>
      </c>
      <c r="T41" s="19">
        <v>1582.7468373627994</v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>
        <v>0.95657845272862896</v>
      </c>
      <c r="AQ41" s="19">
        <v>0.9005457414453979</v>
      </c>
      <c r="AR41" s="19"/>
      <c r="AS41" s="19"/>
      <c r="AT41" s="19"/>
      <c r="AU41" s="19">
        <v>0.76849781542422146</v>
      </c>
      <c r="AV41" s="19">
        <v>0.27087821607341561</v>
      </c>
      <c r="AW41" s="19">
        <v>0.58654526344031599</v>
      </c>
      <c r="AX41" s="19">
        <v>0.88272667065199439</v>
      </c>
      <c r="AY41" s="19">
        <v>0.43793936170115971</v>
      </c>
      <c r="AZ41" s="19">
        <v>0.22372030690583219</v>
      </c>
      <c r="BA41" s="19"/>
      <c r="BB41" s="19"/>
      <c r="BC41" s="19"/>
      <c r="BD41" s="19"/>
      <c r="BE41" s="19"/>
      <c r="BF41" s="19"/>
      <c r="BG41" s="19"/>
      <c r="BH41" s="19"/>
      <c r="BI41" s="19"/>
    </row>
    <row r="42" spans="1:61" x14ac:dyDescent="0.55000000000000004">
      <c r="A42" s="19" t="s">
        <v>83</v>
      </c>
      <c r="B42" s="19" t="s">
        <v>84</v>
      </c>
      <c r="C42" s="19" t="s">
        <v>8</v>
      </c>
      <c r="D42" s="19" t="s">
        <v>9</v>
      </c>
      <c r="E42" s="19">
        <v>1430</v>
      </c>
      <c r="F42" s="19">
        <v>69.944812999999996</v>
      </c>
      <c r="G42" s="19">
        <v>37.145249999999997</v>
      </c>
      <c r="H42" s="19">
        <v>53117.707499999997</v>
      </c>
      <c r="I42" s="19">
        <v>107.88215099999999</v>
      </c>
      <c r="J42" s="19">
        <v>19.101081000000001</v>
      </c>
      <c r="K42" s="19">
        <v>39.944595</v>
      </c>
      <c r="L42" s="19">
        <v>116.573026</v>
      </c>
      <c r="M42" s="19">
        <v>46.714463000000002</v>
      </c>
      <c r="N42" s="19">
        <v>18.239946</v>
      </c>
      <c r="O42" s="19">
        <v>10.129566000000001</v>
      </c>
      <c r="P42" s="19">
        <v>49.760460999999999</v>
      </c>
      <c r="Q42" s="19">
        <v>525.40614600000004</v>
      </c>
      <c r="R42" s="19">
        <v>509.07234</v>
      </c>
      <c r="S42" s="19">
        <v>1172.579254</v>
      </c>
      <c r="T42" s="19">
        <v>1196.0664429009421</v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>
        <v>3.1383023670590453</v>
      </c>
      <c r="AQ42" s="19">
        <v>1.3396184168904504</v>
      </c>
      <c r="AR42" s="19"/>
      <c r="AS42" s="19"/>
      <c r="AT42" s="19"/>
      <c r="AU42" s="19">
        <v>0.92544694687774509</v>
      </c>
      <c r="AV42" s="19">
        <v>0.16385506712333264</v>
      </c>
      <c r="AW42" s="19">
        <v>0.3426572713313627</v>
      </c>
      <c r="AX42" s="19">
        <v>0.93878678093436474</v>
      </c>
      <c r="AY42" s="19">
        <v>0.36655500438390232</v>
      </c>
      <c r="AZ42" s="19">
        <v>0.20356656261685357</v>
      </c>
      <c r="BA42" s="19"/>
      <c r="BB42" s="19"/>
      <c r="BC42" s="19"/>
      <c r="BD42" s="19"/>
      <c r="BE42" s="19"/>
      <c r="BF42" s="19"/>
      <c r="BG42" s="19"/>
      <c r="BH42" s="19"/>
      <c r="BI42" s="19"/>
    </row>
    <row r="43" spans="1:61" x14ac:dyDescent="0.55000000000000004">
      <c r="A43" s="19" t="s">
        <v>85</v>
      </c>
      <c r="B43" s="19" t="s">
        <v>86</v>
      </c>
      <c r="C43" s="19" t="s">
        <v>8</v>
      </c>
      <c r="D43" s="19" t="s">
        <v>9</v>
      </c>
      <c r="E43" s="19">
        <v>1558</v>
      </c>
      <c r="F43" s="19">
        <v>70.183374000000001</v>
      </c>
      <c r="G43" s="19">
        <v>38.475569</v>
      </c>
      <c r="H43" s="19">
        <v>59944.936501999997</v>
      </c>
      <c r="I43" s="19">
        <v>38.976188</v>
      </c>
      <c r="J43" s="19">
        <v>12.252833000000001</v>
      </c>
      <c r="K43" s="19">
        <v>25.354277</v>
      </c>
      <c r="L43" s="19">
        <v>41.791285000000002</v>
      </c>
      <c r="M43" s="19">
        <v>35.987074999999997</v>
      </c>
      <c r="N43" s="19">
        <v>11.5045</v>
      </c>
      <c r="O43" s="19">
        <v>11.036692</v>
      </c>
      <c r="P43" s="19">
        <v>37.318209000000003</v>
      </c>
      <c r="Q43" s="19">
        <v>402.35270100000002</v>
      </c>
      <c r="R43" s="19">
        <v>114.182481</v>
      </c>
      <c r="S43" s="19">
        <v>967.05183299999999</v>
      </c>
      <c r="T43" s="19">
        <v>1023.9643939112824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>
        <v>1.086177179082134</v>
      </c>
      <c r="AQ43" s="19">
        <v>0.96991961314464259</v>
      </c>
      <c r="AR43" s="19"/>
      <c r="AS43" s="19"/>
      <c r="AT43" s="19"/>
      <c r="AU43" s="19">
        <v>0.9326391375618146</v>
      </c>
      <c r="AV43" s="19">
        <v>0.29319110431756285</v>
      </c>
      <c r="AW43" s="19">
        <v>0.60668814084084755</v>
      </c>
      <c r="AX43" s="19">
        <v>0.96433017458045733</v>
      </c>
      <c r="AY43" s="19">
        <v>0.30828113964418813</v>
      </c>
      <c r="AZ43" s="19">
        <v>0.29574548982240811</v>
      </c>
      <c r="BA43" s="19"/>
      <c r="BB43" s="19"/>
      <c r="BC43" s="19"/>
      <c r="BD43" s="19"/>
      <c r="BE43" s="19"/>
      <c r="BF43" s="19"/>
      <c r="BG43" s="19"/>
      <c r="BH43" s="19"/>
      <c r="BI43" s="19"/>
    </row>
    <row r="44" spans="1:61" x14ac:dyDescent="0.55000000000000004">
      <c r="A44" s="19" t="s">
        <v>87</v>
      </c>
      <c r="B44" s="19" t="s">
        <v>88</v>
      </c>
      <c r="C44" s="19" t="s">
        <v>8</v>
      </c>
      <c r="D44" s="19" t="s">
        <v>9</v>
      </c>
      <c r="E44" s="19">
        <v>1617</v>
      </c>
      <c r="F44" s="19">
        <v>69.19906499999999</v>
      </c>
      <c r="G44" s="19">
        <v>44.372598000000004</v>
      </c>
      <c r="H44" s="19">
        <v>71750.490966000012</v>
      </c>
      <c r="I44" s="19">
        <v>40.565264999999997</v>
      </c>
      <c r="J44" s="19">
        <v>16.643193</v>
      </c>
      <c r="K44" s="19">
        <v>28.745062999999998</v>
      </c>
      <c r="L44" s="19">
        <v>46.403798999999999</v>
      </c>
      <c r="M44" s="19">
        <v>33.306483999999998</v>
      </c>
      <c r="N44" s="19">
        <v>21.655024999999998</v>
      </c>
      <c r="O44" s="19">
        <v>10.759912999999999</v>
      </c>
      <c r="P44" s="19">
        <v>39.495493000000003</v>
      </c>
      <c r="Q44" s="19">
        <v>481.60902900000002</v>
      </c>
      <c r="R44" s="19">
        <v>1604.487431</v>
      </c>
      <c r="S44" s="19">
        <v>1240.0699950000001</v>
      </c>
      <c r="T44" s="19">
        <v>1605.666588984175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>
        <v>1.0457760214986735</v>
      </c>
      <c r="AQ44" s="19">
        <v>0.89008745893129815</v>
      </c>
      <c r="AR44" s="19"/>
      <c r="AS44" s="19"/>
      <c r="AT44" s="19"/>
      <c r="AU44" s="19">
        <v>0.87417982738870148</v>
      </c>
      <c r="AV44" s="19">
        <v>0.35866013901146326</v>
      </c>
      <c r="AW44" s="19">
        <v>0.61945495022939823</v>
      </c>
      <c r="AX44" s="19">
        <v>0.84329834799125036</v>
      </c>
      <c r="AY44" s="19">
        <v>0.54829104171455711</v>
      </c>
      <c r="AZ44" s="19">
        <v>0.27243394581756453</v>
      </c>
      <c r="BA44" s="19"/>
      <c r="BB44" s="19"/>
      <c r="BC44" s="19"/>
      <c r="BD44" s="19"/>
      <c r="BE44" s="19"/>
      <c r="BF44" s="19"/>
      <c r="BG44" s="19"/>
      <c r="BH44" s="19"/>
      <c r="BI44" s="19"/>
    </row>
    <row r="45" spans="1:61" x14ac:dyDescent="0.55000000000000004">
      <c r="A45" s="19" t="s">
        <v>89</v>
      </c>
      <c r="B45" s="19" t="s">
        <v>84</v>
      </c>
      <c r="C45" s="19" t="s">
        <v>8</v>
      </c>
      <c r="D45" s="19" t="s">
        <v>9</v>
      </c>
      <c r="E45" s="19">
        <v>1432</v>
      </c>
      <c r="F45" s="19">
        <v>66.572528000000005</v>
      </c>
      <c r="G45" s="19">
        <v>35.876693000000003</v>
      </c>
      <c r="H45" s="19">
        <v>51375.424376000003</v>
      </c>
      <c r="I45" s="19">
        <v>101.15822199999999</v>
      </c>
      <c r="J45" s="19">
        <v>59.927672000000001</v>
      </c>
      <c r="K45" s="19">
        <v>56.542864000000002</v>
      </c>
      <c r="L45" s="19">
        <v>107.33037299999999</v>
      </c>
      <c r="M45" s="19">
        <v>47.029164999999999</v>
      </c>
      <c r="N45" s="19">
        <v>19.900952</v>
      </c>
      <c r="O45" s="19">
        <v>12.837838</v>
      </c>
      <c r="P45" s="19">
        <v>50.673603</v>
      </c>
      <c r="Q45" s="19">
        <v>731.48700199999996</v>
      </c>
      <c r="R45" s="19">
        <v>886.70310800000004</v>
      </c>
      <c r="S45" s="19">
        <v>2312.1742490000001</v>
      </c>
      <c r="T45" s="19">
        <v>2344.9829687598381</v>
      </c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>
        <v>2.9916462200125298</v>
      </c>
      <c r="AQ45" s="19">
        <v>1.4124379579801292</v>
      </c>
      <c r="AR45" s="19"/>
      <c r="AS45" s="19"/>
      <c r="AT45" s="19"/>
      <c r="AU45" s="19">
        <v>0.94249390151658186</v>
      </c>
      <c r="AV45" s="19">
        <v>0.5583477474731221</v>
      </c>
      <c r="AW45" s="19">
        <v>0.52681139941626776</v>
      </c>
      <c r="AX45" s="19">
        <v>0.92808014855387333</v>
      </c>
      <c r="AY45" s="19">
        <v>0.39272818236350787</v>
      </c>
      <c r="AZ45" s="19">
        <v>0.25334369849327665</v>
      </c>
      <c r="BA45" s="19"/>
      <c r="BB45" s="19"/>
      <c r="BC45" s="19"/>
      <c r="BD45" s="19"/>
      <c r="BE45" s="19"/>
      <c r="BF45" s="19"/>
      <c r="BG45" s="19"/>
      <c r="BH45" s="19"/>
      <c r="BI45" s="19"/>
    </row>
    <row r="46" spans="1:61" x14ac:dyDescent="0.55000000000000004">
      <c r="A46" s="19" t="s">
        <v>90</v>
      </c>
      <c r="B46" s="19" t="s">
        <v>91</v>
      </c>
      <c r="C46" s="19" t="s">
        <v>8</v>
      </c>
      <c r="D46" s="19" t="s">
        <v>9</v>
      </c>
      <c r="E46" s="19">
        <v>1416</v>
      </c>
      <c r="F46" s="19">
        <v>68.826125000000005</v>
      </c>
      <c r="G46" s="19">
        <v>34.585388999999999</v>
      </c>
      <c r="H46" s="19">
        <v>48972.910823999999</v>
      </c>
      <c r="I46" s="19">
        <v>112.154321</v>
      </c>
      <c r="J46" s="19">
        <v>37.357424000000002</v>
      </c>
      <c r="K46" s="19">
        <v>43.360923999999997</v>
      </c>
      <c r="L46" s="19">
        <v>122.042959</v>
      </c>
      <c r="M46" s="19">
        <v>66.571543000000005</v>
      </c>
      <c r="N46" s="19">
        <v>23.215399000000001</v>
      </c>
      <c r="O46" s="19">
        <v>21.446635000000001</v>
      </c>
      <c r="P46" s="19">
        <v>71.264411999999993</v>
      </c>
      <c r="Q46" s="19">
        <v>1606.7815539999999</v>
      </c>
      <c r="R46" s="19">
        <v>89.742086999999998</v>
      </c>
      <c r="S46" s="19">
        <v>2794.6628679999999</v>
      </c>
      <c r="T46" s="19">
        <v>3086.7939261623501</v>
      </c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>
        <v>3.528743279423574</v>
      </c>
      <c r="AQ46" s="19">
        <v>2.060535216186234</v>
      </c>
      <c r="AR46" s="19"/>
      <c r="AS46" s="19"/>
      <c r="AT46" s="19"/>
      <c r="AU46" s="19">
        <v>0.91897412123545774</v>
      </c>
      <c r="AV46" s="19">
        <v>0.3061006083931479</v>
      </c>
      <c r="AW46" s="19">
        <v>0.35529230326183747</v>
      </c>
      <c r="AX46" s="19">
        <v>0.93414849195696736</v>
      </c>
      <c r="AY46" s="19">
        <v>0.32576426786486368</v>
      </c>
      <c r="AZ46" s="19">
        <v>0.30094453034987512</v>
      </c>
      <c r="BA46" s="19"/>
      <c r="BB46" s="19"/>
      <c r="BC46" s="19"/>
      <c r="BD46" s="19"/>
      <c r="BE46" s="19"/>
      <c r="BF46" s="19"/>
      <c r="BG46" s="19"/>
      <c r="BH46" s="19"/>
      <c r="BI46" s="19"/>
    </row>
    <row r="47" spans="1:61" x14ac:dyDescent="0.55000000000000004">
      <c r="A47" s="19" t="s">
        <v>92</v>
      </c>
      <c r="B47" s="19" t="s">
        <v>93</v>
      </c>
      <c r="C47" s="19" t="s">
        <v>8</v>
      </c>
      <c r="D47" s="19" t="s">
        <v>9</v>
      </c>
      <c r="E47" s="19">
        <v>1412</v>
      </c>
      <c r="F47" s="19">
        <v>65.652470999999991</v>
      </c>
      <c r="G47" s="19">
        <v>44.687247999999997</v>
      </c>
      <c r="H47" s="19">
        <v>63098.394175999994</v>
      </c>
      <c r="I47" s="19">
        <v>53.402374999999999</v>
      </c>
      <c r="J47" s="19">
        <v>15.048736999999999</v>
      </c>
      <c r="K47" s="19">
        <v>29.68355</v>
      </c>
      <c r="L47" s="19">
        <v>54.694330999999998</v>
      </c>
      <c r="M47" s="19">
        <v>33.532350999999998</v>
      </c>
      <c r="N47" s="19">
        <v>18.652159000000001</v>
      </c>
      <c r="O47" s="19">
        <v>15.267382</v>
      </c>
      <c r="P47" s="19">
        <v>39.134061000000003</v>
      </c>
      <c r="Q47" s="19">
        <v>415.35298699999998</v>
      </c>
      <c r="R47" s="19">
        <v>1496.6253400000001</v>
      </c>
      <c r="S47" s="19">
        <v>1472.8229140000001</v>
      </c>
      <c r="T47" s="19">
        <v>1500.8447121498714</v>
      </c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>
        <v>1.2239359872865745</v>
      </c>
      <c r="AQ47" s="19">
        <v>0.87573217755544053</v>
      </c>
      <c r="AR47" s="19"/>
      <c r="AS47" s="19"/>
      <c r="AT47" s="19"/>
      <c r="AU47" s="19">
        <v>0.97637861225507994</v>
      </c>
      <c r="AV47" s="19">
        <v>0.27514253716715176</v>
      </c>
      <c r="AW47" s="19">
        <v>0.54271712364486191</v>
      </c>
      <c r="AX47" s="19">
        <v>0.8568584538159737</v>
      </c>
      <c r="AY47" s="19">
        <v>0.47662211698397466</v>
      </c>
      <c r="AZ47" s="19">
        <v>0.39013027551625679</v>
      </c>
      <c r="BA47" s="19"/>
      <c r="BB47" s="19"/>
      <c r="BC47" s="19"/>
      <c r="BD47" s="19"/>
      <c r="BE47" s="19"/>
      <c r="BF47" s="19"/>
      <c r="BG47" s="19"/>
      <c r="BH47" s="19"/>
      <c r="BI47" s="19"/>
    </row>
    <row r="48" spans="1:61" x14ac:dyDescent="0.55000000000000004">
      <c r="A48" s="19" t="s">
        <v>94</v>
      </c>
      <c r="B48" s="19" t="s">
        <v>95</v>
      </c>
      <c r="C48" s="19" t="s">
        <v>8</v>
      </c>
      <c r="D48" s="19" t="s">
        <v>9</v>
      </c>
      <c r="E48" s="19">
        <v>1367</v>
      </c>
      <c r="F48" s="19">
        <v>68.881456</v>
      </c>
      <c r="G48" s="19">
        <v>43.384988999999997</v>
      </c>
      <c r="H48" s="19">
        <v>59307.279962999994</v>
      </c>
      <c r="I48" s="19">
        <v>82.659284999999997</v>
      </c>
      <c r="J48" s="19">
        <v>24.45392</v>
      </c>
      <c r="K48" s="19">
        <v>31.282067999999999</v>
      </c>
      <c r="L48" s="19">
        <v>86.616612000000003</v>
      </c>
      <c r="M48" s="19">
        <v>44.339945999999998</v>
      </c>
      <c r="N48" s="19">
        <v>21.002089999999999</v>
      </c>
      <c r="O48" s="19">
        <v>8.6502809999999997</v>
      </c>
      <c r="P48" s="19">
        <v>48.29316</v>
      </c>
      <c r="Q48" s="19">
        <v>1008.695959</v>
      </c>
      <c r="R48" s="19">
        <v>232.018102</v>
      </c>
      <c r="S48" s="19">
        <v>1032.914798</v>
      </c>
      <c r="T48" s="19">
        <v>1337.1892713336963</v>
      </c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>
        <v>1.9964649985274863</v>
      </c>
      <c r="AQ48" s="19">
        <v>1.1131306268165702</v>
      </c>
      <c r="AR48" s="19"/>
      <c r="AS48" s="19"/>
      <c r="AT48" s="19"/>
      <c r="AU48" s="19">
        <v>0.95431214742040471</v>
      </c>
      <c r="AV48" s="19">
        <v>0.28232367250753237</v>
      </c>
      <c r="AW48" s="19">
        <v>0.36115552522419136</v>
      </c>
      <c r="AX48" s="19">
        <v>0.91814132684628624</v>
      </c>
      <c r="AY48" s="19">
        <v>0.43488746646523024</v>
      </c>
      <c r="AZ48" s="19">
        <v>0.17912021081246288</v>
      </c>
      <c r="BA48" s="19"/>
      <c r="BB48" s="19"/>
      <c r="BC48" s="19"/>
      <c r="BD48" s="19"/>
      <c r="BE48" s="19"/>
      <c r="BF48" s="19"/>
      <c r="BG48" s="19"/>
      <c r="BH48" s="19"/>
      <c r="BI48" s="19"/>
    </row>
    <row r="49" spans="1:61" x14ac:dyDescent="0.55000000000000004">
      <c r="A49" s="19" t="s">
        <v>96</v>
      </c>
      <c r="B49" s="19" t="s">
        <v>97</v>
      </c>
      <c r="C49" s="19" t="s">
        <v>8</v>
      </c>
      <c r="D49" s="19" t="s">
        <v>9</v>
      </c>
      <c r="E49" s="19">
        <v>1408</v>
      </c>
      <c r="F49" s="19">
        <v>66.646856999999997</v>
      </c>
      <c r="G49" s="19">
        <v>41.835034999999998</v>
      </c>
      <c r="H49" s="19">
        <v>58903.72928</v>
      </c>
      <c r="I49" s="19">
        <v>138.24121700000001</v>
      </c>
      <c r="J49" s="19">
        <v>24.402539000000001</v>
      </c>
      <c r="K49" s="19">
        <v>45.946314000000001</v>
      </c>
      <c r="L49" s="19">
        <v>147.25243499999999</v>
      </c>
      <c r="M49" s="19">
        <v>39.873291000000002</v>
      </c>
      <c r="N49" s="19">
        <v>23.982531999999999</v>
      </c>
      <c r="O49" s="19">
        <v>16.972345000000001</v>
      </c>
      <c r="P49" s="19">
        <v>44.509593000000002</v>
      </c>
      <c r="Q49" s="19">
        <v>806.48139200000003</v>
      </c>
      <c r="R49" s="19">
        <v>484.225212</v>
      </c>
      <c r="S49" s="19">
        <v>1709.8595479999999</v>
      </c>
      <c r="T49" s="19">
        <v>1713.975371032358</v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>
        <v>3.5198353485302452</v>
      </c>
      <c r="AQ49" s="19">
        <v>1.063931056828326</v>
      </c>
      <c r="AR49" s="19"/>
      <c r="AS49" s="19"/>
      <c r="AT49" s="19"/>
      <c r="AU49" s="19">
        <v>0.93880428530774396</v>
      </c>
      <c r="AV49" s="19">
        <v>0.16571908641103289</v>
      </c>
      <c r="AW49" s="19">
        <v>0.31202413732581064</v>
      </c>
      <c r="AX49" s="19">
        <v>0.89583589317475898</v>
      </c>
      <c r="AY49" s="19">
        <v>0.53881714892337929</v>
      </c>
      <c r="AZ49" s="19">
        <v>0.38131880918344951</v>
      </c>
      <c r="BA49" s="19"/>
      <c r="BB49" s="19"/>
      <c r="BC49" s="19"/>
      <c r="BD49" s="19"/>
      <c r="BE49" s="19"/>
      <c r="BF49" s="19"/>
      <c r="BG49" s="19"/>
      <c r="BH49" s="19"/>
      <c r="BI49" s="19"/>
    </row>
    <row r="50" spans="1:61" x14ac:dyDescent="0.55000000000000004">
      <c r="A50" s="19" t="s">
        <v>98</v>
      </c>
      <c r="B50" s="19" t="s">
        <v>84</v>
      </c>
      <c r="C50" s="19" t="s">
        <v>8</v>
      </c>
      <c r="D50" s="19" t="s">
        <v>9</v>
      </c>
      <c r="E50" s="19">
        <v>1435</v>
      </c>
      <c r="F50" s="19">
        <v>69.399932000000007</v>
      </c>
      <c r="G50" s="19">
        <v>41.691203000000002</v>
      </c>
      <c r="H50" s="19">
        <v>59826.876305000005</v>
      </c>
      <c r="I50" s="19">
        <v>70.816301999999993</v>
      </c>
      <c r="J50" s="19">
        <v>13.723924999999999</v>
      </c>
      <c r="K50" s="19">
        <v>33.228771999999999</v>
      </c>
      <c r="L50" s="19">
        <v>73.943203999999994</v>
      </c>
      <c r="M50" s="19">
        <v>42.864530000000002</v>
      </c>
      <c r="N50" s="19">
        <v>27.985157999999998</v>
      </c>
      <c r="O50" s="19">
        <v>14.359805</v>
      </c>
      <c r="P50" s="19">
        <v>50.655163000000002</v>
      </c>
      <c r="Q50" s="19">
        <v>365.87426199999999</v>
      </c>
      <c r="R50" s="19">
        <v>76.626523000000006</v>
      </c>
      <c r="S50" s="19">
        <v>1422.803985</v>
      </c>
      <c r="T50" s="19">
        <v>1431.4676399709124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>
        <v>1.773592477050854</v>
      </c>
      <c r="AQ50" s="19">
        <v>1.2150084275572475</v>
      </c>
      <c r="AR50" s="19"/>
      <c r="AS50" s="19"/>
      <c r="AT50" s="19"/>
      <c r="AU50" s="19">
        <v>0.9577121110413338</v>
      </c>
      <c r="AV50" s="19">
        <v>0.18560089714262315</v>
      </c>
      <c r="AW50" s="19">
        <v>0.44938236649848173</v>
      </c>
      <c r="AX50" s="19">
        <v>0.84620258748353061</v>
      </c>
      <c r="AY50" s="19">
        <v>0.55246407952531906</v>
      </c>
      <c r="AZ50" s="19">
        <v>0.28348156731822183</v>
      </c>
      <c r="BA50" s="19"/>
      <c r="BB50" s="19"/>
      <c r="BC50" s="19"/>
      <c r="BD50" s="19"/>
      <c r="BE50" s="19"/>
      <c r="BF50" s="19"/>
      <c r="BG50" s="19"/>
      <c r="BH50" s="19"/>
      <c r="BI50" s="19"/>
    </row>
    <row r="51" spans="1:61" x14ac:dyDescent="0.55000000000000004">
      <c r="A51" s="19" t="s">
        <v>99</v>
      </c>
      <c r="B51" s="19" t="s">
        <v>100</v>
      </c>
      <c r="C51" s="19" t="s">
        <v>8</v>
      </c>
      <c r="D51" s="19" t="s">
        <v>9</v>
      </c>
      <c r="E51" s="19">
        <v>1373</v>
      </c>
      <c r="F51" s="19">
        <v>69.548971000000009</v>
      </c>
      <c r="G51" s="19">
        <v>57.317293999999997</v>
      </c>
      <c r="H51" s="19">
        <v>78696.644661999992</v>
      </c>
      <c r="I51" s="19">
        <v>52.403297999999999</v>
      </c>
      <c r="J51" s="19">
        <v>28.159707000000001</v>
      </c>
      <c r="K51" s="19">
        <v>16.489884</v>
      </c>
      <c r="L51" s="19">
        <v>55.719467000000002</v>
      </c>
      <c r="M51" s="19">
        <v>43.551721999999998</v>
      </c>
      <c r="N51" s="19">
        <v>15.884138</v>
      </c>
      <c r="O51" s="19">
        <v>21.543893000000001</v>
      </c>
      <c r="P51" s="19">
        <v>49.596772000000001</v>
      </c>
      <c r="Q51" s="19">
        <v>1244.687169</v>
      </c>
      <c r="R51" s="19">
        <v>1386.0772139999999</v>
      </c>
      <c r="S51" s="19">
        <v>804.65167399999996</v>
      </c>
      <c r="T51" s="19">
        <v>1481.5740931172368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>
        <v>0.97212312570094472</v>
      </c>
      <c r="AQ51" s="19">
        <v>0.86530205002350602</v>
      </c>
      <c r="AR51" s="19"/>
      <c r="AS51" s="19"/>
      <c r="AT51" s="19"/>
      <c r="AU51" s="19">
        <v>0.94048455273271003</v>
      </c>
      <c r="AV51" s="19">
        <v>0.50538363907895956</v>
      </c>
      <c r="AW51" s="19">
        <v>0.29594475481971139</v>
      </c>
      <c r="AX51" s="19">
        <v>0.87811605965001105</v>
      </c>
      <c r="AY51" s="19">
        <v>0.32026556083125729</v>
      </c>
      <c r="AZ51" s="19">
        <v>0.43438095124416565</v>
      </c>
      <c r="BA51" s="19"/>
      <c r="BB51" s="19"/>
      <c r="BC51" s="19"/>
      <c r="BD51" s="19"/>
      <c r="BE51" s="19"/>
      <c r="BF51" s="19"/>
      <c r="BG51" s="19"/>
      <c r="BH51" s="19"/>
      <c r="BI51" s="19"/>
    </row>
    <row r="52" spans="1:61" x14ac:dyDescent="0.55000000000000004">
      <c r="A52" s="19" t="s">
        <v>101</v>
      </c>
      <c r="B52" s="19" t="s">
        <v>102</v>
      </c>
      <c r="C52" s="19" t="s">
        <v>8</v>
      </c>
      <c r="D52" s="19" t="s">
        <v>9</v>
      </c>
      <c r="E52" s="19">
        <v>1415</v>
      </c>
      <c r="F52" s="19">
        <v>67.871733000000006</v>
      </c>
      <c r="G52" s="19">
        <v>39.763509999999997</v>
      </c>
      <c r="H52" s="19">
        <v>56265.366649999996</v>
      </c>
      <c r="I52" s="19">
        <v>69.270508000000007</v>
      </c>
      <c r="J52" s="19">
        <v>29.167023</v>
      </c>
      <c r="K52" s="19">
        <v>42.062465000000003</v>
      </c>
      <c r="L52" s="19">
        <v>80.380371999999994</v>
      </c>
      <c r="M52" s="19">
        <v>66.225271000000006</v>
      </c>
      <c r="N52" s="19">
        <v>26.622021</v>
      </c>
      <c r="O52" s="19">
        <v>19.410285999999999</v>
      </c>
      <c r="P52" s="19">
        <v>67.928664999999995</v>
      </c>
      <c r="Q52" s="19">
        <v>921.79821500000003</v>
      </c>
      <c r="R52" s="19">
        <v>44.829127999999997</v>
      </c>
      <c r="S52" s="19">
        <v>2538.2951480000002</v>
      </c>
      <c r="T52" s="19">
        <v>2695.2481367551181</v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>
        <v>2.0214606809107143</v>
      </c>
      <c r="AQ52" s="19">
        <v>1.7083166199362179</v>
      </c>
      <c r="AR52" s="19"/>
      <c r="AS52" s="19"/>
      <c r="AT52" s="19"/>
      <c r="AU52" s="19">
        <v>0.86178386932571061</v>
      </c>
      <c r="AV52" s="19">
        <v>0.36286250329869091</v>
      </c>
      <c r="AW52" s="19">
        <v>0.52329273868003501</v>
      </c>
      <c r="AX52" s="19">
        <v>0.97492378217649367</v>
      </c>
      <c r="AY52" s="19">
        <v>0.3919114412155752</v>
      </c>
      <c r="AZ52" s="19">
        <v>0.28574514161289644</v>
      </c>
      <c r="BA52" s="19"/>
      <c r="BB52" s="19"/>
      <c r="BC52" s="19"/>
      <c r="BD52" s="19"/>
      <c r="BE52" s="19"/>
      <c r="BF52" s="19"/>
      <c r="BG52" s="19"/>
      <c r="BH52" s="19"/>
      <c r="BI52" s="19"/>
    </row>
    <row r="53" spans="1:61" x14ac:dyDescent="0.55000000000000004">
      <c r="A53" s="19" t="s">
        <v>103</v>
      </c>
      <c r="B53" s="19" t="s">
        <v>104</v>
      </c>
      <c r="C53" s="19" t="s">
        <v>8</v>
      </c>
      <c r="D53" s="19" t="s">
        <v>9</v>
      </c>
      <c r="E53" s="19">
        <v>1576</v>
      </c>
      <c r="F53" s="19">
        <v>69.251005000000006</v>
      </c>
      <c r="G53" s="19">
        <v>54.059679000000003</v>
      </c>
      <c r="H53" s="19">
        <v>85198.05410400001</v>
      </c>
      <c r="I53" s="19">
        <v>46.847456000000001</v>
      </c>
      <c r="J53" s="19">
        <v>10.430904</v>
      </c>
      <c r="K53" s="19">
        <v>30.728777000000001</v>
      </c>
      <c r="L53" s="19">
        <v>52.884968000000001</v>
      </c>
      <c r="M53" s="19">
        <v>47.442670999999997</v>
      </c>
      <c r="N53" s="19">
        <v>16.507881000000001</v>
      </c>
      <c r="O53" s="19">
        <v>12.812308</v>
      </c>
      <c r="P53" s="19">
        <v>49.226545999999999</v>
      </c>
      <c r="Q53" s="19">
        <v>417.99177100000003</v>
      </c>
      <c r="R53" s="19">
        <v>2275.5915669999999</v>
      </c>
      <c r="S53" s="19">
        <v>1657.6439350000001</v>
      </c>
      <c r="T53" s="19">
        <v>2310.1336861236059</v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>
        <v>0.97827010774518286</v>
      </c>
      <c r="AQ53" s="19">
        <v>0.9105963429786551</v>
      </c>
      <c r="AR53" s="19"/>
      <c r="AS53" s="19"/>
      <c r="AT53" s="19"/>
      <c r="AU53" s="19">
        <v>0.8858368979253235</v>
      </c>
      <c r="AV53" s="19">
        <v>0.1972375968914267</v>
      </c>
      <c r="AW53" s="19">
        <v>0.58104936359231607</v>
      </c>
      <c r="AX53" s="19">
        <v>0.96376193040234837</v>
      </c>
      <c r="AY53" s="19">
        <v>0.33534510018232849</v>
      </c>
      <c r="AZ53" s="19">
        <v>0.26027233354946333</v>
      </c>
      <c r="BA53" s="19"/>
      <c r="BB53" s="19"/>
      <c r="BC53" s="19"/>
      <c r="BD53" s="19"/>
      <c r="BE53" s="19"/>
      <c r="BF53" s="19"/>
      <c r="BG53" s="19"/>
      <c r="BH53" s="19"/>
      <c r="BI53" s="19"/>
    </row>
    <row r="54" spans="1:61" x14ac:dyDescent="0.55000000000000004">
      <c r="A54" s="19" t="s">
        <v>105</v>
      </c>
      <c r="B54" s="19" t="s">
        <v>106</v>
      </c>
      <c r="C54" s="19" t="s">
        <v>8</v>
      </c>
      <c r="D54" s="19" t="s">
        <v>9</v>
      </c>
      <c r="E54" s="19">
        <v>1710</v>
      </c>
      <c r="F54" s="19">
        <v>68.86703</v>
      </c>
      <c r="G54" s="19">
        <v>35.640514000000003</v>
      </c>
      <c r="H54" s="19">
        <v>60945.278940000004</v>
      </c>
      <c r="I54" s="19">
        <v>42.900772000000003</v>
      </c>
      <c r="J54" s="19">
        <v>14.097125</v>
      </c>
      <c r="K54" s="19">
        <v>39.538974000000003</v>
      </c>
      <c r="L54" s="19">
        <v>57.153638999999998</v>
      </c>
      <c r="M54" s="19">
        <v>48.516739999999999</v>
      </c>
      <c r="N54" s="19">
        <v>19.618542000000001</v>
      </c>
      <c r="O54" s="19">
        <v>19.085502000000002</v>
      </c>
      <c r="P54" s="19">
        <v>52.921792000000003</v>
      </c>
      <c r="Q54" s="19">
        <v>528.03745300000003</v>
      </c>
      <c r="R54" s="19">
        <v>118.25427500000001</v>
      </c>
      <c r="S54" s="19">
        <v>1890.1264510000001</v>
      </c>
      <c r="T54" s="19">
        <v>1910.0223422515605</v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>
        <v>1.6036143305901815</v>
      </c>
      <c r="AQ54" s="19">
        <v>1.4848773505342825</v>
      </c>
      <c r="AR54" s="19"/>
      <c r="AS54" s="19"/>
      <c r="AT54" s="19"/>
      <c r="AU54" s="19">
        <v>0.75062188078697845</v>
      </c>
      <c r="AV54" s="19">
        <v>0.24665314836733318</v>
      </c>
      <c r="AW54" s="19">
        <v>0.69180151416080438</v>
      </c>
      <c r="AX54" s="19">
        <v>0.91676298489665653</v>
      </c>
      <c r="AY54" s="19">
        <v>0.37070819521757692</v>
      </c>
      <c r="AZ54" s="19">
        <v>0.36063597392922753</v>
      </c>
      <c r="BA54" s="19"/>
      <c r="BB54" s="19"/>
      <c r="BC54" s="19"/>
      <c r="BD54" s="19"/>
      <c r="BE54" s="19"/>
      <c r="BF54" s="19"/>
      <c r="BG54" s="19"/>
      <c r="BH54" s="19"/>
      <c r="BI54" s="19"/>
    </row>
    <row r="55" spans="1:61" x14ac:dyDescent="0.55000000000000004">
      <c r="A55" s="19" t="s">
        <v>107</v>
      </c>
      <c r="B55" s="19" t="s">
        <v>108</v>
      </c>
      <c r="C55" s="19" t="s">
        <v>8</v>
      </c>
      <c r="D55" s="19" t="s">
        <v>9</v>
      </c>
      <c r="E55" s="19">
        <v>1767</v>
      </c>
      <c r="F55" s="19">
        <v>69.428488999999999</v>
      </c>
      <c r="G55" s="19">
        <v>45.409866000000001</v>
      </c>
      <c r="H55" s="19">
        <v>80239.233221999995</v>
      </c>
      <c r="I55" s="19">
        <v>29.340565999999999</v>
      </c>
      <c r="J55" s="19">
        <v>14.035059</v>
      </c>
      <c r="K55" s="19">
        <v>30.195170999999998</v>
      </c>
      <c r="L55" s="19">
        <v>42.840034000000003</v>
      </c>
      <c r="M55" s="19">
        <v>28.348583999999999</v>
      </c>
      <c r="N55" s="19">
        <v>14.623901</v>
      </c>
      <c r="O55" s="19">
        <v>4.7312979999999998</v>
      </c>
      <c r="P55" s="19">
        <v>30.567999</v>
      </c>
      <c r="Q55" s="19">
        <v>773.47702200000003</v>
      </c>
      <c r="R55" s="19">
        <v>108.368077</v>
      </c>
      <c r="S55" s="19">
        <v>887.58719799999994</v>
      </c>
      <c r="T55" s="19">
        <v>1111.2689568557917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>
        <v>0.94340806907468089</v>
      </c>
      <c r="AQ55" s="19">
        <v>0.67315765697260588</v>
      </c>
      <c r="AR55" s="19"/>
      <c r="AS55" s="19"/>
      <c r="AT55" s="19"/>
      <c r="AU55" s="19">
        <v>0.68488661797047123</v>
      </c>
      <c r="AV55" s="19">
        <v>0.32761549629022235</v>
      </c>
      <c r="AW55" s="19">
        <v>0.70483536497660104</v>
      </c>
      <c r="AX55" s="19">
        <v>0.92739416799902408</v>
      </c>
      <c r="AY55" s="19">
        <v>0.47840557047911442</v>
      </c>
      <c r="AZ55" s="19">
        <v>0.15477944761775214</v>
      </c>
      <c r="BA55" s="19"/>
      <c r="BB55" s="19"/>
      <c r="BC55" s="19"/>
      <c r="BD55" s="19"/>
      <c r="BE55" s="19"/>
      <c r="BF55" s="19"/>
      <c r="BG55" s="19"/>
      <c r="BH55" s="19"/>
      <c r="BI55" s="19"/>
    </row>
    <row r="56" spans="1:61" x14ac:dyDescent="0.55000000000000004">
      <c r="A56" s="19" t="s">
        <v>109</v>
      </c>
      <c r="B56" s="19" t="s">
        <v>110</v>
      </c>
      <c r="C56" s="19" t="s">
        <v>8</v>
      </c>
      <c r="D56" s="19" t="s">
        <v>9</v>
      </c>
      <c r="E56" s="19">
        <v>1955</v>
      </c>
      <c r="F56" s="19">
        <v>69.113633000000007</v>
      </c>
      <c r="G56" s="19">
        <v>50.607585999999998</v>
      </c>
      <c r="H56" s="19">
        <v>98937.830629999997</v>
      </c>
      <c r="I56" s="19">
        <v>52.807527999999998</v>
      </c>
      <c r="J56" s="19">
        <v>15.997595</v>
      </c>
      <c r="K56" s="19">
        <v>27.848206000000001</v>
      </c>
      <c r="L56" s="19">
        <v>59.561850999999997</v>
      </c>
      <c r="M56" s="19">
        <v>39.524718</v>
      </c>
      <c r="N56" s="19">
        <v>15.82822</v>
      </c>
      <c r="O56" s="19">
        <v>13.373885</v>
      </c>
      <c r="P56" s="19">
        <v>41.534244999999999</v>
      </c>
      <c r="Q56" s="19">
        <v>442.96885500000002</v>
      </c>
      <c r="R56" s="19">
        <v>222.76212100000001</v>
      </c>
      <c r="S56" s="19">
        <v>1495.4190060000001</v>
      </c>
      <c r="T56" s="19">
        <v>1499.1311251801826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>
        <v>1.1769352325953661</v>
      </c>
      <c r="AQ56" s="19">
        <v>0.82071183952540239</v>
      </c>
      <c r="AR56" s="19"/>
      <c r="AS56" s="19"/>
      <c r="AT56" s="19"/>
      <c r="AU56" s="19">
        <v>0.88659984727472629</v>
      </c>
      <c r="AV56" s="19">
        <v>0.26858794230555394</v>
      </c>
      <c r="AW56" s="19">
        <v>0.46755105041984008</v>
      </c>
      <c r="AX56" s="19">
        <v>0.95161758688523168</v>
      </c>
      <c r="AY56" s="19">
        <v>0.38108842474444882</v>
      </c>
      <c r="AZ56" s="19">
        <v>0.32199658378285195</v>
      </c>
      <c r="BA56" s="19"/>
      <c r="BB56" s="19"/>
      <c r="BC56" s="19"/>
      <c r="BD56" s="19"/>
      <c r="BE56" s="19"/>
      <c r="BF56" s="19"/>
      <c r="BG56" s="19"/>
      <c r="BH56" s="19"/>
      <c r="BI56" s="19"/>
    </row>
    <row r="57" spans="1:61" x14ac:dyDescent="0.55000000000000004">
      <c r="A57" s="19" t="s">
        <v>111</v>
      </c>
      <c r="B57" s="19" t="s">
        <v>112</v>
      </c>
      <c r="C57" s="19" t="s">
        <v>8</v>
      </c>
      <c r="D57" s="19" t="s">
        <v>9</v>
      </c>
      <c r="E57" s="19">
        <v>1726</v>
      </c>
      <c r="F57" s="19">
        <v>69.634523000000002</v>
      </c>
      <c r="G57" s="19">
        <v>41.407029999999999</v>
      </c>
      <c r="H57" s="19">
        <v>71468.533779999998</v>
      </c>
      <c r="I57" s="19">
        <v>62.595866999999998</v>
      </c>
      <c r="J57" s="19">
        <v>22.285457999999998</v>
      </c>
      <c r="K57" s="19">
        <v>26.059334</v>
      </c>
      <c r="L57" s="19">
        <v>65.756769000000006</v>
      </c>
      <c r="M57" s="19">
        <v>31.872429</v>
      </c>
      <c r="N57" s="19">
        <v>22.202776</v>
      </c>
      <c r="O57" s="19">
        <v>17.156371</v>
      </c>
      <c r="P57" s="19">
        <v>38.622453999999998</v>
      </c>
      <c r="Q57" s="19">
        <v>274.82521700000001</v>
      </c>
      <c r="R57" s="19">
        <v>658.864373</v>
      </c>
      <c r="S57" s="19">
        <v>1387.6628089999999</v>
      </c>
      <c r="T57" s="19">
        <v>1389.1923912974457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>
        <v>1.5880580906189119</v>
      </c>
      <c r="AQ57" s="19">
        <v>0.93275112945796879</v>
      </c>
      <c r="AR57" s="19"/>
      <c r="AS57" s="19"/>
      <c r="AT57" s="19"/>
      <c r="AU57" s="19">
        <v>0.95193039366030885</v>
      </c>
      <c r="AV57" s="19">
        <v>0.33890743628233916</v>
      </c>
      <c r="AW57" s="19">
        <v>0.39629888141249758</v>
      </c>
      <c r="AX57" s="19">
        <v>0.82523055111930488</v>
      </c>
      <c r="AY57" s="19">
        <v>0.57486704495783725</v>
      </c>
      <c r="AZ57" s="19">
        <v>0.44420717026421991</v>
      </c>
      <c r="BA57" s="19"/>
      <c r="BB57" s="19"/>
      <c r="BC57" s="19"/>
      <c r="BD57" s="19"/>
      <c r="BE57" s="19"/>
      <c r="BF57" s="19"/>
      <c r="BG57" s="19"/>
      <c r="BH57" s="19"/>
      <c r="BI57" s="19"/>
    </row>
    <row r="58" spans="1:61" x14ac:dyDescent="0.55000000000000004">
      <c r="A58" s="19" t="s">
        <v>113</v>
      </c>
      <c r="B58" s="19" t="s">
        <v>114</v>
      </c>
      <c r="C58" s="19" t="s">
        <v>8</v>
      </c>
      <c r="D58" s="19" t="s">
        <v>9</v>
      </c>
      <c r="E58" s="19">
        <v>1928</v>
      </c>
      <c r="F58" s="19">
        <v>69.946303999999998</v>
      </c>
      <c r="G58" s="19">
        <v>43.483890000000002</v>
      </c>
      <c r="H58" s="19">
        <v>83836.939920000004</v>
      </c>
      <c r="I58" s="19">
        <v>38.149653000000001</v>
      </c>
      <c r="J58" s="19">
        <v>15.711767</v>
      </c>
      <c r="K58" s="19">
        <v>17.000912</v>
      </c>
      <c r="L58" s="19">
        <v>40.134805999999998</v>
      </c>
      <c r="M58" s="19">
        <v>30.76633</v>
      </c>
      <c r="N58" s="19">
        <v>19.982603000000001</v>
      </c>
      <c r="O58" s="19">
        <v>5.9058710000000003</v>
      </c>
      <c r="P58" s="19">
        <v>35.960456999999998</v>
      </c>
      <c r="Q58" s="19">
        <v>342.01001600000001</v>
      </c>
      <c r="R58" s="19">
        <v>61.835963</v>
      </c>
      <c r="S58" s="19">
        <v>808.19164699999999</v>
      </c>
      <c r="T58" s="19">
        <v>848.82937183061301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>
        <v>0.92298103964479705</v>
      </c>
      <c r="AQ58" s="19">
        <v>0.82698344145383484</v>
      </c>
      <c r="AR58" s="19"/>
      <c r="AS58" s="19"/>
      <c r="AT58" s="19"/>
      <c r="AU58" s="19">
        <v>0.95053786979809995</v>
      </c>
      <c r="AV58" s="19">
        <v>0.39147484604759275</v>
      </c>
      <c r="AW58" s="19">
        <v>0.42359522056740478</v>
      </c>
      <c r="AX58" s="19">
        <v>0.85556003918415169</v>
      </c>
      <c r="AY58" s="19">
        <v>0.55568267666898674</v>
      </c>
      <c r="AZ58" s="19">
        <v>0.16423236779221134</v>
      </c>
      <c r="BA58" s="19"/>
      <c r="BB58" s="19"/>
      <c r="BC58" s="19"/>
      <c r="BD58" s="19"/>
      <c r="BE58" s="19"/>
      <c r="BF58" s="19"/>
      <c r="BG58" s="19"/>
      <c r="BH58" s="19"/>
      <c r="BI58" s="19"/>
    </row>
    <row r="59" spans="1:61" x14ac:dyDescent="0.55000000000000004">
      <c r="A59" s="19" t="s">
        <v>115</v>
      </c>
      <c r="B59" s="19" t="s">
        <v>116</v>
      </c>
      <c r="C59" s="19" t="s">
        <v>8</v>
      </c>
      <c r="D59" s="19" t="s">
        <v>9</v>
      </c>
      <c r="E59" s="19">
        <v>1790</v>
      </c>
      <c r="F59" s="19">
        <v>68.768389999999997</v>
      </c>
      <c r="G59" s="19">
        <v>50.295310999999998</v>
      </c>
      <c r="H59" s="19">
        <v>90028.606690000001</v>
      </c>
      <c r="I59" s="19">
        <v>37.798594999999999</v>
      </c>
      <c r="J59" s="19">
        <v>8.7733109999999996</v>
      </c>
      <c r="K59" s="19">
        <v>18.676072999999999</v>
      </c>
      <c r="L59" s="19">
        <v>41.799889</v>
      </c>
      <c r="M59" s="19">
        <v>36.591121000000001</v>
      </c>
      <c r="N59" s="19">
        <v>10.637656</v>
      </c>
      <c r="O59" s="19">
        <v>6.002796</v>
      </c>
      <c r="P59" s="19">
        <v>37.579483000000003</v>
      </c>
      <c r="Q59" s="19">
        <v>522.94044499999995</v>
      </c>
      <c r="R59" s="19">
        <v>48.794649999999997</v>
      </c>
      <c r="S59" s="19">
        <v>1128.6820339999999</v>
      </c>
      <c r="T59" s="19">
        <v>1131.9435641689208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>
        <v>0.83108918443709401</v>
      </c>
      <c r="AQ59" s="19">
        <v>0.74717667020689071</v>
      </c>
      <c r="AR59" s="19"/>
      <c r="AS59" s="19"/>
      <c r="AT59" s="19"/>
      <c r="AU59" s="19">
        <v>0.90427500895995194</v>
      </c>
      <c r="AV59" s="19">
        <v>0.20988838032560325</v>
      </c>
      <c r="AW59" s="19">
        <v>0.44679719125569922</v>
      </c>
      <c r="AX59" s="19">
        <v>0.9736994252954464</v>
      </c>
      <c r="AY59" s="19">
        <v>0.28307084480113787</v>
      </c>
      <c r="AZ59" s="19">
        <v>0.15973599211037576</v>
      </c>
      <c r="BA59" s="19"/>
      <c r="BB59" s="19"/>
      <c r="BC59" s="19"/>
      <c r="BD59" s="19"/>
      <c r="BE59" s="19"/>
      <c r="BF59" s="19"/>
      <c r="BG59" s="19"/>
      <c r="BH59" s="19"/>
      <c r="BI59" s="19"/>
    </row>
    <row r="60" spans="1:61" x14ac:dyDescent="0.55000000000000004">
      <c r="A60" s="19" t="s">
        <v>117</v>
      </c>
      <c r="B60" s="19" t="s">
        <v>118</v>
      </c>
      <c r="C60" s="19" t="s">
        <v>8</v>
      </c>
      <c r="D60" s="19" t="s">
        <v>9</v>
      </c>
      <c r="E60" s="19">
        <v>1882</v>
      </c>
      <c r="F60" s="19">
        <v>70.323514000000003</v>
      </c>
      <c r="G60" s="19">
        <v>36.533009999999997</v>
      </c>
      <c r="H60" s="19">
        <v>68755.124819999997</v>
      </c>
      <c r="I60" s="19">
        <v>75.336439999999996</v>
      </c>
      <c r="J60" s="19">
        <v>10.77291</v>
      </c>
      <c r="K60" s="19">
        <v>32.106121999999999</v>
      </c>
      <c r="L60" s="19">
        <v>79.172280000000001</v>
      </c>
      <c r="M60" s="19">
        <v>46.14922</v>
      </c>
      <c r="N60" s="19">
        <v>13.941566</v>
      </c>
      <c r="O60" s="19">
        <v>14.265155999999999</v>
      </c>
      <c r="P60" s="19">
        <v>48.833151000000001</v>
      </c>
      <c r="Q60" s="19">
        <v>913.32842900000003</v>
      </c>
      <c r="R60" s="19">
        <v>1127.5274830000001</v>
      </c>
      <c r="S60" s="19">
        <v>1103.4737259999999</v>
      </c>
      <c r="T60" s="19">
        <v>1183.2455930946971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>
        <v>2.1671436325668214</v>
      </c>
      <c r="AQ60" s="19">
        <v>1.3366856713969093</v>
      </c>
      <c r="AR60" s="19"/>
      <c r="AS60" s="19"/>
      <c r="AT60" s="19"/>
      <c r="AU60" s="19">
        <v>0.95155071951950854</v>
      </c>
      <c r="AV60" s="19">
        <v>0.13606921513438794</v>
      </c>
      <c r="AW60" s="19">
        <v>0.40552226107420425</v>
      </c>
      <c r="AX60" s="19">
        <v>0.94503875041772334</v>
      </c>
      <c r="AY60" s="19">
        <v>0.28549388508638324</v>
      </c>
      <c r="AZ60" s="19">
        <v>0.29212032621036471</v>
      </c>
      <c r="BA60" s="19"/>
      <c r="BB60" s="19"/>
      <c r="BC60" s="19"/>
      <c r="BD60" s="19"/>
      <c r="BE60" s="19"/>
      <c r="BF60" s="19"/>
      <c r="BG60" s="19"/>
      <c r="BH60" s="19"/>
      <c r="BI60" s="19"/>
    </row>
    <row r="61" spans="1:61" x14ac:dyDescent="0.55000000000000004">
      <c r="A61" s="19" t="s">
        <v>119</v>
      </c>
      <c r="B61" s="19" t="s">
        <v>120</v>
      </c>
      <c r="C61" s="19" t="s">
        <v>8</v>
      </c>
      <c r="D61" s="19" t="s">
        <v>9</v>
      </c>
      <c r="E61" s="19">
        <v>1784</v>
      </c>
      <c r="F61" s="19">
        <v>68.511178999999998</v>
      </c>
      <c r="G61" s="19">
        <v>37.503200999999997</v>
      </c>
      <c r="H61" s="19">
        <v>66905.710584</v>
      </c>
      <c r="I61" s="19">
        <v>43.790191</v>
      </c>
      <c r="J61" s="19">
        <v>13.962346999999999</v>
      </c>
      <c r="K61" s="19">
        <v>29.313943999999999</v>
      </c>
      <c r="L61" s="19">
        <v>50.690885000000002</v>
      </c>
      <c r="M61" s="19">
        <v>35.864089</v>
      </c>
      <c r="N61" s="19">
        <v>13.066046</v>
      </c>
      <c r="O61" s="19">
        <v>17.832965999999999</v>
      </c>
      <c r="P61" s="19">
        <v>38.799835000000002</v>
      </c>
      <c r="Q61" s="19">
        <v>405.95569499999999</v>
      </c>
      <c r="R61" s="19">
        <v>1841.978842</v>
      </c>
      <c r="S61" s="19">
        <v>2139.4049460000001</v>
      </c>
      <c r="T61" s="19">
        <v>2152.0025677907847</v>
      </c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>
        <v>1.35164155721001</v>
      </c>
      <c r="AQ61" s="19">
        <v>1.0345739554338309</v>
      </c>
      <c r="AR61" s="19"/>
      <c r="AS61" s="19"/>
      <c r="AT61" s="19"/>
      <c r="AU61" s="19">
        <v>0.86386716270587893</v>
      </c>
      <c r="AV61" s="19">
        <v>0.27544097918195742</v>
      </c>
      <c r="AW61" s="19">
        <v>0.57828826622379936</v>
      </c>
      <c r="AX61" s="19">
        <v>0.92433612153247557</v>
      </c>
      <c r="AY61" s="19">
        <v>0.33675519496410228</v>
      </c>
      <c r="AZ61" s="19">
        <v>0.45961448031931057</v>
      </c>
      <c r="BA61" s="19"/>
      <c r="BB61" s="19"/>
      <c r="BC61" s="19"/>
      <c r="BD61" s="19"/>
      <c r="BE61" s="19"/>
      <c r="BF61" s="19"/>
      <c r="BG61" s="19"/>
      <c r="BH61" s="19"/>
      <c r="BI61" s="19"/>
    </row>
    <row r="62" spans="1:61" x14ac:dyDescent="0.55000000000000004">
      <c r="A62" s="19" t="s">
        <v>121</v>
      </c>
      <c r="B62" s="19" t="s">
        <v>122</v>
      </c>
      <c r="C62" s="19" t="s">
        <v>8</v>
      </c>
      <c r="D62" s="19" t="s">
        <v>9</v>
      </c>
      <c r="E62" s="19">
        <v>1652</v>
      </c>
      <c r="F62" s="19">
        <v>69.914653000000001</v>
      </c>
      <c r="G62" s="19">
        <v>41.848975000000003</v>
      </c>
      <c r="H62" s="19">
        <v>69134.506699999998</v>
      </c>
      <c r="I62" s="19">
        <v>58.856628999999998</v>
      </c>
      <c r="J62" s="19">
        <v>11.755226</v>
      </c>
      <c r="K62" s="19">
        <v>39.031534000000001</v>
      </c>
      <c r="L62" s="19">
        <v>68.241343000000001</v>
      </c>
      <c r="M62" s="19">
        <v>43.938073000000003</v>
      </c>
      <c r="N62" s="19">
        <v>13.035259</v>
      </c>
      <c r="O62" s="19">
        <v>12.999604</v>
      </c>
      <c r="P62" s="19">
        <v>44.607782</v>
      </c>
      <c r="Q62" s="19">
        <v>402.12394699999999</v>
      </c>
      <c r="R62" s="19">
        <v>204.42300900000001</v>
      </c>
      <c r="S62" s="19">
        <v>1589.284339</v>
      </c>
      <c r="T62" s="19">
        <v>1590.4124474081787</v>
      </c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>
        <v>1.6306574533784877</v>
      </c>
      <c r="AQ62" s="19">
        <v>1.0659229288172529</v>
      </c>
      <c r="AR62" s="19"/>
      <c r="AS62" s="19"/>
      <c r="AT62" s="19"/>
      <c r="AU62" s="19">
        <v>0.86247758928191076</v>
      </c>
      <c r="AV62" s="19">
        <v>0.17225959342564523</v>
      </c>
      <c r="AW62" s="19">
        <v>0.5719631572901489</v>
      </c>
      <c r="AX62" s="19">
        <v>0.98498672272026444</v>
      </c>
      <c r="AY62" s="19">
        <v>0.29221939346816211</v>
      </c>
      <c r="AZ62" s="19">
        <v>0.29142009347158304</v>
      </c>
      <c r="BA62" s="19"/>
      <c r="BB62" s="19"/>
      <c r="BC62" s="19"/>
      <c r="BD62" s="19"/>
      <c r="BE62" s="19"/>
      <c r="BF62" s="19"/>
      <c r="BG62" s="19"/>
      <c r="BH62" s="19"/>
      <c r="BI62" s="19"/>
    </row>
    <row r="63" spans="1:61" x14ac:dyDescent="0.55000000000000004">
      <c r="A63" s="19" t="s">
        <v>123</v>
      </c>
      <c r="B63" s="19" t="s">
        <v>124</v>
      </c>
      <c r="C63" s="19" t="s">
        <v>8</v>
      </c>
      <c r="D63" s="19" t="s">
        <v>9</v>
      </c>
      <c r="E63" s="19">
        <v>1848</v>
      </c>
      <c r="F63" s="19">
        <v>74.656267999999997</v>
      </c>
      <c r="G63" s="19">
        <v>69.104527000000004</v>
      </c>
      <c r="H63" s="19">
        <v>127705.16589600001</v>
      </c>
      <c r="I63" s="19">
        <v>65.398635999999996</v>
      </c>
      <c r="J63" s="19">
        <v>11.191756</v>
      </c>
      <c r="K63" s="19">
        <v>23.246921</v>
      </c>
      <c r="L63" s="19">
        <v>67.279351000000005</v>
      </c>
      <c r="M63" s="19">
        <v>50.292898999999998</v>
      </c>
      <c r="N63" s="19">
        <v>19.903020999999999</v>
      </c>
      <c r="O63" s="19">
        <v>19.528345000000002</v>
      </c>
      <c r="P63" s="19">
        <v>54.958218000000002</v>
      </c>
      <c r="Q63" s="19">
        <v>1241.303723</v>
      </c>
      <c r="R63" s="19">
        <v>129.12047699999999</v>
      </c>
      <c r="S63" s="19">
        <v>1347.2696780000001</v>
      </c>
      <c r="T63" s="19">
        <v>1414.9342248647959</v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>
        <v>0.97358818475090647</v>
      </c>
      <c r="AQ63" s="19">
        <v>0.79529113917529592</v>
      </c>
      <c r="AR63" s="19"/>
      <c r="AS63" s="19"/>
      <c r="AT63" s="19"/>
      <c r="AU63" s="19">
        <v>0.97204617803165183</v>
      </c>
      <c r="AV63" s="19">
        <v>0.16634756182472685</v>
      </c>
      <c r="AW63" s="19">
        <v>0.34552831819082203</v>
      </c>
      <c r="AX63" s="19">
        <v>0.91511153072685136</v>
      </c>
      <c r="AY63" s="19">
        <v>0.36214822321931905</v>
      </c>
      <c r="AZ63" s="19">
        <v>0.3553307532642343</v>
      </c>
      <c r="BA63" s="19"/>
      <c r="BB63" s="19"/>
      <c r="BC63" s="19"/>
      <c r="BD63" s="19"/>
      <c r="BE63" s="19"/>
      <c r="BF63" s="19"/>
      <c r="BG63" s="19"/>
      <c r="BH63" s="19"/>
      <c r="BI63" s="19"/>
    </row>
    <row r="64" spans="1:61" x14ac:dyDescent="0.55000000000000004">
      <c r="A64" s="19" t="s">
        <v>125</v>
      </c>
      <c r="B64" s="19" t="s">
        <v>126</v>
      </c>
      <c r="C64" s="19" t="s">
        <v>8</v>
      </c>
      <c r="D64" s="19" t="s">
        <v>9</v>
      </c>
      <c r="E64" s="19">
        <v>1944</v>
      </c>
      <c r="F64" s="19">
        <v>70.100941000000006</v>
      </c>
      <c r="G64" s="19">
        <v>47.220022999999998</v>
      </c>
      <c r="H64" s="19">
        <v>91795.724711999996</v>
      </c>
      <c r="I64" s="19">
        <v>41.249043</v>
      </c>
      <c r="J64" s="19">
        <v>23.047993000000002</v>
      </c>
      <c r="K64" s="19">
        <v>28.431498000000001</v>
      </c>
      <c r="L64" s="19">
        <v>49.788207</v>
      </c>
      <c r="M64" s="19">
        <v>40.724356999999998</v>
      </c>
      <c r="N64" s="19">
        <v>18.497012000000002</v>
      </c>
      <c r="O64" s="19">
        <v>15.129522</v>
      </c>
      <c r="P64" s="19">
        <v>43.269088000000004</v>
      </c>
      <c r="Q64" s="19">
        <v>382.09536000000003</v>
      </c>
      <c r="R64" s="19">
        <v>1957.7149179999999</v>
      </c>
      <c r="S64" s="19">
        <v>1673.774707</v>
      </c>
      <c r="T64" s="19">
        <v>1990.3032478195694</v>
      </c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>
        <v>1.05438760586796</v>
      </c>
      <c r="AQ64" s="19">
        <v>0.91632924448173192</v>
      </c>
      <c r="AR64" s="19"/>
      <c r="AS64" s="19"/>
      <c r="AT64" s="19"/>
      <c r="AU64" s="19">
        <v>0.82849022861980148</v>
      </c>
      <c r="AV64" s="19">
        <v>0.46292072739233214</v>
      </c>
      <c r="AW64" s="19">
        <v>0.57104884295190628</v>
      </c>
      <c r="AX64" s="19">
        <v>0.94118824505845822</v>
      </c>
      <c r="AY64" s="19">
        <v>0.42748791007566417</v>
      </c>
      <c r="AZ64" s="19">
        <v>0.34966121772661346</v>
      </c>
      <c r="BA64" s="19"/>
      <c r="BB64" s="19"/>
      <c r="BC64" s="19"/>
      <c r="BD64" s="19"/>
      <c r="BE64" s="19"/>
      <c r="BF64" s="19"/>
      <c r="BG64" s="19"/>
      <c r="BH64" s="19"/>
      <c r="BI64" s="19"/>
    </row>
    <row r="65" spans="1:61" x14ac:dyDescent="0.55000000000000004">
      <c r="A65" s="19" t="s">
        <v>127</v>
      </c>
      <c r="B65" s="19" t="s">
        <v>128</v>
      </c>
      <c r="C65" s="19" t="s">
        <v>8</v>
      </c>
      <c r="D65" s="19" t="s">
        <v>9</v>
      </c>
      <c r="E65" s="19">
        <v>1635</v>
      </c>
      <c r="F65" s="19">
        <v>66.371138000000002</v>
      </c>
      <c r="G65" s="19">
        <v>44.390748000000002</v>
      </c>
      <c r="H65" s="19">
        <v>72578.87298</v>
      </c>
      <c r="I65" s="19">
        <v>34.769070999999997</v>
      </c>
      <c r="J65" s="19">
        <v>17.470614000000001</v>
      </c>
      <c r="K65" s="19">
        <v>15.306407</v>
      </c>
      <c r="L65" s="19">
        <v>39.275236</v>
      </c>
      <c r="M65" s="19">
        <v>31.322931000000001</v>
      </c>
      <c r="N65" s="19">
        <v>8.3944880000000008</v>
      </c>
      <c r="O65" s="19">
        <v>11.565046000000001</v>
      </c>
      <c r="P65" s="19">
        <v>33.22842</v>
      </c>
      <c r="Q65" s="19">
        <v>900.25824899999998</v>
      </c>
      <c r="R65" s="19">
        <v>65.383041000000006</v>
      </c>
      <c r="S65" s="19">
        <v>586.80460200000005</v>
      </c>
      <c r="T65" s="19">
        <v>1017.4440533191572</v>
      </c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>
        <v>0.88476175260664669</v>
      </c>
      <c r="AQ65" s="19">
        <v>0.7485438181848163</v>
      </c>
      <c r="AR65" s="19"/>
      <c r="AS65" s="19"/>
      <c r="AT65" s="19"/>
      <c r="AU65" s="19">
        <v>0.88526701660048579</v>
      </c>
      <c r="AV65" s="19">
        <v>0.44482518195434906</v>
      </c>
      <c r="AW65" s="19">
        <v>0.38972157926689482</v>
      </c>
      <c r="AX65" s="19">
        <v>0.94265484184923631</v>
      </c>
      <c r="AY65" s="19">
        <v>0.25262976692843059</v>
      </c>
      <c r="AZ65" s="19">
        <v>0.34804682256935482</v>
      </c>
      <c r="BA65" s="19"/>
      <c r="BB65" s="19"/>
      <c r="BC65" s="19"/>
      <c r="BD65" s="19"/>
      <c r="BE65" s="19"/>
      <c r="BF65" s="19"/>
      <c r="BG65" s="19"/>
      <c r="BH65" s="19"/>
      <c r="BI65" s="19"/>
    </row>
    <row r="66" spans="1:61" x14ac:dyDescent="0.55000000000000004">
      <c r="A66" s="19" t="s">
        <v>129</v>
      </c>
      <c r="B66" s="19" t="s">
        <v>130</v>
      </c>
      <c r="C66" s="19" t="s">
        <v>8</v>
      </c>
      <c r="D66" s="19" t="s">
        <v>9</v>
      </c>
      <c r="E66" s="19">
        <v>1708</v>
      </c>
      <c r="F66" s="19">
        <v>68.438992999999996</v>
      </c>
      <c r="G66" s="19">
        <v>40.331533999999998</v>
      </c>
      <c r="H66" s="19">
        <v>68886.26007199999</v>
      </c>
      <c r="I66" s="19">
        <v>46.803669999999997</v>
      </c>
      <c r="J66" s="19">
        <v>13.620995000000001</v>
      </c>
      <c r="K66" s="19">
        <v>19.215561000000001</v>
      </c>
      <c r="L66" s="19">
        <v>50.786650999999999</v>
      </c>
      <c r="M66" s="19">
        <v>43.057043</v>
      </c>
      <c r="N66" s="19">
        <v>14.413501999999999</v>
      </c>
      <c r="O66" s="19">
        <v>9.6825500000000009</v>
      </c>
      <c r="P66" s="19">
        <v>45.656779</v>
      </c>
      <c r="Q66" s="19">
        <v>783.54453699999999</v>
      </c>
      <c r="R66" s="19">
        <v>1805.765218</v>
      </c>
      <c r="S66" s="19">
        <v>1190.255797</v>
      </c>
      <c r="T66" s="19">
        <v>1874.7397920431647</v>
      </c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>
        <v>1.2592293414874822</v>
      </c>
      <c r="AQ66" s="19">
        <v>1.132036758135706</v>
      </c>
      <c r="AR66" s="19"/>
      <c r="AS66" s="19"/>
      <c r="AT66" s="19"/>
      <c r="AU66" s="19">
        <v>0.92157425383296088</v>
      </c>
      <c r="AV66" s="19">
        <v>0.26820029932668726</v>
      </c>
      <c r="AW66" s="19">
        <v>0.37835849818094919</v>
      </c>
      <c r="AX66" s="19">
        <v>0.94305914571853611</v>
      </c>
      <c r="AY66" s="19">
        <v>0.31569248457058258</v>
      </c>
      <c r="AZ66" s="19">
        <v>0.21207255991492524</v>
      </c>
      <c r="BA66" s="19"/>
      <c r="BB66" s="19"/>
      <c r="BC66" s="19"/>
      <c r="BD66" s="19"/>
      <c r="BE66" s="19"/>
      <c r="BF66" s="19"/>
      <c r="BG66" s="19"/>
      <c r="BH66" s="19"/>
      <c r="BI66" s="19"/>
    </row>
    <row r="67" spans="1:61" x14ac:dyDescent="0.55000000000000004">
      <c r="A67" s="19" t="s">
        <v>131</v>
      </c>
      <c r="B67" s="19" t="s">
        <v>130</v>
      </c>
      <c r="C67" s="19" t="s">
        <v>8</v>
      </c>
      <c r="D67" s="19" t="s">
        <v>9</v>
      </c>
      <c r="E67" s="19">
        <v>1727</v>
      </c>
      <c r="F67" s="19">
        <v>69.675449999999998</v>
      </c>
      <c r="G67" s="19">
        <v>39.590502999999998</v>
      </c>
      <c r="H67" s="19">
        <v>68372.798681</v>
      </c>
      <c r="I67" s="19">
        <v>44.561278999999999</v>
      </c>
      <c r="J67" s="19">
        <v>17.650365000000001</v>
      </c>
      <c r="K67" s="19">
        <v>40.389935000000001</v>
      </c>
      <c r="L67" s="19">
        <v>49.080525999999999</v>
      </c>
      <c r="M67" s="19">
        <v>35.029707999999999</v>
      </c>
      <c r="N67" s="19">
        <v>16.400908000000001</v>
      </c>
      <c r="O67" s="19">
        <v>16.588564000000002</v>
      </c>
      <c r="P67" s="19">
        <v>36.843257999999999</v>
      </c>
      <c r="Q67" s="19">
        <v>727.00556800000004</v>
      </c>
      <c r="R67" s="19">
        <v>3552.5014000000001</v>
      </c>
      <c r="S67" s="19">
        <v>1226.253565</v>
      </c>
      <c r="T67" s="19">
        <v>3616.7076144675093</v>
      </c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>
        <v>1.2397045321702531</v>
      </c>
      <c r="AQ67" s="19">
        <v>0.93060848456509881</v>
      </c>
      <c r="AR67" s="19"/>
      <c r="AS67" s="19"/>
      <c r="AT67" s="19"/>
      <c r="AU67" s="19">
        <v>0.90792178959125258</v>
      </c>
      <c r="AV67" s="19">
        <v>0.35962053462915211</v>
      </c>
      <c r="AW67" s="19">
        <v>0.82293199139715822</v>
      </c>
      <c r="AX67" s="19">
        <v>0.95077661155807669</v>
      </c>
      <c r="AY67" s="19">
        <v>0.44515357463772615</v>
      </c>
      <c r="AZ67" s="19">
        <v>0.45024693527374809</v>
      </c>
      <c r="BA67" s="19"/>
      <c r="BB67" s="19"/>
      <c r="BC67" s="19"/>
      <c r="BD67" s="19"/>
      <c r="BE67" s="19"/>
      <c r="BF67" s="19"/>
      <c r="BG67" s="19"/>
      <c r="BH67" s="19"/>
      <c r="BI67" s="19"/>
    </row>
    <row r="68" spans="1:61" x14ac:dyDescent="0.55000000000000004">
      <c r="A68" s="19" t="s">
        <v>132</v>
      </c>
      <c r="B68" s="19" t="s">
        <v>133</v>
      </c>
      <c r="C68" s="19" t="s">
        <v>134</v>
      </c>
      <c r="D68" s="19" t="s">
        <v>9</v>
      </c>
      <c r="E68" s="19">
        <v>1570</v>
      </c>
      <c r="F68" s="19">
        <v>70.529728000000006</v>
      </c>
      <c r="G68" s="19">
        <v>114.078401</v>
      </c>
      <c r="H68" s="19">
        <v>179103.08957000001</v>
      </c>
      <c r="I68" s="19">
        <v>60.011248999999999</v>
      </c>
      <c r="J68" s="19">
        <v>16.084958</v>
      </c>
      <c r="K68" s="19">
        <v>27.389147000000001</v>
      </c>
      <c r="L68" s="19">
        <v>61.970931999999998</v>
      </c>
      <c r="M68" s="19">
        <v>46.511650000000003</v>
      </c>
      <c r="N68" s="19">
        <v>17.561026999999999</v>
      </c>
      <c r="O68" s="19">
        <v>11.330863000000001</v>
      </c>
      <c r="P68" s="19">
        <v>49.025531000000001</v>
      </c>
      <c r="Q68" s="19">
        <v>556.78175099999999</v>
      </c>
      <c r="R68" s="19">
        <v>1765.1021350000001</v>
      </c>
      <c r="S68" s="19">
        <v>1607.094918</v>
      </c>
      <c r="T68" s="19">
        <v>1777.6920132616085</v>
      </c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>
        <v>0.54323107141026628</v>
      </c>
      <c r="AQ68" s="19">
        <v>0.42975296436702337</v>
      </c>
      <c r="AR68" s="19"/>
      <c r="AS68" s="19"/>
      <c r="AT68" s="19"/>
      <c r="AU68" s="19">
        <v>0.96837738377082982</v>
      </c>
      <c r="AV68" s="19">
        <v>0.25955649658456004</v>
      </c>
      <c r="AW68" s="19">
        <v>0.44196764702522146</v>
      </c>
      <c r="AX68" s="19">
        <v>0.94872302352013282</v>
      </c>
      <c r="AY68" s="19">
        <v>0.35820166843271922</v>
      </c>
      <c r="AZ68" s="19">
        <v>0.2311216782129295</v>
      </c>
      <c r="BA68" s="19"/>
      <c r="BB68" s="19"/>
      <c r="BC68" s="19"/>
      <c r="BD68" s="19"/>
      <c r="BE68" s="19"/>
      <c r="BF68" s="19"/>
      <c r="BG68" s="19"/>
      <c r="BH68" s="19"/>
      <c r="BI68" s="19"/>
    </row>
    <row r="69" spans="1:61" x14ac:dyDescent="0.55000000000000004">
      <c r="A69" s="19" t="s">
        <v>135</v>
      </c>
      <c r="B69" s="19" t="s">
        <v>136</v>
      </c>
      <c r="C69" s="19" t="s">
        <v>8</v>
      </c>
      <c r="D69" s="19" t="s">
        <v>9</v>
      </c>
      <c r="E69" s="19">
        <v>1660</v>
      </c>
      <c r="F69" s="19">
        <v>80.685102000000001</v>
      </c>
      <c r="G69" s="19">
        <v>82.883977999999999</v>
      </c>
      <c r="H69" s="19">
        <v>137587.40348000001</v>
      </c>
      <c r="I69" s="19">
        <v>39.693404000000001</v>
      </c>
      <c r="J69" s="19">
        <v>11.970751999999999</v>
      </c>
      <c r="K69" s="19">
        <v>18.912638999999999</v>
      </c>
      <c r="L69" s="19">
        <v>43.256174000000001</v>
      </c>
      <c r="M69" s="19">
        <v>37.433568999999999</v>
      </c>
      <c r="N69" s="19">
        <v>16.462394</v>
      </c>
      <c r="O69" s="19">
        <v>6.5055110000000003</v>
      </c>
      <c r="P69" s="19">
        <v>40.625788</v>
      </c>
      <c r="Q69" s="19">
        <v>395.74847999999997</v>
      </c>
      <c r="R69" s="19">
        <v>486.70657199999999</v>
      </c>
      <c r="S69" s="19">
        <v>814.37340700000004</v>
      </c>
      <c r="T69" s="19">
        <v>822.10405879558937</v>
      </c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>
        <v>0.52188824720743976</v>
      </c>
      <c r="AQ69" s="19">
        <v>0.49015248761346858</v>
      </c>
      <c r="AR69" s="19"/>
      <c r="AS69" s="19"/>
      <c r="AT69" s="19"/>
      <c r="AU69" s="19">
        <v>0.91763557266992679</v>
      </c>
      <c r="AV69" s="19">
        <v>0.2767408879019212</v>
      </c>
      <c r="AW69" s="19">
        <v>0.43722403650401437</v>
      </c>
      <c r="AX69" s="19">
        <v>0.92142382567447056</v>
      </c>
      <c r="AY69" s="19">
        <v>0.40522029997301223</v>
      </c>
      <c r="AZ69" s="19">
        <v>0.16013254930587439</v>
      </c>
      <c r="BA69" s="19"/>
      <c r="BB69" s="19"/>
      <c r="BC69" s="19"/>
      <c r="BD69" s="19"/>
      <c r="BE69" s="19"/>
      <c r="BF69" s="19"/>
      <c r="BG69" s="19"/>
      <c r="BH69" s="19"/>
      <c r="BI69" s="19"/>
    </row>
    <row r="70" spans="1:61" x14ac:dyDescent="0.55000000000000004">
      <c r="A70" s="19" t="s">
        <v>137</v>
      </c>
      <c r="B70" s="19" t="s">
        <v>138</v>
      </c>
      <c r="C70" s="19" t="s">
        <v>8</v>
      </c>
      <c r="D70" s="19" t="s">
        <v>9</v>
      </c>
      <c r="E70" s="19">
        <v>1359</v>
      </c>
      <c r="F70" s="19">
        <v>68.985742000000002</v>
      </c>
      <c r="G70" s="19">
        <v>43.228679</v>
      </c>
      <c r="H70" s="19">
        <v>58747.774761000001</v>
      </c>
      <c r="I70" s="19">
        <v>49.603811</v>
      </c>
      <c r="J70" s="19">
        <v>10.864182</v>
      </c>
      <c r="K70" s="19">
        <v>27.304068000000001</v>
      </c>
      <c r="L70" s="19">
        <v>56.354346</v>
      </c>
      <c r="M70" s="19">
        <v>43.346476000000003</v>
      </c>
      <c r="N70" s="19">
        <v>10.782861</v>
      </c>
      <c r="O70" s="19">
        <v>7.7435650000000003</v>
      </c>
      <c r="P70" s="19">
        <v>43.922182999999997</v>
      </c>
      <c r="Q70" s="19">
        <v>589.95522500000004</v>
      </c>
      <c r="R70" s="19">
        <v>157.434774</v>
      </c>
      <c r="S70" s="19">
        <v>1240.63679</v>
      </c>
      <c r="T70" s="19">
        <v>1348.6421676897019</v>
      </c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>
        <v>1.3036333125053394</v>
      </c>
      <c r="AQ70" s="19">
        <v>1.0160426831456033</v>
      </c>
      <c r="AR70" s="19"/>
      <c r="AS70" s="19"/>
      <c r="AT70" s="19"/>
      <c r="AU70" s="19">
        <v>0.88021269912350686</v>
      </c>
      <c r="AV70" s="19">
        <v>0.19278339242904174</v>
      </c>
      <c r="AW70" s="19">
        <v>0.48450687370234058</v>
      </c>
      <c r="AX70" s="19">
        <v>0.98689256861390529</v>
      </c>
      <c r="AY70" s="19">
        <v>0.24549920480956061</v>
      </c>
      <c r="AZ70" s="19">
        <v>0.176301915594678</v>
      </c>
      <c r="BA70" s="19"/>
      <c r="BB70" s="19"/>
      <c r="BC70" s="19"/>
      <c r="BD70" s="19"/>
      <c r="BE70" s="19"/>
      <c r="BF70" s="19"/>
      <c r="BG70" s="19"/>
      <c r="BH70" s="19"/>
      <c r="BI70" s="19"/>
    </row>
    <row r="71" spans="1:61" x14ac:dyDescent="0.55000000000000004">
      <c r="A71" s="19" t="s">
        <v>139</v>
      </c>
      <c r="B71" s="19" t="s">
        <v>140</v>
      </c>
      <c r="C71" s="19" t="s">
        <v>8</v>
      </c>
      <c r="D71" s="19" t="s">
        <v>9</v>
      </c>
      <c r="E71" s="19">
        <v>1682</v>
      </c>
      <c r="F71" s="19">
        <v>66.160422999999994</v>
      </c>
      <c r="G71" s="19">
        <v>60.098872999999998</v>
      </c>
      <c r="H71" s="19">
        <v>101086.30438599999</v>
      </c>
      <c r="I71" s="19">
        <v>48.082808999999997</v>
      </c>
      <c r="J71" s="19">
        <v>15.335775999999999</v>
      </c>
      <c r="K71" s="19">
        <v>31.864013</v>
      </c>
      <c r="L71" s="19">
        <v>57.139176999999997</v>
      </c>
      <c r="M71" s="19">
        <v>40.526927000000001</v>
      </c>
      <c r="N71" s="19">
        <v>13.484173999999999</v>
      </c>
      <c r="O71" s="19">
        <v>21.555097</v>
      </c>
      <c r="P71" s="19">
        <v>42.88494</v>
      </c>
      <c r="Q71" s="19">
        <v>492.67235399999998</v>
      </c>
      <c r="R71" s="19">
        <v>766.24545799999999</v>
      </c>
      <c r="S71" s="19">
        <v>1815.055912</v>
      </c>
      <c r="T71" s="19">
        <v>1851.2312641853382</v>
      </c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>
        <v>0.95075288683034043</v>
      </c>
      <c r="AQ71" s="19">
        <v>0.71357311475707708</v>
      </c>
      <c r="AR71" s="19"/>
      <c r="AS71" s="19"/>
      <c r="AT71" s="19"/>
      <c r="AU71" s="19">
        <v>0.84150335241965424</v>
      </c>
      <c r="AV71" s="19">
        <v>0.26839336520370255</v>
      </c>
      <c r="AW71" s="19">
        <v>0.55765614194968194</v>
      </c>
      <c r="AX71" s="19">
        <v>0.94501535970436246</v>
      </c>
      <c r="AY71" s="19">
        <v>0.3144267894510287</v>
      </c>
      <c r="AZ71" s="19">
        <v>0.50262625994113552</v>
      </c>
      <c r="BA71" s="19"/>
      <c r="BB71" s="19"/>
      <c r="BC71" s="19"/>
      <c r="BD71" s="19"/>
      <c r="BE71" s="19"/>
      <c r="BF71" s="19"/>
      <c r="BG71" s="19"/>
      <c r="BH71" s="19"/>
      <c r="BI71" s="19"/>
    </row>
    <row r="72" spans="1:61" x14ac:dyDescent="0.55000000000000004">
      <c r="A72" s="19" t="s">
        <v>141</v>
      </c>
      <c r="B72" s="19" t="s">
        <v>142</v>
      </c>
      <c r="C72" s="19" t="s">
        <v>8</v>
      </c>
      <c r="D72" s="19" t="s">
        <v>9</v>
      </c>
      <c r="E72" s="19">
        <v>1646</v>
      </c>
      <c r="F72" s="19">
        <v>70.760062999999988</v>
      </c>
      <c r="G72" s="19">
        <v>44.430098999999998</v>
      </c>
      <c r="H72" s="19">
        <v>73131.942953999998</v>
      </c>
      <c r="I72" s="19">
        <v>54.248265000000004</v>
      </c>
      <c r="J72" s="19">
        <v>23.922077999999999</v>
      </c>
      <c r="K72" s="19">
        <v>30.100014999999999</v>
      </c>
      <c r="L72" s="19">
        <v>59.129379</v>
      </c>
      <c r="M72" s="19">
        <v>44.368474999999997</v>
      </c>
      <c r="N72" s="19">
        <v>19.859249999999999</v>
      </c>
      <c r="O72" s="19">
        <v>15.141664</v>
      </c>
      <c r="P72" s="19">
        <v>48.550406000000002</v>
      </c>
      <c r="Q72" s="19">
        <v>552.91645800000003</v>
      </c>
      <c r="R72" s="19">
        <v>816.24611200000004</v>
      </c>
      <c r="S72" s="19">
        <v>1593.29838</v>
      </c>
      <c r="T72" s="19">
        <v>1596.3951309842748</v>
      </c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>
        <v>1.3308405862431232</v>
      </c>
      <c r="AQ72" s="19">
        <v>1.0927368404018187</v>
      </c>
      <c r="AR72" s="19"/>
      <c r="AS72" s="19"/>
      <c r="AT72" s="19"/>
      <c r="AU72" s="19">
        <v>0.91745027459192496</v>
      </c>
      <c r="AV72" s="19">
        <v>0.40457177810035855</v>
      </c>
      <c r="AW72" s="19">
        <v>0.50905346054792833</v>
      </c>
      <c r="AX72" s="19">
        <v>0.91386413946775225</v>
      </c>
      <c r="AY72" s="19">
        <v>0.40904395320607612</v>
      </c>
      <c r="AZ72" s="19">
        <v>0.3118751262347837</v>
      </c>
      <c r="BA72" s="19"/>
      <c r="BB72" s="19"/>
      <c r="BC72" s="19"/>
      <c r="BD72" s="19"/>
      <c r="BE72" s="19"/>
      <c r="BF72" s="19"/>
      <c r="BG72" s="19"/>
      <c r="BH72" s="19"/>
      <c r="BI72" s="19"/>
    </row>
    <row r="73" spans="1:61" x14ac:dyDescent="0.55000000000000004">
      <c r="A73" s="19" t="s">
        <v>143</v>
      </c>
      <c r="B73" s="19" t="s">
        <v>144</v>
      </c>
      <c r="C73" s="19" t="s">
        <v>8</v>
      </c>
      <c r="D73" s="19" t="s">
        <v>9</v>
      </c>
      <c r="E73" s="19">
        <v>1831</v>
      </c>
      <c r="F73" s="19">
        <v>71.013496000000004</v>
      </c>
      <c r="G73" s="19">
        <v>39.180346</v>
      </c>
      <c r="H73" s="19">
        <v>71739.213526000007</v>
      </c>
      <c r="I73" s="19">
        <v>60.162331999999999</v>
      </c>
      <c r="J73" s="19">
        <v>13.092867</v>
      </c>
      <c r="K73" s="19">
        <v>27.669260999999999</v>
      </c>
      <c r="L73" s="19">
        <v>65.717008000000007</v>
      </c>
      <c r="M73" s="19">
        <v>35.934328000000001</v>
      </c>
      <c r="N73" s="19">
        <v>16.559559</v>
      </c>
      <c r="O73" s="19">
        <v>7.5340999999999996</v>
      </c>
      <c r="P73" s="19">
        <v>38.625456999999997</v>
      </c>
      <c r="Q73" s="19">
        <v>963.73646900000006</v>
      </c>
      <c r="R73" s="19">
        <v>712.57087000000001</v>
      </c>
      <c r="S73" s="19">
        <v>806.44297800000004</v>
      </c>
      <c r="T73" s="19">
        <v>1156.3414919329643</v>
      </c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>
        <v>1.6772952438960087</v>
      </c>
      <c r="AQ73" s="19">
        <v>0.98583756764169461</v>
      </c>
      <c r="AR73" s="19"/>
      <c r="AS73" s="19"/>
      <c r="AT73" s="19"/>
      <c r="AU73" s="19">
        <v>0.91547582324502652</v>
      </c>
      <c r="AV73" s="19">
        <v>0.19923102707293064</v>
      </c>
      <c r="AW73" s="19">
        <v>0.4210365298432332</v>
      </c>
      <c r="AX73" s="19">
        <v>0.93032758162576568</v>
      </c>
      <c r="AY73" s="19">
        <v>0.42872137409273892</v>
      </c>
      <c r="AZ73" s="19">
        <v>0.19505529733926513</v>
      </c>
      <c r="BA73" s="19"/>
      <c r="BB73" s="19"/>
      <c r="BC73" s="19"/>
      <c r="BD73" s="19"/>
      <c r="BE73" s="19"/>
      <c r="BF73" s="19"/>
      <c r="BG73" s="19"/>
      <c r="BH73" s="19"/>
      <c r="BI73" s="19"/>
    </row>
    <row r="74" spans="1:61" x14ac:dyDescent="0.55000000000000004">
      <c r="A74" s="19" t="s">
        <v>145</v>
      </c>
      <c r="B74" s="19" t="s">
        <v>146</v>
      </c>
      <c r="C74" s="19" t="s">
        <v>8</v>
      </c>
      <c r="D74" s="19" t="s">
        <v>9</v>
      </c>
      <c r="E74" s="19">
        <v>1437</v>
      </c>
      <c r="F74" s="19">
        <v>69.909149999999997</v>
      </c>
      <c r="G74" s="19">
        <v>42.539641000000003</v>
      </c>
      <c r="H74" s="19">
        <v>61129.464117000003</v>
      </c>
      <c r="I74" s="19">
        <v>53.481499999999997</v>
      </c>
      <c r="J74" s="19">
        <v>13.188234</v>
      </c>
      <c r="K74" s="19">
        <v>32.630836000000002</v>
      </c>
      <c r="L74" s="19">
        <v>56.642169000000003</v>
      </c>
      <c r="M74" s="19">
        <v>43.152312000000002</v>
      </c>
      <c r="N74" s="19">
        <v>19.166146999999999</v>
      </c>
      <c r="O74" s="19">
        <v>17.858460999999998</v>
      </c>
      <c r="P74" s="19">
        <v>45.889955</v>
      </c>
      <c r="Q74" s="19">
        <v>687.07895099999996</v>
      </c>
      <c r="R74" s="19">
        <v>397.05652800000001</v>
      </c>
      <c r="S74" s="19">
        <v>1662.313619</v>
      </c>
      <c r="T74" s="19">
        <v>1690.1606287539591</v>
      </c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>
        <v>1.3315149744681671</v>
      </c>
      <c r="AQ74" s="19">
        <v>1.0787574582493538</v>
      </c>
      <c r="AR74" s="19"/>
      <c r="AS74" s="19"/>
      <c r="AT74" s="19"/>
      <c r="AU74" s="19">
        <v>0.94419936496429002</v>
      </c>
      <c r="AV74" s="19">
        <v>0.23283419813955217</v>
      </c>
      <c r="AW74" s="19">
        <v>0.57608733168392612</v>
      </c>
      <c r="AX74" s="19">
        <v>0.94034330606774408</v>
      </c>
      <c r="AY74" s="19">
        <v>0.41765451720316565</v>
      </c>
      <c r="AZ74" s="19">
        <v>0.38915838989164403</v>
      </c>
      <c r="BA74" s="19"/>
      <c r="BB74" s="19"/>
      <c r="BC74" s="19"/>
      <c r="BD74" s="19"/>
      <c r="BE74" s="19"/>
      <c r="BF74" s="19"/>
      <c r="BG74" s="19"/>
      <c r="BH74" s="19"/>
      <c r="BI74" s="19"/>
    </row>
    <row r="75" spans="1:61" x14ac:dyDescent="0.55000000000000004">
      <c r="A75" s="19" t="s">
        <v>147</v>
      </c>
      <c r="B75" s="19" t="s">
        <v>148</v>
      </c>
      <c r="C75" s="19" t="s">
        <v>51</v>
      </c>
      <c r="D75" s="19" t="s">
        <v>9</v>
      </c>
      <c r="E75" s="19">
        <v>1496</v>
      </c>
      <c r="F75" s="19">
        <v>71.182138999999992</v>
      </c>
      <c r="G75" s="19">
        <v>41.686098999999999</v>
      </c>
      <c r="H75" s="19">
        <v>62362.404104000001</v>
      </c>
      <c r="I75" s="19">
        <v>39.664653999999999</v>
      </c>
      <c r="J75" s="19">
        <v>13.345881</v>
      </c>
      <c r="K75" s="19">
        <v>24.725819999999999</v>
      </c>
      <c r="L75" s="19">
        <v>43.058025000000001</v>
      </c>
      <c r="M75" s="19">
        <v>34.418886000000001</v>
      </c>
      <c r="N75" s="19">
        <v>10.869778999999999</v>
      </c>
      <c r="O75" s="19">
        <v>10.946199</v>
      </c>
      <c r="P75" s="19">
        <v>35.963169000000001</v>
      </c>
      <c r="Q75" s="19">
        <v>441.26817299999999</v>
      </c>
      <c r="R75" s="19">
        <v>118.88718</v>
      </c>
      <c r="S75" s="19">
        <v>1213.8817670000001</v>
      </c>
      <c r="T75" s="19">
        <v>1219.0698982715026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>
        <v>1.0329108751576874</v>
      </c>
      <c r="AQ75" s="19">
        <v>0.86271370703216921</v>
      </c>
      <c r="AR75" s="19"/>
      <c r="AS75" s="19"/>
      <c r="AT75" s="19"/>
      <c r="AU75" s="19">
        <v>0.92119074202776363</v>
      </c>
      <c r="AV75" s="19">
        <v>0.30995107183852488</v>
      </c>
      <c r="AW75" s="19">
        <v>0.57424417399543981</v>
      </c>
      <c r="AX75" s="19">
        <v>0.95705931810403022</v>
      </c>
      <c r="AY75" s="19">
        <v>0.3022475299660049</v>
      </c>
      <c r="AZ75" s="19">
        <v>0.30437248174653353</v>
      </c>
      <c r="BA75" s="19"/>
      <c r="BB75" s="19"/>
      <c r="BC75" s="19"/>
      <c r="BD75" s="19"/>
      <c r="BE75" s="19"/>
      <c r="BF75" s="19"/>
      <c r="BG75" s="19"/>
      <c r="BH75" s="19"/>
      <c r="BI75" s="19"/>
    </row>
    <row r="76" spans="1:61" x14ac:dyDescent="0.55000000000000004">
      <c r="A76" s="19" t="s">
        <v>149</v>
      </c>
      <c r="B76" s="19" t="s">
        <v>150</v>
      </c>
      <c r="C76" s="19" t="s">
        <v>8</v>
      </c>
      <c r="D76" s="19" t="s">
        <v>9</v>
      </c>
      <c r="E76" s="19">
        <v>1576</v>
      </c>
      <c r="F76" s="19">
        <v>70.561540999999991</v>
      </c>
      <c r="G76" s="19">
        <v>38.266717999999997</v>
      </c>
      <c r="H76" s="19">
        <v>60308.347567999997</v>
      </c>
      <c r="I76" s="19">
        <v>63.636403999999999</v>
      </c>
      <c r="J76" s="19">
        <v>18.89791</v>
      </c>
      <c r="K76" s="19">
        <v>23.092106999999999</v>
      </c>
      <c r="L76" s="19">
        <v>66.357039</v>
      </c>
      <c r="M76" s="19">
        <v>49.588923999999999</v>
      </c>
      <c r="N76" s="19">
        <v>13.554303000000001</v>
      </c>
      <c r="O76" s="19">
        <v>20.785965999999998</v>
      </c>
      <c r="P76" s="19">
        <v>54.547466999999997</v>
      </c>
      <c r="Q76" s="19">
        <v>1347.2002070000001</v>
      </c>
      <c r="R76" s="19">
        <v>1994.0959009999999</v>
      </c>
      <c r="S76" s="19">
        <v>997.50561300000004</v>
      </c>
      <c r="T76" s="19">
        <v>1997.2562575866114</v>
      </c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>
        <v>1.7340666372276818</v>
      </c>
      <c r="AQ76" s="19">
        <v>1.4254545425087148</v>
      </c>
      <c r="AR76" s="19"/>
      <c r="AS76" s="19"/>
      <c r="AT76" s="19"/>
      <c r="AU76" s="19">
        <v>0.9590000542368986</v>
      </c>
      <c r="AV76" s="19">
        <v>0.2847913391674996</v>
      </c>
      <c r="AW76" s="19">
        <v>0.34799785144120127</v>
      </c>
      <c r="AX76" s="19">
        <v>0.90909673220939846</v>
      </c>
      <c r="AY76" s="19">
        <v>0.24848638709474816</v>
      </c>
      <c r="AZ76" s="19">
        <v>0.38106198405143177</v>
      </c>
      <c r="BA76" s="19"/>
      <c r="BB76" s="19"/>
      <c r="BC76" s="19"/>
      <c r="BD76" s="19"/>
      <c r="BE76" s="19"/>
      <c r="BF76" s="19"/>
      <c r="BG76" s="19"/>
      <c r="BH76" s="19"/>
      <c r="BI76" s="19"/>
    </row>
    <row r="77" spans="1:61" x14ac:dyDescent="0.55000000000000004">
      <c r="A77" s="19" t="s">
        <v>151</v>
      </c>
      <c r="B77" s="19" t="s">
        <v>152</v>
      </c>
      <c r="C77" s="19" t="s">
        <v>8</v>
      </c>
      <c r="D77" s="19" t="s">
        <v>9</v>
      </c>
      <c r="E77" s="19">
        <v>1274</v>
      </c>
      <c r="F77" s="19">
        <v>67.912381000000011</v>
      </c>
      <c r="G77" s="19">
        <v>49.456691999999997</v>
      </c>
      <c r="H77" s="19">
        <v>63007.825607999999</v>
      </c>
      <c r="I77" s="19">
        <v>94.929767999999996</v>
      </c>
      <c r="J77" s="19">
        <v>49.306877999999998</v>
      </c>
      <c r="K77" s="19">
        <v>23.348731000000001</v>
      </c>
      <c r="L77" s="19">
        <v>108.986136</v>
      </c>
      <c r="M77" s="19">
        <v>49.245223000000003</v>
      </c>
      <c r="N77" s="19">
        <v>22.825147000000001</v>
      </c>
      <c r="O77" s="19">
        <v>14.007049</v>
      </c>
      <c r="P77" s="19">
        <v>55.653149999999997</v>
      </c>
      <c r="Q77" s="19">
        <v>1029.3931219999999</v>
      </c>
      <c r="R77" s="19">
        <v>1914.3436119999999</v>
      </c>
      <c r="S77" s="19">
        <v>1202.849416</v>
      </c>
      <c r="T77" s="19">
        <v>1922.1668298710267</v>
      </c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>
        <v>2.2036681304928361</v>
      </c>
      <c r="AQ77" s="19">
        <v>1.1252905875710411</v>
      </c>
      <c r="AR77" s="19"/>
      <c r="AS77" s="19"/>
      <c r="AT77" s="19"/>
      <c r="AU77" s="19">
        <v>0.87102609087820115</v>
      </c>
      <c r="AV77" s="19">
        <v>0.45241422266773451</v>
      </c>
      <c r="AW77" s="19">
        <v>0.21423579050458308</v>
      </c>
      <c r="AX77" s="19">
        <v>0.88485958117375219</v>
      </c>
      <c r="AY77" s="19">
        <v>0.41013216682254289</v>
      </c>
      <c r="AZ77" s="19">
        <v>0.25168474740423502</v>
      </c>
      <c r="BA77" s="19"/>
      <c r="BB77" s="19"/>
      <c r="BC77" s="19"/>
      <c r="BD77" s="19"/>
      <c r="BE77" s="19"/>
      <c r="BF77" s="19"/>
      <c r="BG77" s="19"/>
      <c r="BH77" s="19"/>
      <c r="BI77" s="19"/>
    </row>
    <row r="78" spans="1:61" x14ac:dyDescent="0.55000000000000004">
      <c r="A78" s="19" t="s">
        <v>153</v>
      </c>
      <c r="B78" s="19" t="s">
        <v>154</v>
      </c>
      <c r="C78" s="19" t="s">
        <v>8</v>
      </c>
      <c r="D78" s="19" t="s">
        <v>9</v>
      </c>
      <c r="E78" s="19">
        <v>1185</v>
      </c>
      <c r="F78" s="19">
        <v>70.977072000000007</v>
      </c>
      <c r="G78" s="19">
        <v>40.824522000000002</v>
      </c>
      <c r="H78" s="19">
        <v>48377.058570000001</v>
      </c>
      <c r="I78" s="19">
        <v>85.686533999999995</v>
      </c>
      <c r="J78" s="19">
        <v>25.863719</v>
      </c>
      <c r="K78" s="19">
        <v>28.246866000000001</v>
      </c>
      <c r="L78" s="19">
        <v>91.740812000000005</v>
      </c>
      <c r="M78" s="19">
        <v>47.998080000000002</v>
      </c>
      <c r="N78" s="19">
        <v>22.535675000000001</v>
      </c>
      <c r="O78" s="19">
        <v>11.862192</v>
      </c>
      <c r="P78" s="19">
        <v>53.306626000000001</v>
      </c>
      <c r="Q78" s="19">
        <v>979.176558</v>
      </c>
      <c r="R78" s="19">
        <v>1051.275668</v>
      </c>
      <c r="S78" s="19">
        <v>1890.345084</v>
      </c>
      <c r="T78" s="19">
        <v>2124.1382500787986</v>
      </c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>
        <v>2.2471986812239959</v>
      </c>
      <c r="AQ78" s="19">
        <v>1.30575015673178</v>
      </c>
      <c r="AR78" s="19"/>
      <c r="AS78" s="19"/>
      <c r="AT78" s="19"/>
      <c r="AU78" s="19">
        <v>0.93400671012155412</v>
      </c>
      <c r="AV78" s="19">
        <v>0.28192162720338687</v>
      </c>
      <c r="AW78" s="19">
        <v>0.30789858280303861</v>
      </c>
      <c r="AX78" s="19">
        <v>0.90041489401336339</v>
      </c>
      <c r="AY78" s="19">
        <v>0.42275560640435206</v>
      </c>
      <c r="AZ78" s="19">
        <v>0.22252753344396622</v>
      </c>
      <c r="BA78" s="19"/>
      <c r="BB78" s="19"/>
      <c r="BC78" s="19"/>
      <c r="BD78" s="19"/>
      <c r="BE78" s="19"/>
      <c r="BF78" s="19"/>
      <c r="BG78" s="19"/>
      <c r="BH78" s="19"/>
      <c r="BI78" s="19"/>
    </row>
    <row r="79" spans="1:61" x14ac:dyDescent="0.55000000000000004">
      <c r="A79" s="19" t="s">
        <v>155</v>
      </c>
      <c r="B79" s="19" t="s">
        <v>156</v>
      </c>
      <c r="C79" s="19" t="s">
        <v>51</v>
      </c>
      <c r="D79" s="19" t="s">
        <v>9</v>
      </c>
      <c r="E79" s="19">
        <v>1274</v>
      </c>
      <c r="F79" s="19">
        <v>68.500946999999996</v>
      </c>
      <c r="G79" s="19">
        <v>39.471046000000001</v>
      </c>
      <c r="H79" s="19">
        <v>50286.112604000002</v>
      </c>
      <c r="I79" s="19">
        <v>123.99048999999999</v>
      </c>
      <c r="J79" s="19">
        <v>19.666347999999999</v>
      </c>
      <c r="K79" s="19">
        <v>37.018289000000003</v>
      </c>
      <c r="L79" s="19">
        <v>124.30309200000001</v>
      </c>
      <c r="M79" s="19">
        <v>56.298625000000001</v>
      </c>
      <c r="N79" s="19">
        <v>18.167401000000002</v>
      </c>
      <c r="O79" s="19">
        <v>17.844083000000001</v>
      </c>
      <c r="P79" s="19">
        <v>58.126106999999998</v>
      </c>
      <c r="Q79" s="19">
        <v>2036.1045779999999</v>
      </c>
      <c r="R79" s="19">
        <v>986.16382499999997</v>
      </c>
      <c r="S79" s="19">
        <v>2147.967674</v>
      </c>
      <c r="T79" s="19">
        <v>2410.5615396209814</v>
      </c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>
        <v>3.1492221412120673</v>
      </c>
      <c r="AQ79" s="19">
        <v>1.472626466499013</v>
      </c>
      <c r="AR79" s="19"/>
      <c r="AS79" s="19"/>
      <c r="AT79" s="19"/>
      <c r="AU79" s="19">
        <v>0.99748516312047963</v>
      </c>
      <c r="AV79" s="19">
        <v>0.15821286247650218</v>
      </c>
      <c r="AW79" s="19">
        <v>0.29780666276587875</v>
      </c>
      <c r="AX79" s="19">
        <v>0.96856004824131781</v>
      </c>
      <c r="AY79" s="19">
        <v>0.31255148396571619</v>
      </c>
      <c r="AZ79" s="19">
        <v>0.30698912968659681</v>
      </c>
      <c r="BA79" s="19"/>
      <c r="BB79" s="19"/>
      <c r="BC79" s="19"/>
      <c r="BD79" s="19"/>
      <c r="BE79" s="19"/>
      <c r="BF79" s="19"/>
      <c r="BG79" s="19"/>
      <c r="BH79" s="19"/>
      <c r="BI79" s="19"/>
    </row>
    <row r="80" spans="1:61" x14ac:dyDescent="0.55000000000000004">
      <c r="A80" s="19" t="s">
        <v>157</v>
      </c>
      <c r="B80" s="19" t="s">
        <v>158</v>
      </c>
      <c r="C80" s="19" t="s">
        <v>134</v>
      </c>
      <c r="D80" s="19" t="s">
        <v>9</v>
      </c>
      <c r="E80" s="19">
        <v>1220</v>
      </c>
      <c r="F80" s="19">
        <v>69.137872000000002</v>
      </c>
      <c r="G80" s="19">
        <v>35.433393000000002</v>
      </c>
      <c r="H80" s="19">
        <v>43228.739460000004</v>
      </c>
      <c r="I80" s="19">
        <v>52.011814000000001</v>
      </c>
      <c r="J80" s="19">
        <v>30.744012000000001</v>
      </c>
      <c r="K80" s="19">
        <v>22.202708000000001</v>
      </c>
      <c r="L80" s="19">
        <v>55.655042000000002</v>
      </c>
      <c r="M80" s="19">
        <v>47.317512000000001</v>
      </c>
      <c r="N80" s="19">
        <v>17.232558000000001</v>
      </c>
      <c r="O80" s="19">
        <v>12.415982</v>
      </c>
      <c r="P80" s="19">
        <v>49.794789999999999</v>
      </c>
      <c r="Q80" s="19">
        <v>508.236695</v>
      </c>
      <c r="R80" s="19">
        <v>209.31481600000001</v>
      </c>
      <c r="S80" s="19">
        <v>2306.3962230000002</v>
      </c>
      <c r="T80" s="19">
        <v>2313.3145961311252</v>
      </c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>
        <v>1.5706946834021793</v>
      </c>
      <c r="AQ80" s="19">
        <v>1.4053068527758545</v>
      </c>
      <c r="AR80" s="19"/>
      <c r="AS80" s="19"/>
      <c r="AT80" s="19"/>
      <c r="AU80" s="19">
        <v>0.93453912046279652</v>
      </c>
      <c r="AV80" s="19">
        <v>0.55240299701867079</v>
      </c>
      <c r="AW80" s="19">
        <v>0.39893434991927595</v>
      </c>
      <c r="AX80" s="19">
        <v>0.95025025710521127</v>
      </c>
      <c r="AY80" s="19">
        <v>0.34607150667770664</v>
      </c>
      <c r="AZ80" s="19">
        <v>0.24934299351398007</v>
      </c>
      <c r="BA80" s="19"/>
      <c r="BB80" s="19"/>
      <c r="BC80" s="19"/>
      <c r="BD80" s="19"/>
      <c r="BE80" s="19"/>
      <c r="BF80" s="19"/>
      <c r="BG80" s="19"/>
      <c r="BH80" s="19"/>
      <c r="BI80" s="19"/>
    </row>
    <row r="81" spans="1:61" x14ac:dyDescent="0.55000000000000004">
      <c r="A81" s="19" t="s">
        <v>159</v>
      </c>
      <c r="B81" s="19" t="s">
        <v>160</v>
      </c>
      <c r="C81" s="19" t="s">
        <v>51</v>
      </c>
      <c r="D81" s="19" t="s">
        <v>9</v>
      </c>
      <c r="E81" s="19">
        <v>1350</v>
      </c>
      <c r="F81" s="19">
        <v>69.236466000000007</v>
      </c>
      <c r="G81" s="19">
        <v>43.761474999999997</v>
      </c>
      <c r="H81" s="19">
        <v>59077.991249999999</v>
      </c>
      <c r="I81" s="19">
        <v>95.759135000000001</v>
      </c>
      <c r="J81" s="19">
        <v>11.391529999999999</v>
      </c>
      <c r="K81" s="19">
        <v>26.314336999999998</v>
      </c>
      <c r="L81" s="19">
        <v>96.515834999999996</v>
      </c>
      <c r="M81" s="19">
        <v>48.048856999999998</v>
      </c>
      <c r="N81" s="19">
        <v>10.418087999999999</v>
      </c>
      <c r="O81" s="19">
        <v>12.262968000000001</v>
      </c>
      <c r="P81" s="19">
        <v>49.229016000000001</v>
      </c>
      <c r="Q81" s="19">
        <v>1286.647095</v>
      </c>
      <c r="R81" s="19">
        <v>1004.663352</v>
      </c>
      <c r="S81" s="19">
        <v>1324.9689430000001</v>
      </c>
      <c r="T81" s="19">
        <v>1524.7068959610508</v>
      </c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>
        <v>2.2054977580166115</v>
      </c>
      <c r="AQ81" s="19">
        <v>1.1249395958431476</v>
      </c>
      <c r="AR81" s="19"/>
      <c r="AS81" s="19"/>
      <c r="AT81" s="19"/>
      <c r="AU81" s="19">
        <v>0.99215983574094346</v>
      </c>
      <c r="AV81" s="19">
        <v>0.11802757547505029</v>
      </c>
      <c r="AW81" s="19">
        <v>0.27264269122263718</v>
      </c>
      <c r="AX81" s="19">
        <v>0.9760271665799698</v>
      </c>
      <c r="AY81" s="19">
        <v>0.21162494899349601</v>
      </c>
      <c r="AZ81" s="19">
        <v>0.24910040858830085</v>
      </c>
      <c r="BA81" s="19"/>
      <c r="BB81" s="19"/>
      <c r="BC81" s="19"/>
      <c r="BD81" s="19"/>
      <c r="BE81" s="19"/>
      <c r="BF81" s="19"/>
      <c r="BG81" s="19"/>
      <c r="BH81" s="19"/>
      <c r="BI81" s="19"/>
    </row>
    <row r="82" spans="1:61" x14ac:dyDescent="0.55000000000000004">
      <c r="A82" s="19" t="s">
        <v>161</v>
      </c>
      <c r="B82" s="19" t="s">
        <v>162</v>
      </c>
      <c r="C82" s="19" t="s">
        <v>8</v>
      </c>
      <c r="D82" s="19" t="s">
        <v>9</v>
      </c>
      <c r="E82" s="19">
        <v>1269</v>
      </c>
      <c r="F82" s="19">
        <v>67.644084000000007</v>
      </c>
      <c r="G82" s="19">
        <v>38.029947</v>
      </c>
      <c r="H82" s="19">
        <v>48260.002742999997</v>
      </c>
      <c r="I82" s="19">
        <v>64.381309000000002</v>
      </c>
      <c r="J82" s="19">
        <v>25.638698000000002</v>
      </c>
      <c r="K82" s="19">
        <v>27.438127999999999</v>
      </c>
      <c r="L82" s="19">
        <v>71.823699000000005</v>
      </c>
      <c r="M82" s="19">
        <v>42.844983999999997</v>
      </c>
      <c r="N82" s="19">
        <v>21.271916000000001</v>
      </c>
      <c r="O82" s="19">
        <v>12.103039000000001</v>
      </c>
      <c r="P82" s="19">
        <v>48.419030999999997</v>
      </c>
      <c r="Q82" s="19">
        <v>692.39264000000003</v>
      </c>
      <c r="R82" s="19">
        <v>26.887169</v>
      </c>
      <c r="S82" s="19">
        <v>1233.0735239999999</v>
      </c>
      <c r="T82" s="19">
        <v>1377.4873996991887</v>
      </c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>
        <v>1.8886089691368753</v>
      </c>
      <c r="AQ82" s="19">
        <v>1.2731816586544282</v>
      </c>
      <c r="AR82" s="19"/>
      <c r="AS82" s="19"/>
      <c r="AT82" s="19"/>
      <c r="AU82" s="19">
        <v>0.89637974507550766</v>
      </c>
      <c r="AV82" s="19">
        <v>0.35696710635858508</v>
      </c>
      <c r="AW82" s="19">
        <v>0.38202053614643261</v>
      </c>
      <c r="AX82" s="19">
        <v>0.88487900552987109</v>
      </c>
      <c r="AY82" s="19">
        <v>0.43932965118612149</v>
      </c>
      <c r="AZ82" s="19">
        <v>0.24996450259403172</v>
      </c>
      <c r="BA82" s="19"/>
      <c r="BB82" s="19"/>
      <c r="BC82" s="19"/>
      <c r="BD82" s="19"/>
      <c r="BE82" s="19"/>
      <c r="BF82" s="19"/>
      <c r="BG82" s="19"/>
      <c r="BH82" s="19"/>
      <c r="BI82" s="19"/>
    </row>
    <row r="83" spans="1:61" x14ac:dyDescent="0.55000000000000004">
      <c r="A83" s="19" t="s">
        <v>163</v>
      </c>
      <c r="B83" s="19" t="s">
        <v>156</v>
      </c>
      <c r="C83" s="19" t="s">
        <v>51</v>
      </c>
      <c r="D83" s="19" t="s">
        <v>9</v>
      </c>
      <c r="E83" s="19">
        <v>1276</v>
      </c>
      <c r="F83" s="19">
        <v>68.575970999999996</v>
      </c>
      <c r="G83" s="19">
        <v>43.919885999999998</v>
      </c>
      <c r="H83" s="19">
        <v>56041.774535999997</v>
      </c>
      <c r="I83" s="19">
        <v>66.925472999999997</v>
      </c>
      <c r="J83" s="19">
        <v>23.364457999999999</v>
      </c>
      <c r="K83" s="19">
        <v>33.384943999999997</v>
      </c>
      <c r="L83" s="19">
        <v>69.812631999999994</v>
      </c>
      <c r="M83" s="19">
        <v>44.099074000000002</v>
      </c>
      <c r="N83" s="19">
        <v>17.787130000000001</v>
      </c>
      <c r="O83" s="19">
        <v>14.13494</v>
      </c>
      <c r="P83" s="19">
        <v>47.017443999999998</v>
      </c>
      <c r="Q83" s="19">
        <v>717.68921999999998</v>
      </c>
      <c r="R83" s="19">
        <v>35.619365999999999</v>
      </c>
      <c r="S83" s="19">
        <v>1666.323596</v>
      </c>
      <c r="T83" s="19">
        <v>1729.8548215418834</v>
      </c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>
        <v>1.5895449273251756</v>
      </c>
      <c r="AQ83" s="19">
        <v>1.07052745993011</v>
      </c>
      <c r="AR83" s="19"/>
      <c r="AS83" s="19"/>
      <c r="AT83" s="19"/>
      <c r="AU83" s="19">
        <v>0.95864417488227638</v>
      </c>
      <c r="AV83" s="19">
        <v>0.33467378797579211</v>
      </c>
      <c r="AW83" s="19">
        <v>0.47820778337078024</v>
      </c>
      <c r="AX83" s="19">
        <v>0.93793005846936306</v>
      </c>
      <c r="AY83" s="19">
        <v>0.37830916542379467</v>
      </c>
      <c r="AZ83" s="19">
        <v>0.3006318250732643</v>
      </c>
      <c r="BA83" s="19"/>
      <c r="BB83" s="19"/>
      <c r="BC83" s="19"/>
      <c r="BD83" s="19"/>
      <c r="BE83" s="19"/>
      <c r="BF83" s="19"/>
      <c r="BG83" s="19"/>
      <c r="BH83" s="19"/>
      <c r="BI83" s="19"/>
    </row>
    <row r="84" spans="1:61" x14ac:dyDescent="0.55000000000000004">
      <c r="A84" s="19" t="s">
        <v>164</v>
      </c>
      <c r="B84" s="19" t="s">
        <v>165</v>
      </c>
      <c r="C84" s="19" t="s">
        <v>8</v>
      </c>
      <c r="D84" s="19" t="s">
        <v>9</v>
      </c>
      <c r="E84" s="19">
        <v>1641</v>
      </c>
      <c r="F84" s="19">
        <v>69.361113999999986</v>
      </c>
      <c r="G84" s="19">
        <v>44.450902999999997</v>
      </c>
      <c r="H84" s="19">
        <v>72943.931822999992</v>
      </c>
      <c r="I84" s="19">
        <v>57.961852</v>
      </c>
      <c r="J84" s="19">
        <v>19.140422999999998</v>
      </c>
      <c r="K84" s="19">
        <v>45.628408</v>
      </c>
      <c r="L84" s="19">
        <v>73.139872999999994</v>
      </c>
      <c r="M84" s="19">
        <v>43.260854999999999</v>
      </c>
      <c r="N84" s="19">
        <v>14.620893000000001</v>
      </c>
      <c r="O84" s="19">
        <v>23.970327999999999</v>
      </c>
      <c r="P84" s="19">
        <v>49.407418999999997</v>
      </c>
      <c r="Q84" s="19">
        <v>614.28115000000003</v>
      </c>
      <c r="R84" s="19">
        <v>3925.7120129999998</v>
      </c>
      <c r="S84" s="19">
        <v>1442.407557</v>
      </c>
      <c r="T84" s="19">
        <v>3939.9839565082457</v>
      </c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>
        <v>1.6454080359177405</v>
      </c>
      <c r="AQ84" s="19">
        <v>1.111505406313118</v>
      </c>
      <c r="AR84" s="19"/>
      <c r="AS84" s="19"/>
      <c r="AT84" s="19"/>
      <c r="AU84" s="19">
        <v>0.79247952754853712</v>
      </c>
      <c r="AV84" s="19">
        <v>0.2616961475992719</v>
      </c>
      <c r="AW84" s="19">
        <v>0.62385134302871981</v>
      </c>
      <c r="AX84" s="19">
        <v>0.87559431104871122</v>
      </c>
      <c r="AY84" s="19">
        <v>0.29592505125596624</v>
      </c>
      <c r="AZ84" s="19">
        <v>0.48515644988458112</v>
      </c>
      <c r="BA84" s="19"/>
      <c r="BB84" s="19"/>
      <c r="BC84" s="19"/>
      <c r="BD84" s="19"/>
      <c r="BE84" s="19"/>
      <c r="BF84" s="19"/>
      <c r="BG84" s="19"/>
      <c r="BH84" s="19"/>
      <c r="BI84" s="19"/>
    </row>
    <row r="85" spans="1:61" x14ac:dyDescent="0.55000000000000004">
      <c r="A85" s="19" t="s">
        <v>166</v>
      </c>
      <c r="B85" s="19" t="s">
        <v>167</v>
      </c>
      <c r="C85" s="19" t="s">
        <v>8</v>
      </c>
      <c r="D85" s="19" t="s">
        <v>9</v>
      </c>
      <c r="E85" s="19">
        <v>1556</v>
      </c>
      <c r="F85" s="19">
        <v>69.952696000000003</v>
      </c>
      <c r="G85" s="19">
        <v>42.678649</v>
      </c>
      <c r="H85" s="19">
        <v>66407.977843999994</v>
      </c>
      <c r="I85" s="19">
        <v>48.530721999999997</v>
      </c>
      <c r="J85" s="19">
        <v>23.636513999999998</v>
      </c>
      <c r="K85" s="19">
        <v>20.176034999999999</v>
      </c>
      <c r="L85" s="19">
        <v>54.659689</v>
      </c>
      <c r="M85" s="19">
        <v>35.928857999999998</v>
      </c>
      <c r="N85" s="19">
        <v>22.336693</v>
      </c>
      <c r="O85" s="19">
        <v>11.074814</v>
      </c>
      <c r="P85" s="19">
        <v>37.424115999999998</v>
      </c>
      <c r="Q85" s="19">
        <v>374.70122199999997</v>
      </c>
      <c r="R85" s="19">
        <v>195.231099</v>
      </c>
      <c r="S85" s="19">
        <v>779.37420299999997</v>
      </c>
      <c r="T85" s="19">
        <v>792.83828736396993</v>
      </c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>
        <v>1.2807267868296393</v>
      </c>
      <c r="AQ85" s="19">
        <v>0.87688145892340685</v>
      </c>
      <c r="AR85" s="19"/>
      <c r="AS85" s="19"/>
      <c r="AT85" s="19"/>
      <c r="AU85" s="19">
        <v>0.88787043775532637</v>
      </c>
      <c r="AV85" s="19">
        <v>0.43243045162587729</v>
      </c>
      <c r="AW85" s="19">
        <v>0.36912092566059057</v>
      </c>
      <c r="AX85" s="19">
        <v>0.96004560268036787</v>
      </c>
      <c r="AY85" s="19">
        <v>0.59685292232420406</v>
      </c>
      <c r="AZ85" s="19">
        <v>0.29592720373141213</v>
      </c>
      <c r="BA85" s="19"/>
      <c r="BB85" s="19"/>
      <c r="BC85" s="19"/>
      <c r="BD85" s="19"/>
      <c r="BE85" s="19"/>
      <c r="BF85" s="19"/>
      <c r="BG85" s="19"/>
      <c r="BH85" s="19"/>
      <c r="BI85" s="19"/>
    </row>
    <row r="86" spans="1:61" x14ac:dyDescent="0.55000000000000004">
      <c r="A86" s="19" t="s">
        <v>168</v>
      </c>
      <c r="B86" s="19" t="s">
        <v>169</v>
      </c>
      <c r="C86" s="19" t="s">
        <v>170</v>
      </c>
      <c r="D86" s="19" t="s">
        <v>9</v>
      </c>
      <c r="E86" s="19">
        <v>1801</v>
      </c>
      <c r="F86" s="19">
        <v>70.441862</v>
      </c>
      <c r="G86" s="19">
        <v>65.586371</v>
      </c>
      <c r="H86" s="19">
        <v>118121.054171</v>
      </c>
      <c r="I86" s="19">
        <v>41.437837999999999</v>
      </c>
      <c r="J86" s="19">
        <v>40.128143999999999</v>
      </c>
      <c r="K86" s="19">
        <v>38.065764000000001</v>
      </c>
      <c r="L86" s="19">
        <v>58.504196999999998</v>
      </c>
      <c r="M86" s="19">
        <v>39.133158999999999</v>
      </c>
      <c r="N86" s="19">
        <v>12.797352</v>
      </c>
      <c r="O86" s="19">
        <v>11.703360999999999</v>
      </c>
      <c r="P86" s="19">
        <v>40.133574000000003</v>
      </c>
      <c r="Q86" s="19">
        <v>439.32342799999998</v>
      </c>
      <c r="R86" s="19">
        <v>1366.744821</v>
      </c>
      <c r="S86" s="19">
        <v>675.38193100000001</v>
      </c>
      <c r="T86" s="19">
        <v>1401.0253795823896</v>
      </c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>
        <v>0.89201759615576226</v>
      </c>
      <c r="AQ86" s="19">
        <v>0.6119194184413711</v>
      </c>
      <c r="AR86" s="19"/>
      <c r="AS86" s="19"/>
      <c r="AT86" s="19"/>
      <c r="AU86" s="19">
        <v>0.70828829596618514</v>
      </c>
      <c r="AV86" s="19">
        <v>0.68590197041760959</v>
      </c>
      <c r="AW86" s="19">
        <v>0.65065014053607129</v>
      </c>
      <c r="AX86" s="19">
        <v>0.9750728654268368</v>
      </c>
      <c r="AY86" s="19">
        <v>0.31886898485542303</v>
      </c>
      <c r="AZ86" s="19">
        <v>0.2916102363572205</v>
      </c>
      <c r="BA86" s="19"/>
      <c r="BB86" s="19"/>
      <c r="BC86" s="19"/>
      <c r="BD86" s="19"/>
      <c r="BE86" s="19"/>
      <c r="BF86" s="19"/>
      <c r="BG86" s="19"/>
      <c r="BH86" s="19"/>
      <c r="BI86" s="19"/>
    </row>
    <row r="87" spans="1:61" x14ac:dyDescent="0.55000000000000004">
      <c r="A87" s="19" t="s">
        <v>171</v>
      </c>
      <c r="B87" s="19" t="s">
        <v>172</v>
      </c>
      <c r="C87" s="19" t="s">
        <v>170</v>
      </c>
      <c r="D87" s="19" t="s">
        <v>9</v>
      </c>
      <c r="E87" s="19">
        <v>1703</v>
      </c>
      <c r="F87" s="19">
        <v>68.825180000000003</v>
      </c>
      <c r="G87" s="19">
        <v>38.133085000000001</v>
      </c>
      <c r="H87" s="19">
        <v>64940.643755000005</v>
      </c>
      <c r="I87" s="19">
        <v>45.867068000000003</v>
      </c>
      <c r="J87" s="19">
        <v>15.308636999999999</v>
      </c>
      <c r="K87" s="19">
        <v>43.755113999999999</v>
      </c>
      <c r="L87" s="19">
        <v>58.017735999999999</v>
      </c>
      <c r="M87" s="19">
        <v>57.741985999999997</v>
      </c>
      <c r="N87" s="19">
        <v>17.872131</v>
      </c>
      <c r="O87" s="19">
        <v>11.526911999999999</v>
      </c>
      <c r="P87" s="19">
        <v>58.496721000000001</v>
      </c>
      <c r="Q87" s="19">
        <v>619.175072</v>
      </c>
      <c r="R87" s="19">
        <v>56.499433000000003</v>
      </c>
      <c r="S87" s="19">
        <v>2101.7004510000002</v>
      </c>
      <c r="T87" s="19">
        <v>2182.2825386100089</v>
      </c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>
        <v>1.5214540339445393</v>
      </c>
      <c r="AQ87" s="19">
        <v>1.5340149111985038</v>
      </c>
      <c r="AR87" s="19"/>
      <c r="AS87" s="19"/>
      <c r="AT87" s="19"/>
      <c r="AU87" s="19">
        <v>0.79056976645900146</v>
      </c>
      <c r="AV87" s="19">
        <v>0.2638613302663172</v>
      </c>
      <c r="AW87" s="19">
        <v>0.75416789789935956</v>
      </c>
      <c r="AX87" s="19">
        <v>0.98709782382503108</v>
      </c>
      <c r="AY87" s="19">
        <v>0.30552363781210917</v>
      </c>
      <c r="AZ87" s="19">
        <v>0.19705227580192058</v>
      </c>
      <c r="BA87" s="19"/>
      <c r="BB87" s="19"/>
      <c r="BC87" s="19"/>
      <c r="BD87" s="19"/>
      <c r="BE87" s="19"/>
      <c r="BF87" s="19"/>
      <c r="BG87" s="19"/>
      <c r="BH87" s="19"/>
      <c r="BI87" s="19"/>
    </row>
    <row r="88" spans="1:61" x14ac:dyDescent="0.55000000000000004">
      <c r="A88" s="19" t="s">
        <v>173</v>
      </c>
      <c r="B88" s="19" t="s">
        <v>174</v>
      </c>
      <c r="C88" s="19" t="s">
        <v>170</v>
      </c>
      <c r="D88" s="19" t="s">
        <v>9</v>
      </c>
      <c r="E88" s="19">
        <v>1738</v>
      </c>
      <c r="F88" s="19">
        <v>69.147370999999993</v>
      </c>
      <c r="G88" s="19">
        <v>37.554716999999997</v>
      </c>
      <c r="H88" s="19">
        <v>65270.098145999997</v>
      </c>
      <c r="I88" s="19">
        <v>27.276893999999999</v>
      </c>
      <c r="J88" s="19">
        <v>23.334524999999999</v>
      </c>
      <c r="K88" s="19">
        <v>18.899802999999999</v>
      </c>
      <c r="L88" s="19">
        <v>32.480316999999999</v>
      </c>
      <c r="M88" s="19">
        <v>36.511960999999999</v>
      </c>
      <c r="N88" s="19">
        <v>13.488451</v>
      </c>
      <c r="O88" s="19">
        <v>6.5730279999999999</v>
      </c>
      <c r="P88" s="19">
        <v>38.335208999999999</v>
      </c>
      <c r="Q88" s="19">
        <v>312.36431800000003</v>
      </c>
      <c r="R88" s="19">
        <v>545.15104599999995</v>
      </c>
      <c r="S88" s="19">
        <v>842.77955099999997</v>
      </c>
      <c r="T88" s="19">
        <v>844.64782200071545</v>
      </c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>
        <v>0.86487982321901136</v>
      </c>
      <c r="AQ88" s="19">
        <v>1.020782795407565</v>
      </c>
      <c r="AR88" s="19"/>
      <c r="AS88" s="19"/>
      <c r="AT88" s="19"/>
      <c r="AU88" s="19">
        <v>0.83979765345270485</v>
      </c>
      <c r="AV88" s="19">
        <v>0.71842048216462906</v>
      </c>
      <c r="AW88" s="19">
        <v>0.58188480734347514</v>
      </c>
      <c r="AX88" s="19">
        <v>0.95243933585962715</v>
      </c>
      <c r="AY88" s="19">
        <v>0.35185541834400852</v>
      </c>
      <c r="AZ88" s="19">
        <v>0.17146190594656729</v>
      </c>
      <c r="BA88" s="19"/>
      <c r="BB88" s="19"/>
      <c r="BC88" s="19"/>
      <c r="BD88" s="19"/>
      <c r="BE88" s="19"/>
      <c r="BF88" s="19"/>
      <c r="BG88" s="19"/>
      <c r="BH88" s="19"/>
      <c r="BI88" s="19"/>
    </row>
    <row r="89" spans="1:61" x14ac:dyDescent="0.55000000000000004">
      <c r="A89" s="19" t="s">
        <v>175</v>
      </c>
      <c r="B89" s="19" t="s">
        <v>176</v>
      </c>
      <c r="C89" s="19" t="s">
        <v>170</v>
      </c>
      <c r="D89" s="19" t="s">
        <v>9</v>
      </c>
      <c r="E89" s="19">
        <v>1840</v>
      </c>
      <c r="F89" s="19">
        <v>71.320272000000003</v>
      </c>
      <c r="G89" s="19">
        <v>35.359814</v>
      </c>
      <c r="H89" s="19">
        <v>65062.057760000003</v>
      </c>
      <c r="I89" s="19">
        <v>43.570754000000001</v>
      </c>
      <c r="J89" s="19">
        <v>17.918248999999999</v>
      </c>
      <c r="K89" s="19">
        <v>41.27852</v>
      </c>
      <c r="L89" s="19">
        <v>51.527259999999998</v>
      </c>
      <c r="M89" s="19">
        <v>37.582534000000003</v>
      </c>
      <c r="N89" s="19">
        <v>8.3426620000000007</v>
      </c>
      <c r="O89" s="19">
        <v>15.15968</v>
      </c>
      <c r="P89" s="19">
        <v>40.038288999999999</v>
      </c>
      <c r="Q89" s="19">
        <v>358.055432</v>
      </c>
      <c r="R89" s="19">
        <v>57.088256000000001</v>
      </c>
      <c r="S89" s="19">
        <v>1570.1654900000001</v>
      </c>
      <c r="T89" s="19">
        <v>1577.0124284917731</v>
      </c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>
        <v>1.4572265566781544</v>
      </c>
      <c r="AQ89" s="19">
        <v>1.1323105093256429</v>
      </c>
      <c r="AR89" s="19"/>
      <c r="AS89" s="19"/>
      <c r="AT89" s="19"/>
      <c r="AU89" s="19">
        <v>0.84558647209263604</v>
      </c>
      <c r="AV89" s="19">
        <v>0.34774309753710947</v>
      </c>
      <c r="AW89" s="19">
        <v>0.80110062130220006</v>
      </c>
      <c r="AX89" s="19">
        <v>0.93866483655183175</v>
      </c>
      <c r="AY89" s="19">
        <v>0.20836709580671645</v>
      </c>
      <c r="AZ89" s="19">
        <v>0.37862956631338568</v>
      </c>
      <c r="BA89" s="19"/>
      <c r="BB89" s="19"/>
      <c r="BC89" s="19"/>
      <c r="BD89" s="19"/>
      <c r="BE89" s="19"/>
      <c r="BF89" s="19"/>
      <c r="BG89" s="19"/>
      <c r="BH89" s="19"/>
      <c r="BI89" s="19"/>
    </row>
    <row r="90" spans="1:61" x14ac:dyDescent="0.55000000000000004">
      <c r="A90" s="19" t="s">
        <v>177</v>
      </c>
      <c r="B90" s="19" t="s">
        <v>178</v>
      </c>
      <c r="C90" s="19" t="s">
        <v>170</v>
      </c>
      <c r="D90" s="19" t="s">
        <v>9</v>
      </c>
      <c r="E90" s="19">
        <v>1848</v>
      </c>
      <c r="F90" s="19">
        <v>67.770994000000002</v>
      </c>
      <c r="G90" s="19">
        <v>39.253399000000002</v>
      </c>
      <c r="H90" s="19">
        <v>72540.281352000005</v>
      </c>
      <c r="I90" s="19">
        <v>37.448340000000002</v>
      </c>
      <c r="J90" s="19">
        <v>34.550395000000002</v>
      </c>
      <c r="K90" s="19">
        <v>38.816215</v>
      </c>
      <c r="L90" s="19">
        <v>57.309472999999997</v>
      </c>
      <c r="M90" s="19">
        <v>37.219205000000002</v>
      </c>
      <c r="N90" s="19">
        <v>15.099638000000001</v>
      </c>
      <c r="O90" s="19">
        <v>15.293976000000001</v>
      </c>
      <c r="P90" s="19">
        <v>37.767508999999997</v>
      </c>
      <c r="Q90" s="19">
        <v>471.70165400000002</v>
      </c>
      <c r="R90" s="19">
        <v>211.23248699999999</v>
      </c>
      <c r="S90" s="19">
        <v>1565.821021</v>
      </c>
      <c r="T90" s="19">
        <v>1608.3795189784582</v>
      </c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>
        <v>1.4599875287233086</v>
      </c>
      <c r="AQ90" s="19">
        <v>0.96214620802646911</v>
      </c>
      <c r="AR90" s="19"/>
      <c r="AS90" s="19"/>
      <c r="AT90" s="19"/>
      <c r="AU90" s="19">
        <v>0.65344066241893384</v>
      </c>
      <c r="AV90" s="19">
        <v>0.60287406586342196</v>
      </c>
      <c r="AW90" s="19">
        <v>0.6773088805056714</v>
      </c>
      <c r="AX90" s="19">
        <v>0.98548212433073112</v>
      </c>
      <c r="AY90" s="19">
        <v>0.39980497522354469</v>
      </c>
      <c r="AZ90" s="19">
        <v>0.40495061509087088</v>
      </c>
      <c r="BA90" s="19"/>
      <c r="BB90" s="19"/>
      <c r="BC90" s="19"/>
      <c r="BD90" s="19"/>
      <c r="BE90" s="19"/>
      <c r="BF90" s="19"/>
      <c r="BG90" s="19"/>
      <c r="BH90" s="19"/>
      <c r="BI90" s="19"/>
    </row>
    <row r="91" spans="1:61" x14ac:dyDescent="0.55000000000000004">
      <c r="A91" s="19" t="s">
        <v>179</v>
      </c>
      <c r="B91" s="19" t="s">
        <v>180</v>
      </c>
      <c r="C91" s="19" t="s">
        <v>170</v>
      </c>
      <c r="D91" s="19" t="s">
        <v>9</v>
      </c>
      <c r="E91" s="19">
        <v>1714</v>
      </c>
      <c r="F91" s="19">
        <v>69.025403999999995</v>
      </c>
      <c r="G91" s="19">
        <v>40.878846000000003</v>
      </c>
      <c r="H91" s="19">
        <v>70066.342044000005</v>
      </c>
      <c r="I91" s="19">
        <v>71.323057000000006</v>
      </c>
      <c r="J91" s="19">
        <v>24.151206999999999</v>
      </c>
      <c r="K91" s="19">
        <v>34.648211000000003</v>
      </c>
      <c r="L91" s="19">
        <v>72.032737999999995</v>
      </c>
      <c r="M91" s="19">
        <v>56.616264999999999</v>
      </c>
      <c r="N91" s="19">
        <v>20.030314000000001</v>
      </c>
      <c r="O91" s="19">
        <v>15.578348999999999</v>
      </c>
      <c r="P91" s="19">
        <v>58.790869000000001</v>
      </c>
      <c r="Q91" s="19">
        <v>1079.465588</v>
      </c>
      <c r="R91" s="19">
        <v>40.866087999999998</v>
      </c>
      <c r="S91" s="19">
        <v>1433.3215720000001</v>
      </c>
      <c r="T91" s="19">
        <v>1534.0443971978689</v>
      </c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>
        <v>1.7621030202271364</v>
      </c>
      <c r="AQ91" s="19">
        <v>1.4381734014702861</v>
      </c>
      <c r="AR91" s="19"/>
      <c r="AS91" s="19"/>
      <c r="AT91" s="19"/>
      <c r="AU91" s="19">
        <v>0.99014779918542051</v>
      </c>
      <c r="AV91" s="19">
        <v>0.3352809801565505</v>
      </c>
      <c r="AW91" s="19">
        <v>0.48100644182093988</v>
      </c>
      <c r="AX91" s="19">
        <v>0.96301119481666442</v>
      </c>
      <c r="AY91" s="19">
        <v>0.34070450634094218</v>
      </c>
      <c r="AZ91" s="19">
        <v>0.26497905652661807</v>
      </c>
      <c r="BA91" s="19"/>
      <c r="BB91" s="19"/>
      <c r="BC91" s="19"/>
      <c r="BD91" s="19"/>
      <c r="BE91" s="19"/>
      <c r="BF91" s="19"/>
      <c r="BG91" s="19"/>
      <c r="BH91" s="19"/>
      <c r="BI91" s="19"/>
    </row>
    <row r="92" spans="1:61" x14ac:dyDescent="0.55000000000000004">
      <c r="A92" s="19" t="s">
        <v>181</v>
      </c>
      <c r="B92" s="19" t="s">
        <v>182</v>
      </c>
      <c r="C92" s="19" t="s">
        <v>170</v>
      </c>
      <c r="D92" s="19" t="s">
        <v>9</v>
      </c>
      <c r="E92" s="19">
        <v>1846</v>
      </c>
      <c r="F92" s="19">
        <v>71.045029</v>
      </c>
      <c r="G92" s="19">
        <v>36.584014000000003</v>
      </c>
      <c r="H92" s="19">
        <v>67534.089844000002</v>
      </c>
      <c r="I92" s="19">
        <v>42.479844</v>
      </c>
      <c r="J92" s="19">
        <v>17.833043</v>
      </c>
      <c r="K92" s="19">
        <v>17.798110999999999</v>
      </c>
      <c r="L92" s="19">
        <v>46.128404000000003</v>
      </c>
      <c r="M92" s="19">
        <v>40.218635999999996</v>
      </c>
      <c r="N92" s="19">
        <v>13.436438000000001</v>
      </c>
      <c r="O92" s="19">
        <v>8.1688989999999997</v>
      </c>
      <c r="P92" s="19">
        <v>41.043925999999999</v>
      </c>
      <c r="Q92" s="19">
        <v>384.77870100000001</v>
      </c>
      <c r="R92" s="19">
        <v>140.684245</v>
      </c>
      <c r="S92" s="19">
        <v>750.66677400000003</v>
      </c>
      <c r="T92" s="19">
        <v>843.38741283112461</v>
      </c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>
        <v>1.260889633379213</v>
      </c>
      <c r="AQ92" s="19">
        <v>1.1219087659435074</v>
      </c>
      <c r="AR92" s="19"/>
      <c r="AS92" s="19"/>
      <c r="AT92" s="19"/>
      <c r="AU92" s="19">
        <v>0.9209042654066244</v>
      </c>
      <c r="AV92" s="19">
        <v>0.38659570792867665</v>
      </c>
      <c r="AW92" s="19">
        <v>0.38583843048200839</v>
      </c>
      <c r="AX92" s="19">
        <v>0.9798925180792889</v>
      </c>
      <c r="AY92" s="19">
        <v>0.32736726988543935</v>
      </c>
      <c r="AZ92" s="19">
        <v>0.19902820699949611</v>
      </c>
      <c r="BA92" s="19"/>
      <c r="BB92" s="19"/>
      <c r="BC92" s="19"/>
      <c r="BD92" s="19"/>
      <c r="BE92" s="19"/>
      <c r="BF92" s="19"/>
      <c r="BG92" s="19"/>
      <c r="BH92" s="19"/>
      <c r="BI92" s="19"/>
    </row>
    <row r="93" spans="1:61" x14ac:dyDescent="0.55000000000000004">
      <c r="A93" s="19" t="s">
        <v>183</v>
      </c>
      <c r="B93" s="19" t="s">
        <v>184</v>
      </c>
      <c r="C93" s="19" t="s">
        <v>170</v>
      </c>
      <c r="D93" s="19" t="s">
        <v>9</v>
      </c>
      <c r="E93" s="19">
        <v>1846</v>
      </c>
      <c r="F93" s="19">
        <v>69.662002000000001</v>
      </c>
      <c r="G93" s="19">
        <v>39.062288000000002</v>
      </c>
      <c r="H93" s="19">
        <v>72108.983648000009</v>
      </c>
      <c r="I93" s="19">
        <v>43.146912999999998</v>
      </c>
      <c r="J93" s="19">
        <v>47.795414999999998</v>
      </c>
      <c r="K93" s="19">
        <v>20.491322</v>
      </c>
      <c r="L93" s="19">
        <v>64.516766000000004</v>
      </c>
      <c r="M93" s="19">
        <v>39.274563999999998</v>
      </c>
      <c r="N93" s="19">
        <v>14.535056000000001</v>
      </c>
      <c r="O93" s="19">
        <v>17.626667999999999</v>
      </c>
      <c r="P93" s="19">
        <v>45.127515000000002</v>
      </c>
      <c r="Q93" s="19">
        <v>840.00207499999999</v>
      </c>
      <c r="R93" s="19">
        <v>65.869129999999998</v>
      </c>
      <c r="S93" s="19">
        <v>781.35754599999996</v>
      </c>
      <c r="T93" s="19">
        <v>1123.485397798217</v>
      </c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>
        <v>1.6516381733706946</v>
      </c>
      <c r="AQ93" s="19">
        <v>1.1552706538848927</v>
      </c>
      <c r="AR93" s="19"/>
      <c r="AS93" s="19"/>
      <c r="AT93" s="19"/>
      <c r="AU93" s="19">
        <v>0.66877054872837238</v>
      </c>
      <c r="AV93" s="19">
        <v>0.74082161836816174</v>
      </c>
      <c r="AW93" s="19">
        <v>0.31761235521321696</v>
      </c>
      <c r="AX93" s="19">
        <v>0.87030194328227461</v>
      </c>
      <c r="AY93" s="19">
        <v>0.32208855284852267</v>
      </c>
      <c r="AZ93" s="19">
        <v>0.39059691188402457</v>
      </c>
      <c r="BA93" s="19"/>
      <c r="BB93" s="19"/>
      <c r="BC93" s="19"/>
      <c r="BD93" s="19"/>
      <c r="BE93" s="19"/>
      <c r="BF93" s="19"/>
      <c r="BG93" s="19"/>
      <c r="BH93" s="19"/>
      <c r="BI93" s="19"/>
    </row>
    <row r="94" spans="1:61" x14ac:dyDescent="0.55000000000000004">
      <c r="A94" s="19" t="s">
        <v>185</v>
      </c>
      <c r="B94" s="19" t="s">
        <v>186</v>
      </c>
      <c r="C94" s="19" t="s">
        <v>170</v>
      </c>
      <c r="D94" s="19" t="s">
        <v>9</v>
      </c>
      <c r="E94" s="19">
        <v>1813</v>
      </c>
      <c r="F94" s="19">
        <v>70.059420000000003</v>
      </c>
      <c r="G94" s="19">
        <v>37.021152999999998</v>
      </c>
      <c r="H94" s="19">
        <v>67119.350388999999</v>
      </c>
      <c r="I94" s="19">
        <v>33.041305999999999</v>
      </c>
      <c r="J94" s="19">
        <v>12.441371999999999</v>
      </c>
      <c r="K94" s="19">
        <v>32.915236999999998</v>
      </c>
      <c r="L94" s="19">
        <v>42.966836000000001</v>
      </c>
      <c r="M94" s="19">
        <v>33.640729</v>
      </c>
      <c r="N94" s="19">
        <v>17.099025000000001</v>
      </c>
      <c r="O94" s="19">
        <v>7.197476</v>
      </c>
      <c r="P94" s="19">
        <v>37.587572999999999</v>
      </c>
      <c r="Q94" s="19">
        <v>563.923543</v>
      </c>
      <c r="R94" s="19">
        <v>69.760138999999995</v>
      </c>
      <c r="S94" s="19">
        <v>1410.0299130000001</v>
      </c>
      <c r="T94" s="19">
        <v>1502.4659838912294</v>
      </c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>
        <v>1.1606023183556708</v>
      </c>
      <c r="AQ94" s="19">
        <v>1.0152999016535222</v>
      </c>
      <c r="AR94" s="19"/>
      <c r="AS94" s="19"/>
      <c r="AT94" s="19"/>
      <c r="AU94" s="19">
        <v>0.76899555741083658</v>
      </c>
      <c r="AV94" s="19">
        <v>0.28955755550629791</v>
      </c>
      <c r="AW94" s="19">
        <v>0.76606145725973396</v>
      </c>
      <c r="AX94" s="19">
        <v>0.8949960403136431</v>
      </c>
      <c r="AY94" s="19">
        <v>0.45491165391285043</v>
      </c>
      <c r="AZ94" s="19">
        <v>0.19148552102579222</v>
      </c>
      <c r="BA94" s="19"/>
      <c r="BB94" s="19"/>
      <c r="BC94" s="19"/>
      <c r="BD94" s="19"/>
      <c r="BE94" s="19"/>
      <c r="BF94" s="19"/>
      <c r="BG94" s="19"/>
      <c r="BH94" s="19"/>
      <c r="BI94" s="19"/>
    </row>
    <row r="95" spans="1:61" x14ac:dyDescent="0.55000000000000004">
      <c r="A95" s="19" t="s">
        <v>187</v>
      </c>
      <c r="B95" s="19" t="s">
        <v>169</v>
      </c>
      <c r="C95" s="19" t="s">
        <v>170</v>
      </c>
      <c r="D95" s="19" t="s">
        <v>9</v>
      </c>
      <c r="E95" s="19">
        <v>1780</v>
      </c>
      <c r="F95" s="19">
        <v>70.671224999999993</v>
      </c>
      <c r="G95" s="19">
        <v>49.410839000000003</v>
      </c>
      <c r="H95" s="19">
        <v>87951.293420000002</v>
      </c>
      <c r="I95" s="19">
        <v>72.663505000000001</v>
      </c>
      <c r="J95" s="19">
        <v>30.675711</v>
      </c>
      <c r="K95" s="19">
        <v>42.142113999999999</v>
      </c>
      <c r="L95" s="19">
        <v>83.131918999999996</v>
      </c>
      <c r="M95" s="19">
        <v>40.910583000000003</v>
      </c>
      <c r="N95" s="19">
        <v>16.397359000000002</v>
      </c>
      <c r="O95" s="19">
        <v>15.226737999999999</v>
      </c>
      <c r="P95" s="19">
        <v>44.626151999999998</v>
      </c>
      <c r="Q95" s="19">
        <v>535.50736300000005</v>
      </c>
      <c r="R95" s="19">
        <v>1975.3164420000001</v>
      </c>
      <c r="S95" s="19">
        <v>938.041606</v>
      </c>
      <c r="T95" s="19">
        <v>1976.141378857167</v>
      </c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>
        <v>1.682463214194764</v>
      </c>
      <c r="AQ95" s="19">
        <v>0.90316523465630683</v>
      </c>
      <c r="AR95" s="19"/>
      <c r="AS95" s="19"/>
      <c r="AT95" s="19"/>
      <c r="AU95" s="19">
        <v>0.87407467401299854</v>
      </c>
      <c r="AV95" s="19">
        <v>0.36900039562421266</v>
      </c>
      <c r="AW95" s="19">
        <v>0.50693060507841758</v>
      </c>
      <c r="AX95" s="19">
        <v>0.91674009894467268</v>
      </c>
      <c r="AY95" s="19">
        <v>0.36743833526135083</v>
      </c>
      <c r="AZ95" s="19">
        <v>0.34120660907532424</v>
      </c>
      <c r="BA95" s="19"/>
      <c r="BB95" s="19"/>
      <c r="BC95" s="19"/>
      <c r="BD95" s="19"/>
      <c r="BE95" s="19"/>
      <c r="BF95" s="19"/>
      <c r="BG95" s="19"/>
      <c r="BH95" s="19"/>
      <c r="BI95" s="19"/>
    </row>
    <row r="96" spans="1:61" x14ac:dyDescent="0.55000000000000004">
      <c r="A96" s="19" t="s">
        <v>188</v>
      </c>
      <c r="B96" s="19" t="s">
        <v>189</v>
      </c>
      <c r="C96" s="19" t="s">
        <v>170</v>
      </c>
      <c r="D96" s="19" t="s">
        <v>9</v>
      </c>
      <c r="E96" s="19">
        <v>1742</v>
      </c>
      <c r="F96" s="19">
        <v>69.348844000000014</v>
      </c>
      <c r="G96" s="19">
        <v>39.205758000000003</v>
      </c>
      <c r="H96" s="19">
        <v>68296.43043600001</v>
      </c>
      <c r="I96" s="19">
        <v>54.232410000000002</v>
      </c>
      <c r="J96" s="19">
        <v>33.615934000000003</v>
      </c>
      <c r="K96" s="19">
        <v>21.464577999999999</v>
      </c>
      <c r="L96" s="19">
        <v>55.420555999999998</v>
      </c>
      <c r="M96" s="19">
        <v>45.242601000000001</v>
      </c>
      <c r="N96" s="19">
        <v>17.118158999999999</v>
      </c>
      <c r="O96" s="19">
        <v>11.302479</v>
      </c>
      <c r="P96" s="19">
        <v>47.814003999999997</v>
      </c>
      <c r="Q96" s="19">
        <v>693.26480600000002</v>
      </c>
      <c r="R96" s="19">
        <v>110.316705</v>
      </c>
      <c r="S96" s="19">
        <v>880.06249100000002</v>
      </c>
      <c r="T96" s="19">
        <v>880.98458171046025</v>
      </c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>
        <v>1.413582055982695</v>
      </c>
      <c r="AQ96" s="19">
        <v>1.2195658607085214</v>
      </c>
      <c r="AR96" s="19"/>
      <c r="AS96" s="19"/>
      <c r="AT96" s="19"/>
      <c r="AU96" s="19">
        <v>0.97856127607236576</v>
      </c>
      <c r="AV96" s="19">
        <v>0.60656074976945384</v>
      </c>
      <c r="AW96" s="19">
        <v>0.38730354852448612</v>
      </c>
      <c r="AX96" s="19">
        <v>0.94622071391469331</v>
      </c>
      <c r="AY96" s="19">
        <v>0.35801559308858549</v>
      </c>
      <c r="AZ96" s="19">
        <v>0.23638428189364774</v>
      </c>
      <c r="BA96" s="19"/>
      <c r="BB96" s="19"/>
      <c r="BC96" s="19"/>
      <c r="BD96" s="19"/>
      <c r="BE96" s="19"/>
      <c r="BF96" s="19"/>
      <c r="BG96" s="19"/>
      <c r="BH96" s="19"/>
      <c r="BI96" s="19"/>
    </row>
    <row r="97" spans="1:61" x14ac:dyDescent="0.55000000000000004">
      <c r="A97" s="19" t="s">
        <v>190</v>
      </c>
      <c r="B97" s="19" t="s">
        <v>191</v>
      </c>
      <c r="C97" s="19" t="s">
        <v>51</v>
      </c>
      <c r="D97" s="19" t="s">
        <v>9</v>
      </c>
      <c r="E97" s="19">
        <v>1305</v>
      </c>
      <c r="F97" s="19">
        <v>68.821725999999998</v>
      </c>
      <c r="G97" s="19">
        <v>40.890487</v>
      </c>
      <c r="H97" s="19">
        <v>53362.085534999998</v>
      </c>
      <c r="I97" s="19">
        <v>58.399608999999998</v>
      </c>
      <c r="J97" s="19">
        <v>24.060089000000001</v>
      </c>
      <c r="K97" s="19">
        <v>28.566193999999999</v>
      </c>
      <c r="L97" s="19">
        <v>67.033018999999996</v>
      </c>
      <c r="M97" s="19">
        <v>62.649821000000003</v>
      </c>
      <c r="N97" s="19">
        <v>29.482861</v>
      </c>
      <c r="O97" s="19">
        <v>14.889640999999999</v>
      </c>
      <c r="P97" s="19">
        <v>68.030450999999999</v>
      </c>
      <c r="Q97" s="19">
        <v>901.11234999999999</v>
      </c>
      <c r="R97" s="19">
        <v>2205.813999</v>
      </c>
      <c r="S97" s="19">
        <v>2651.2799989999999</v>
      </c>
      <c r="T97" s="19">
        <v>2799.8810489404918</v>
      </c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>
        <v>1.639330414431112</v>
      </c>
      <c r="AQ97" s="19">
        <v>1.6637231784497943</v>
      </c>
      <c r="AR97" s="19"/>
      <c r="AS97" s="19"/>
      <c r="AT97" s="19"/>
      <c r="AU97" s="19">
        <v>0.87120660640392766</v>
      </c>
      <c r="AV97" s="19">
        <v>0.3589289182992042</v>
      </c>
      <c r="AW97" s="19">
        <v>0.42615108831663989</v>
      </c>
      <c r="AX97" s="19">
        <v>0.92090850610412689</v>
      </c>
      <c r="AY97" s="19">
        <v>0.43337741506373373</v>
      </c>
      <c r="AZ97" s="19">
        <v>0.21886729811625091</v>
      </c>
      <c r="BA97" s="19"/>
      <c r="BB97" s="19"/>
      <c r="BC97" s="19"/>
      <c r="BD97" s="19"/>
      <c r="BE97" s="19"/>
      <c r="BF97" s="19"/>
      <c r="BG97" s="19"/>
      <c r="BH97" s="19"/>
      <c r="BI97" s="19"/>
    </row>
    <row r="98" spans="1:61" x14ac:dyDescent="0.55000000000000004">
      <c r="A98" s="19" t="s">
        <v>192</v>
      </c>
      <c r="B98" s="19" t="s">
        <v>193</v>
      </c>
      <c r="C98" s="19" t="s">
        <v>8</v>
      </c>
      <c r="D98" s="19" t="s">
        <v>9</v>
      </c>
      <c r="E98" s="19">
        <v>1614</v>
      </c>
      <c r="F98" s="19">
        <v>70.809112999999996</v>
      </c>
      <c r="G98" s="19">
        <v>46.328496000000001</v>
      </c>
      <c r="H98" s="19">
        <v>74774.192544000005</v>
      </c>
      <c r="I98" s="19">
        <v>39.579349999999998</v>
      </c>
      <c r="J98" s="19">
        <v>14.608663</v>
      </c>
      <c r="K98" s="19">
        <v>28.44566</v>
      </c>
      <c r="L98" s="19">
        <v>43.056437000000003</v>
      </c>
      <c r="M98" s="19">
        <v>37.351281999999998</v>
      </c>
      <c r="N98" s="19">
        <v>18.664826000000001</v>
      </c>
      <c r="O98" s="19">
        <v>5.2363989999999996</v>
      </c>
      <c r="P98" s="19">
        <v>40.097639000000001</v>
      </c>
      <c r="Q98" s="19">
        <v>440.692992</v>
      </c>
      <c r="R98" s="19">
        <v>598.39449400000001</v>
      </c>
      <c r="S98" s="19">
        <v>1065.773291</v>
      </c>
      <c r="T98" s="19">
        <v>1066.0675741912007</v>
      </c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>
        <v>0.9293726478839287</v>
      </c>
      <c r="AQ98" s="19">
        <v>0.86550703048939903</v>
      </c>
      <c r="AR98" s="19"/>
      <c r="AS98" s="19"/>
      <c r="AT98" s="19"/>
      <c r="AU98" s="19">
        <v>0.9192435035904154</v>
      </c>
      <c r="AV98" s="19">
        <v>0.33929103330124599</v>
      </c>
      <c r="AW98" s="19">
        <v>0.66065986834906931</v>
      </c>
      <c r="AX98" s="19">
        <v>0.93150826162108935</v>
      </c>
      <c r="AY98" s="19">
        <v>0.46548441418209191</v>
      </c>
      <c r="AZ98" s="19">
        <v>0.13059120513305034</v>
      </c>
      <c r="BA98" s="19"/>
      <c r="BB98" s="19"/>
      <c r="BC98" s="19"/>
      <c r="BD98" s="19"/>
      <c r="BE98" s="19"/>
      <c r="BF98" s="19"/>
      <c r="BG98" s="19"/>
      <c r="BH98" s="19"/>
      <c r="BI98" s="19"/>
    </row>
    <row r="99" spans="1:61" x14ac:dyDescent="0.55000000000000004">
      <c r="A99" s="19" t="s">
        <v>194</v>
      </c>
      <c r="B99" s="19" t="s">
        <v>195</v>
      </c>
      <c r="C99" s="19" t="s">
        <v>8</v>
      </c>
      <c r="D99" s="19" t="s">
        <v>9</v>
      </c>
      <c r="E99" s="19">
        <v>1690</v>
      </c>
      <c r="F99" s="19">
        <v>69.357898000000006</v>
      </c>
      <c r="G99" s="19">
        <v>67.489715000000004</v>
      </c>
      <c r="H99" s="19">
        <v>114057.61835</v>
      </c>
      <c r="I99" s="19">
        <v>36.328147999999999</v>
      </c>
      <c r="J99" s="19">
        <v>30.543883999999998</v>
      </c>
      <c r="K99" s="19">
        <v>25.277135000000001</v>
      </c>
      <c r="L99" s="19">
        <v>47.056395000000002</v>
      </c>
      <c r="M99" s="19">
        <v>48.531975000000003</v>
      </c>
      <c r="N99" s="19">
        <v>24.083755</v>
      </c>
      <c r="O99" s="19">
        <v>8.5224209999999996</v>
      </c>
      <c r="P99" s="19">
        <v>52.962673000000002</v>
      </c>
      <c r="Q99" s="19">
        <v>678.71610599999997</v>
      </c>
      <c r="R99" s="19">
        <v>1334.5084750000001</v>
      </c>
      <c r="S99" s="19">
        <v>918.61694899999998</v>
      </c>
      <c r="T99" s="19">
        <v>1334.5569071253208</v>
      </c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>
        <v>0.69723801619254133</v>
      </c>
      <c r="AQ99" s="19">
        <v>0.78475176550975212</v>
      </c>
      <c r="AR99" s="19"/>
      <c r="AS99" s="19"/>
      <c r="AT99" s="19"/>
      <c r="AU99" s="19">
        <v>0.77201298569514298</v>
      </c>
      <c r="AV99" s="19">
        <v>0.64909103215407804</v>
      </c>
      <c r="AW99" s="19">
        <v>0.53716683991623249</v>
      </c>
      <c r="AX99" s="19">
        <v>0.91634300632824939</v>
      </c>
      <c r="AY99" s="19">
        <v>0.45473073082999416</v>
      </c>
      <c r="AZ99" s="19">
        <v>0.16091372503045681</v>
      </c>
      <c r="BA99" s="19"/>
      <c r="BB99" s="19"/>
      <c r="BC99" s="19"/>
      <c r="BD99" s="19"/>
      <c r="BE99" s="19"/>
      <c r="BF99" s="19"/>
      <c r="BG99" s="19"/>
      <c r="BH99" s="19"/>
      <c r="BI99" s="19"/>
    </row>
    <row r="100" spans="1:61" x14ac:dyDescent="0.55000000000000004">
      <c r="A100" s="19" t="s">
        <v>196</v>
      </c>
      <c r="B100" s="19" t="s">
        <v>197</v>
      </c>
      <c r="C100" s="19" t="s">
        <v>51</v>
      </c>
      <c r="D100" s="19" t="s">
        <v>9</v>
      </c>
      <c r="E100" s="19">
        <v>921</v>
      </c>
      <c r="F100" s="19">
        <v>63.181749000000003</v>
      </c>
      <c r="G100" s="19">
        <v>37.434941000000002</v>
      </c>
      <c r="H100" s="19">
        <v>34477.580661</v>
      </c>
      <c r="I100" s="19">
        <v>79.162150999999994</v>
      </c>
      <c r="J100" s="19">
        <v>49.703045000000003</v>
      </c>
      <c r="K100" s="19">
        <v>36.606392</v>
      </c>
      <c r="L100" s="19">
        <v>95.890521000000007</v>
      </c>
      <c r="M100" s="19">
        <v>42.300874999999998</v>
      </c>
      <c r="N100" s="19">
        <v>16.528855</v>
      </c>
      <c r="O100" s="19">
        <v>18.520121</v>
      </c>
      <c r="P100" s="19">
        <v>44.809047</v>
      </c>
      <c r="Q100" s="19">
        <v>362.65809999999999</v>
      </c>
      <c r="R100" s="19">
        <v>118.67336299999999</v>
      </c>
      <c r="S100" s="19">
        <v>1544.0206780000001</v>
      </c>
      <c r="T100" s="19">
        <v>1574.5892769077927</v>
      </c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>
        <v>2.5615245660464643</v>
      </c>
      <c r="AQ100" s="19">
        <v>1.1969845765217046</v>
      </c>
      <c r="AR100" s="19"/>
      <c r="AS100" s="19"/>
      <c r="AT100" s="19"/>
      <c r="AU100" s="19">
        <v>0.82554719876847882</v>
      </c>
      <c r="AV100" s="19">
        <v>0.51833116017796999</v>
      </c>
      <c r="AW100" s="19">
        <v>0.38175193562667153</v>
      </c>
      <c r="AX100" s="19">
        <v>0.94402532149367069</v>
      </c>
      <c r="AY100" s="19">
        <v>0.36887316527843139</v>
      </c>
      <c r="AZ100" s="19">
        <v>0.41331209297979488</v>
      </c>
      <c r="BA100" s="19"/>
      <c r="BB100" s="19"/>
      <c r="BC100" s="19"/>
      <c r="BD100" s="19"/>
      <c r="BE100" s="19"/>
      <c r="BF100" s="19"/>
      <c r="BG100" s="19"/>
      <c r="BH100" s="19"/>
      <c r="BI100" s="19"/>
    </row>
    <row r="101" spans="1:61" x14ac:dyDescent="0.55000000000000004">
      <c r="A101" s="19" t="s">
        <v>198</v>
      </c>
      <c r="B101" s="19" t="s">
        <v>199</v>
      </c>
      <c r="C101" s="19" t="s">
        <v>8</v>
      </c>
      <c r="D101" s="19" t="s">
        <v>9</v>
      </c>
      <c r="E101" s="19">
        <v>1867</v>
      </c>
      <c r="F101" s="19">
        <v>68.298819000000009</v>
      </c>
      <c r="G101" s="19">
        <v>40.779913999999998</v>
      </c>
      <c r="H101" s="19">
        <v>76136.09943799999</v>
      </c>
      <c r="I101" s="19">
        <v>112.708129</v>
      </c>
      <c r="J101" s="19">
        <v>29.535934000000001</v>
      </c>
      <c r="K101" s="19">
        <v>32.205886</v>
      </c>
      <c r="L101" s="19">
        <v>116.513921</v>
      </c>
      <c r="M101" s="19">
        <v>43.899507999999997</v>
      </c>
      <c r="N101" s="19">
        <v>19.052347000000001</v>
      </c>
      <c r="O101" s="19">
        <v>8.6277699999999999</v>
      </c>
      <c r="P101" s="19">
        <v>47.331391000000004</v>
      </c>
      <c r="Q101" s="19">
        <v>794.89956299999994</v>
      </c>
      <c r="R101" s="19">
        <v>199.16776999999999</v>
      </c>
      <c r="S101" s="19">
        <v>1301.124323</v>
      </c>
      <c r="T101" s="19">
        <v>1301.7463290455451</v>
      </c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>
        <v>2.8571399390395968</v>
      </c>
      <c r="AQ101" s="19">
        <v>1.160654507510732</v>
      </c>
      <c r="AR101" s="19"/>
      <c r="AS101" s="19"/>
      <c r="AT101" s="19"/>
      <c r="AU101" s="19">
        <v>0.96733616062925221</v>
      </c>
      <c r="AV101" s="19">
        <v>0.25349703920787287</v>
      </c>
      <c r="AW101" s="19">
        <v>0.27641234389494113</v>
      </c>
      <c r="AX101" s="19">
        <v>0.92749245421500492</v>
      </c>
      <c r="AY101" s="19">
        <v>0.40253089117959789</v>
      </c>
      <c r="AZ101" s="19">
        <v>0.18228431106113063</v>
      </c>
      <c r="BA101" s="19"/>
      <c r="BB101" s="19"/>
      <c r="BC101" s="19"/>
      <c r="BD101" s="19"/>
      <c r="BE101" s="19"/>
      <c r="BF101" s="19"/>
      <c r="BG101" s="19"/>
      <c r="BH101" s="19"/>
      <c r="BI101" s="19"/>
    </row>
    <row r="102" spans="1:61" x14ac:dyDescent="0.55000000000000004">
      <c r="A102" s="19" t="s">
        <v>200</v>
      </c>
      <c r="B102" s="19" t="s">
        <v>201</v>
      </c>
      <c r="C102" s="19" t="s">
        <v>134</v>
      </c>
      <c r="D102" s="19" t="s">
        <v>9</v>
      </c>
      <c r="E102" s="19">
        <v>1532</v>
      </c>
      <c r="F102" s="19">
        <v>69.809097869999988</v>
      </c>
      <c r="G102" s="19">
        <v>41.251159919999999</v>
      </c>
      <c r="H102" s="19">
        <v>63196.77699744</v>
      </c>
      <c r="I102" s="19">
        <v>42.43429227</v>
      </c>
      <c r="J102" s="19">
        <v>23.288087520000001</v>
      </c>
      <c r="K102" s="19">
        <v>31.18977843</v>
      </c>
      <c r="L102" s="19">
        <v>50.709054369999997</v>
      </c>
      <c r="M102" s="19">
        <v>51.649133659999997</v>
      </c>
      <c r="N102" s="19">
        <v>18.145319350000001</v>
      </c>
      <c r="O102" s="19">
        <v>19.59991419</v>
      </c>
      <c r="P102" s="19">
        <v>57.786196590000003</v>
      </c>
      <c r="Q102" s="19">
        <v>575.67063756000005</v>
      </c>
      <c r="R102" s="19">
        <v>2723.89031983</v>
      </c>
      <c r="S102" s="19">
        <v>908.51891012999999</v>
      </c>
      <c r="T102" s="19">
        <v>2726.9610851984366</v>
      </c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>
        <v>1.2292758426270209</v>
      </c>
      <c r="AQ102" s="19">
        <v>1.4008381025422572</v>
      </c>
      <c r="AR102" s="19"/>
      <c r="AS102" s="19"/>
      <c r="AT102" s="19"/>
      <c r="AU102" s="19">
        <v>0.83681884423197939</v>
      </c>
      <c r="AV102" s="19">
        <v>0.4592490987916642</v>
      </c>
      <c r="AW102" s="19">
        <v>0.61507316232763742</v>
      </c>
      <c r="AX102" s="19">
        <v>0.89379707798484809</v>
      </c>
      <c r="AY102" s="19">
        <v>0.31400784998436942</v>
      </c>
      <c r="AZ102" s="19">
        <v>0.3391798620882378</v>
      </c>
      <c r="BA102" s="19"/>
      <c r="BB102" s="19"/>
      <c r="BC102" s="19"/>
      <c r="BD102" s="19"/>
      <c r="BE102" s="19"/>
      <c r="BF102" s="19"/>
      <c r="BG102" s="19"/>
      <c r="BH102" s="19"/>
      <c r="BI102" s="19"/>
    </row>
    <row r="103" spans="1:61" x14ac:dyDescent="0.55000000000000004">
      <c r="A103" s="19" t="s">
        <v>202</v>
      </c>
      <c r="B103" s="19" t="s">
        <v>203</v>
      </c>
      <c r="C103" s="19" t="s">
        <v>51</v>
      </c>
      <c r="D103" s="19" t="s">
        <v>9</v>
      </c>
      <c r="E103" s="19">
        <v>1421</v>
      </c>
      <c r="F103" s="19">
        <v>68.748097549999997</v>
      </c>
      <c r="G103" s="19">
        <v>40.347641549999999</v>
      </c>
      <c r="H103" s="19">
        <v>57333.998642549996</v>
      </c>
      <c r="I103" s="19">
        <v>49.900566910000002</v>
      </c>
      <c r="J103" s="19">
        <v>20.9346253</v>
      </c>
      <c r="K103" s="19">
        <v>20.50703588</v>
      </c>
      <c r="L103" s="19">
        <v>52.077733979999998</v>
      </c>
      <c r="M103" s="19">
        <v>42.116314250000002</v>
      </c>
      <c r="N103" s="19">
        <v>11.37007741</v>
      </c>
      <c r="O103" s="19">
        <v>9.66058488</v>
      </c>
      <c r="P103" s="19">
        <v>44.03302188</v>
      </c>
      <c r="Q103" s="19">
        <v>409.31943209999997</v>
      </c>
      <c r="R103" s="19">
        <v>520.18921947000001</v>
      </c>
      <c r="S103" s="19">
        <v>1004.09546614</v>
      </c>
      <c r="T103" s="19">
        <v>1050.4030030035208</v>
      </c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>
        <v>1.2907256032663945</v>
      </c>
      <c r="AQ103" s="19">
        <v>1.0913406630083438</v>
      </c>
      <c r="AR103" s="19"/>
      <c r="AS103" s="19"/>
      <c r="AT103" s="19"/>
      <c r="AU103" s="19">
        <v>0.95819389778295427</v>
      </c>
      <c r="AV103" s="19">
        <v>0.40198802252109822</v>
      </c>
      <c r="AW103" s="19">
        <v>0.39377742295537571</v>
      </c>
      <c r="AX103" s="19">
        <v>0.95647113125182592</v>
      </c>
      <c r="AY103" s="19">
        <v>0.25821705902870001</v>
      </c>
      <c r="AZ103" s="19">
        <v>0.21939409260457507</v>
      </c>
      <c r="BA103" s="19"/>
      <c r="BB103" s="19"/>
      <c r="BC103" s="19"/>
      <c r="BD103" s="19"/>
      <c r="BE103" s="19"/>
      <c r="BF103" s="19"/>
      <c r="BG103" s="19"/>
      <c r="BH103" s="19"/>
      <c r="BI103" s="19"/>
    </row>
    <row r="104" spans="1:61" x14ac:dyDescent="0.55000000000000004">
      <c r="A104" s="19" t="s">
        <v>204</v>
      </c>
      <c r="B104" s="19" t="s">
        <v>205</v>
      </c>
      <c r="C104" s="19" t="s">
        <v>134</v>
      </c>
      <c r="D104" s="19" t="s">
        <v>9</v>
      </c>
      <c r="E104" s="19">
        <v>1280</v>
      </c>
      <c r="F104" s="19">
        <v>69.658742019999991</v>
      </c>
      <c r="G104" s="19">
        <v>41.165657660000001</v>
      </c>
      <c r="H104" s="19">
        <v>52692.041804799999</v>
      </c>
      <c r="I104" s="19">
        <v>45.915438960000003</v>
      </c>
      <c r="J104" s="19">
        <v>25.126135219999998</v>
      </c>
      <c r="K104" s="19">
        <v>25.03551049</v>
      </c>
      <c r="L104" s="19">
        <v>51.237937070000001</v>
      </c>
      <c r="M104" s="19">
        <v>46.563780659999999</v>
      </c>
      <c r="N104" s="19">
        <v>22.982826299999999</v>
      </c>
      <c r="O104" s="19">
        <v>10.03086884</v>
      </c>
      <c r="P104" s="19">
        <v>51.138744699999997</v>
      </c>
      <c r="Q104" s="19">
        <v>451.87083102000003</v>
      </c>
      <c r="R104" s="19">
        <v>168.16391528</v>
      </c>
      <c r="S104" s="19">
        <v>1159.15377676</v>
      </c>
      <c r="T104" s="19">
        <v>1175.7458009617544</v>
      </c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>
        <v>1.2446767519953184</v>
      </c>
      <c r="AQ104" s="19">
        <v>1.2422671616805161</v>
      </c>
      <c r="AR104" s="19"/>
      <c r="AS104" s="19"/>
      <c r="AT104" s="19"/>
      <c r="AU104" s="19">
        <v>0.8961219281188364</v>
      </c>
      <c r="AV104" s="19">
        <v>0.490381476242365</v>
      </c>
      <c r="AW104" s="19">
        <v>0.48861277252042967</v>
      </c>
      <c r="AX104" s="19">
        <v>0.91053820216279191</v>
      </c>
      <c r="AY104" s="19">
        <v>0.44942101013285141</v>
      </c>
      <c r="AZ104" s="19">
        <v>0.19615007953059904</v>
      </c>
      <c r="BA104" s="19"/>
      <c r="BB104" s="19"/>
      <c r="BC104" s="19"/>
      <c r="BD104" s="19"/>
      <c r="BE104" s="19"/>
      <c r="BF104" s="19"/>
      <c r="BG104" s="19"/>
      <c r="BH104" s="19"/>
      <c r="BI104" s="19"/>
    </row>
    <row r="105" spans="1:61" x14ac:dyDescent="0.55000000000000004">
      <c r="A105" s="19" t="s">
        <v>206</v>
      </c>
      <c r="B105" s="19" t="s">
        <v>207</v>
      </c>
      <c r="C105" s="19" t="s">
        <v>8</v>
      </c>
      <c r="D105" s="19" t="s">
        <v>9</v>
      </c>
      <c r="E105" s="19">
        <v>1464</v>
      </c>
      <c r="F105" s="19">
        <v>69.034604189999996</v>
      </c>
      <c r="G105" s="19">
        <v>38.987862890000002</v>
      </c>
      <c r="H105" s="19">
        <v>57078.231270960001</v>
      </c>
      <c r="I105" s="19">
        <v>43.288083749999998</v>
      </c>
      <c r="J105" s="19">
        <v>18.886028629999998</v>
      </c>
      <c r="K105" s="19">
        <v>16.834417179999999</v>
      </c>
      <c r="L105" s="19">
        <v>43.670112789999997</v>
      </c>
      <c r="M105" s="19">
        <v>41.320901859999999</v>
      </c>
      <c r="N105" s="19">
        <v>21.616284029999999</v>
      </c>
      <c r="O105" s="19">
        <v>10.11148796</v>
      </c>
      <c r="P105" s="19">
        <v>44.388213219999997</v>
      </c>
      <c r="Q105" s="19">
        <v>361.36288760000002</v>
      </c>
      <c r="R105" s="19">
        <v>44.297802789999999</v>
      </c>
      <c r="S105" s="19">
        <v>883.78835420999997</v>
      </c>
      <c r="T105" s="19">
        <v>887.09216483799207</v>
      </c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>
        <v>1.1200950642821961</v>
      </c>
      <c r="AQ105" s="19">
        <v>1.1385136278240358</v>
      </c>
      <c r="AR105" s="19"/>
      <c r="AS105" s="19"/>
      <c r="AT105" s="19"/>
      <c r="AU105" s="19">
        <v>0.9912519337461505</v>
      </c>
      <c r="AV105" s="19">
        <v>0.43247034237852261</v>
      </c>
      <c r="AW105" s="19">
        <v>0.38549058164683525</v>
      </c>
      <c r="AX105" s="19">
        <v>0.93089806645747208</v>
      </c>
      <c r="AY105" s="19">
        <v>0.48698252220389782</v>
      </c>
      <c r="AZ105" s="19">
        <v>0.22779668805060319</v>
      </c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spans="1:61" x14ac:dyDescent="0.55000000000000004">
      <c r="A106" s="19" t="s">
        <v>208</v>
      </c>
      <c r="B106" s="19" t="s">
        <v>209</v>
      </c>
      <c r="C106" s="19" t="s">
        <v>8</v>
      </c>
      <c r="D106" s="19" t="s">
        <v>9</v>
      </c>
      <c r="E106" s="19">
        <v>1408</v>
      </c>
      <c r="F106" s="19">
        <v>69.46606700000001</v>
      </c>
      <c r="G106" s="19">
        <v>44.345224999999999</v>
      </c>
      <c r="H106" s="19">
        <v>62438.076799999995</v>
      </c>
      <c r="I106" s="19">
        <v>58.449129999999997</v>
      </c>
      <c r="J106" s="19">
        <v>31.305821000000002</v>
      </c>
      <c r="K106" s="19">
        <v>20.955016000000001</v>
      </c>
      <c r="L106" s="19">
        <v>64.796771000000007</v>
      </c>
      <c r="M106" s="19">
        <v>53.181156000000001</v>
      </c>
      <c r="N106" s="19">
        <v>25.193693</v>
      </c>
      <c r="O106" s="19">
        <v>8.2740729999999996</v>
      </c>
      <c r="P106" s="19">
        <v>57.946269999999998</v>
      </c>
      <c r="Q106" s="19">
        <v>648.19872899999996</v>
      </c>
      <c r="R106" s="19">
        <v>451.257453</v>
      </c>
      <c r="S106" s="19">
        <v>1140.2427279999999</v>
      </c>
      <c r="T106" s="19">
        <v>1140.2618124798653</v>
      </c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>
        <v>1.4611893614250464</v>
      </c>
      <c r="AQ106" s="19">
        <v>1.3067082194306152</v>
      </c>
      <c r="AR106" s="19"/>
      <c r="AS106" s="19"/>
      <c r="AT106" s="19"/>
      <c r="AU106" s="19">
        <v>0.90203769567468095</v>
      </c>
      <c r="AV106" s="19">
        <v>0.48313859652049634</v>
      </c>
      <c r="AW106" s="19">
        <v>0.32339599144531445</v>
      </c>
      <c r="AX106" s="19">
        <v>0.91776668282531393</v>
      </c>
      <c r="AY106" s="19">
        <v>0.43477678546004772</v>
      </c>
      <c r="AZ106" s="19">
        <v>0.14278870753889766</v>
      </c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spans="1:61" x14ac:dyDescent="0.55000000000000004">
      <c r="A107" s="19" t="s">
        <v>210</v>
      </c>
      <c r="B107" s="19" t="s">
        <v>211</v>
      </c>
      <c r="C107" s="19" t="s">
        <v>134</v>
      </c>
      <c r="D107" s="19" t="s">
        <v>9</v>
      </c>
      <c r="E107" s="19">
        <v>1544</v>
      </c>
      <c r="F107" s="19">
        <v>69.982848000000004</v>
      </c>
      <c r="G107" s="19">
        <v>47.630496000000001</v>
      </c>
      <c r="H107" s="19">
        <v>73541.485824000003</v>
      </c>
      <c r="I107" s="19">
        <v>52.006805999999997</v>
      </c>
      <c r="J107" s="19">
        <v>14.151971</v>
      </c>
      <c r="K107" s="19">
        <v>28.022881000000002</v>
      </c>
      <c r="L107" s="19">
        <v>55.451762000000002</v>
      </c>
      <c r="M107" s="19">
        <v>43.331384</v>
      </c>
      <c r="N107" s="19">
        <v>9.8229290000000002</v>
      </c>
      <c r="O107" s="19">
        <v>12.751569</v>
      </c>
      <c r="P107" s="19">
        <v>43.674900999999998</v>
      </c>
      <c r="Q107" s="19">
        <v>524.08693500000004</v>
      </c>
      <c r="R107" s="19">
        <v>692.36653799999999</v>
      </c>
      <c r="S107" s="19">
        <v>1977.2500580000001</v>
      </c>
      <c r="T107" s="19">
        <v>1985.2326501167668</v>
      </c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>
        <v>1.1642071079839269</v>
      </c>
      <c r="AQ107" s="19">
        <v>0.91695247095474286</v>
      </c>
      <c r="AR107" s="19"/>
      <c r="AS107" s="19"/>
      <c r="AT107" s="19"/>
      <c r="AU107" s="19">
        <v>0.93787472434149155</v>
      </c>
      <c r="AV107" s="19">
        <v>0.25521228703246612</v>
      </c>
      <c r="AW107" s="19">
        <v>0.50535600654132506</v>
      </c>
      <c r="AX107" s="19">
        <v>0.99213468165617602</v>
      </c>
      <c r="AY107" s="19">
        <v>0.22491016064352384</v>
      </c>
      <c r="AZ107" s="19">
        <v>0.29196560743205807</v>
      </c>
      <c r="BA107" s="19"/>
      <c r="BB107" s="19"/>
      <c r="BC107" s="19"/>
      <c r="BD107" s="19"/>
      <c r="BE107" s="19"/>
      <c r="BF107" s="19"/>
      <c r="BG107" s="19"/>
      <c r="BH107" s="19"/>
      <c r="BI107" s="19"/>
    </row>
    <row r="108" spans="1:61" x14ac:dyDescent="0.55000000000000004">
      <c r="A108" s="19" t="s">
        <v>212</v>
      </c>
      <c r="B108" s="19" t="s">
        <v>213</v>
      </c>
      <c r="C108" s="19" t="s">
        <v>8</v>
      </c>
      <c r="D108" s="19" t="s">
        <v>9</v>
      </c>
      <c r="E108" s="19">
        <v>1343</v>
      </c>
      <c r="F108" s="19">
        <v>69.836522000000002</v>
      </c>
      <c r="G108" s="19">
        <v>34.060487000000002</v>
      </c>
      <c r="H108" s="19">
        <v>45743.234041000003</v>
      </c>
      <c r="I108" s="19">
        <v>45.838624000000003</v>
      </c>
      <c r="J108" s="19">
        <v>17.719550999999999</v>
      </c>
      <c r="K108" s="19">
        <v>26.788309999999999</v>
      </c>
      <c r="L108" s="19">
        <v>48.705312999999997</v>
      </c>
      <c r="M108" s="19">
        <v>36.085473999999998</v>
      </c>
      <c r="N108" s="19">
        <v>17.731026</v>
      </c>
      <c r="O108" s="19">
        <v>16.291395999999999</v>
      </c>
      <c r="P108" s="19">
        <v>36.317684999999997</v>
      </c>
      <c r="Q108" s="19">
        <v>461.53913499999999</v>
      </c>
      <c r="R108" s="19">
        <v>241.92580100000001</v>
      </c>
      <c r="S108" s="19">
        <v>1290.0123410000001</v>
      </c>
      <c r="T108" s="19">
        <v>1350.671567131466</v>
      </c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>
        <v>1.4299652556347768</v>
      </c>
      <c r="AQ108" s="19">
        <v>1.0662702796938868</v>
      </c>
      <c r="AR108" s="19"/>
      <c r="AS108" s="19"/>
      <c r="AT108" s="19"/>
      <c r="AU108" s="19">
        <v>0.94114217067037442</v>
      </c>
      <c r="AV108" s="19">
        <v>0.3638114593370953</v>
      </c>
      <c r="AW108" s="19">
        <v>0.55000796319695144</v>
      </c>
      <c r="AX108" s="19">
        <v>0.99360611779082286</v>
      </c>
      <c r="AY108" s="19">
        <v>0.48822016050857869</v>
      </c>
      <c r="AZ108" s="19">
        <v>0.44858024403262486</v>
      </c>
      <c r="BA108" s="19"/>
      <c r="BB108" s="19"/>
      <c r="BC108" s="19"/>
      <c r="BD108" s="19"/>
      <c r="BE108" s="19"/>
      <c r="BF108" s="19"/>
      <c r="BG108" s="19"/>
      <c r="BH108" s="19"/>
      <c r="BI108" s="19"/>
    </row>
    <row r="109" spans="1:61" x14ac:dyDescent="0.55000000000000004">
      <c r="A109" s="19" t="s">
        <v>214</v>
      </c>
      <c r="B109" s="19" t="s">
        <v>215</v>
      </c>
      <c r="C109" s="19" t="s">
        <v>8</v>
      </c>
      <c r="D109" s="19" t="s">
        <v>9</v>
      </c>
      <c r="E109" s="19">
        <v>1352</v>
      </c>
      <c r="F109" s="19">
        <v>70.811873000000006</v>
      </c>
      <c r="G109" s="19">
        <v>50.639747</v>
      </c>
      <c r="H109" s="19">
        <v>68464.937944000005</v>
      </c>
      <c r="I109" s="19">
        <v>60.803578000000002</v>
      </c>
      <c r="J109" s="19">
        <v>18.421952999999998</v>
      </c>
      <c r="K109" s="19">
        <v>30.143521</v>
      </c>
      <c r="L109" s="19">
        <v>69.822787000000005</v>
      </c>
      <c r="M109" s="19">
        <v>40.088163999999999</v>
      </c>
      <c r="N109" s="19">
        <v>13.75606</v>
      </c>
      <c r="O109" s="19">
        <v>8.0605890000000002</v>
      </c>
      <c r="P109" s="19">
        <v>41.663269999999997</v>
      </c>
      <c r="Q109" s="19">
        <v>546.74863300000004</v>
      </c>
      <c r="R109" s="19">
        <v>873.68535999999995</v>
      </c>
      <c r="S109" s="19">
        <v>1163.6512769999999</v>
      </c>
      <c r="T109" s="19">
        <v>1217.2185053026544</v>
      </c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>
        <v>1.3788138988925045</v>
      </c>
      <c r="AQ109" s="19">
        <v>0.82273851012723265</v>
      </c>
      <c r="AR109" s="19"/>
      <c r="AS109" s="19"/>
      <c r="AT109" s="19"/>
      <c r="AU109" s="19">
        <v>0.87082714128841632</v>
      </c>
      <c r="AV109" s="19">
        <v>0.26383869495212209</v>
      </c>
      <c r="AW109" s="19">
        <v>0.43171466358110278</v>
      </c>
      <c r="AX109" s="19">
        <v>0.96219437408537545</v>
      </c>
      <c r="AY109" s="19">
        <v>0.33017235565043263</v>
      </c>
      <c r="AZ109" s="19">
        <v>0.19346990766687303</v>
      </c>
      <c r="BA109" s="19"/>
      <c r="BB109" s="19"/>
      <c r="BC109" s="19"/>
      <c r="BD109" s="19"/>
      <c r="BE109" s="19"/>
      <c r="BF109" s="19"/>
      <c r="BG109" s="19"/>
      <c r="BH109" s="19"/>
      <c r="BI109" s="19"/>
    </row>
    <row r="110" spans="1:61" x14ac:dyDescent="0.55000000000000004">
      <c r="A110" s="19" t="s">
        <v>216</v>
      </c>
      <c r="B110" s="19" t="s">
        <v>217</v>
      </c>
      <c r="C110" s="19" t="s">
        <v>51</v>
      </c>
      <c r="D110" s="19" t="s">
        <v>9</v>
      </c>
      <c r="E110" s="19">
        <v>1579</v>
      </c>
      <c r="F110" s="19">
        <v>71.629244</v>
      </c>
      <c r="G110" s="19">
        <v>39.136063999999998</v>
      </c>
      <c r="H110" s="19">
        <v>61795.845055999998</v>
      </c>
      <c r="I110" s="19">
        <v>49.491576000000002</v>
      </c>
      <c r="J110" s="19">
        <v>18.228577000000001</v>
      </c>
      <c r="K110" s="19">
        <v>18.192724999999999</v>
      </c>
      <c r="L110" s="19">
        <v>54.351354000000001</v>
      </c>
      <c r="M110" s="19">
        <v>41.489100999999998</v>
      </c>
      <c r="N110" s="19">
        <v>17.105104000000001</v>
      </c>
      <c r="O110" s="19">
        <v>12.023447000000001</v>
      </c>
      <c r="P110" s="19">
        <v>44.906140999999998</v>
      </c>
      <c r="Q110" s="19">
        <v>582.42364899999995</v>
      </c>
      <c r="R110" s="19">
        <v>45.939605999999998</v>
      </c>
      <c r="S110" s="19">
        <v>819.66748600000005</v>
      </c>
      <c r="T110" s="19">
        <v>877.22659634935678</v>
      </c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>
        <v>1.3887792599685038</v>
      </c>
      <c r="AQ110" s="19">
        <v>1.1474363134729133</v>
      </c>
      <c r="AR110" s="19"/>
      <c r="AS110" s="19"/>
      <c r="AT110" s="19"/>
      <c r="AU110" s="19">
        <v>0.91058588899183635</v>
      </c>
      <c r="AV110" s="19">
        <v>0.33538404581420367</v>
      </c>
      <c r="AW110" s="19">
        <v>0.33472441183342</v>
      </c>
      <c r="AX110" s="19">
        <v>0.92390706651903132</v>
      </c>
      <c r="AY110" s="19">
        <v>0.38090790299705335</v>
      </c>
      <c r="AZ110" s="19">
        <v>0.26774616416048758</v>
      </c>
      <c r="BA110" s="19"/>
      <c r="BB110" s="19"/>
      <c r="BC110" s="19"/>
      <c r="BD110" s="19"/>
      <c r="BE110" s="19"/>
      <c r="BF110" s="19"/>
      <c r="BG110" s="19"/>
      <c r="BH110" s="19"/>
      <c r="BI110" s="19"/>
    </row>
    <row r="111" spans="1:61" x14ac:dyDescent="0.55000000000000004">
      <c r="A111" s="19" t="s">
        <v>218</v>
      </c>
      <c r="B111" s="19" t="s">
        <v>219</v>
      </c>
      <c r="C111" s="19" t="s">
        <v>8</v>
      </c>
      <c r="D111" s="19" t="s">
        <v>9</v>
      </c>
      <c r="E111" s="19">
        <v>1417</v>
      </c>
      <c r="F111" s="19">
        <v>68.898696999999999</v>
      </c>
      <c r="G111" s="19">
        <v>46.103893999999997</v>
      </c>
      <c r="H111" s="19">
        <v>65329.217797999998</v>
      </c>
      <c r="I111" s="19">
        <v>40.605922999999997</v>
      </c>
      <c r="J111" s="19">
        <v>18.246024999999999</v>
      </c>
      <c r="K111" s="19">
        <v>22.325651000000001</v>
      </c>
      <c r="L111" s="19">
        <v>49.587896000000001</v>
      </c>
      <c r="M111" s="19">
        <v>39.681355000000003</v>
      </c>
      <c r="N111" s="19">
        <v>18.547910000000002</v>
      </c>
      <c r="O111" s="19">
        <v>20.563665</v>
      </c>
      <c r="P111" s="19">
        <v>48.040346999999997</v>
      </c>
      <c r="Q111" s="19">
        <v>511.76027800000003</v>
      </c>
      <c r="R111" s="19">
        <v>527.48256800000001</v>
      </c>
      <c r="S111" s="19">
        <v>948.91639199999997</v>
      </c>
      <c r="T111" s="19">
        <v>981.51932284213319</v>
      </c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>
        <v>1.0755684975329851</v>
      </c>
      <c r="AQ111" s="19">
        <v>1.0420019402265674</v>
      </c>
      <c r="AR111" s="19"/>
      <c r="AS111" s="19"/>
      <c r="AT111" s="19"/>
      <c r="AU111" s="19">
        <v>0.81886763253677863</v>
      </c>
      <c r="AV111" s="19">
        <v>0.36795319970825136</v>
      </c>
      <c r="AW111" s="19">
        <v>0.45022380058230338</v>
      </c>
      <c r="AX111" s="19">
        <v>0.82600059071180332</v>
      </c>
      <c r="AY111" s="19">
        <v>0.38609025867361041</v>
      </c>
      <c r="AZ111" s="19">
        <v>0.42804988481869211</v>
      </c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spans="1:61" x14ac:dyDescent="0.55000000000000004">
      <c r="A112" s="19" t="s">
        <v>220</v>
      </c>
      <c r="B112" s="19" t="s">
        <v>221</v>
      </c>
      <c r="C112" s="19" t="s">
        <v>51</v>
      </c>
      <c r="D112" s="19" t="s">
        <v>9</v>
      </c>
      <c r="E112" s="19">
        <v>1465</v>
      </c>
      <c r="F112" s="19">
        <v>69.978624999999994</v>
      </c>
      <c r="G112" s="19">
        <v>49.977435</v>
      </c>
      <c r="H112" s="19">
        <v>73216.942274999994</v>
      </c>
      <c r="I112" s="19">
        <v>71.488662000000005</v>
      </c>
      <c r="J112" s="19">
        <v>18.742405000000002</v>
      </c>
      <c r="K112" s="19">
        <v>36.87039</v>
      </c>
      <c r="L112" s="19">
        <v>81.440194000000005</v>
      </c>
      <c r="M112" s="19">
        <v>52.857712999999997</v>
      </c>
      <c r="N112" s="19">
        <v>21.705663000000001</v>
      </c>
      <c r="O112" s="19">
        <v>18.323761999999999</v>
      </c>
      <c r="P112" s="19">
        <v>57.775694999999999</v>
      </c>
      <c r="Q112" s="19">
        <v>399.54920399999997</v>
      </c>
      <c r="R112" s="19">
        <v>1631.940895</v>
      </c>
      <c r="S112" s="19">
        <v>1173.5354850000001</v>
      </c>
      <c r="T112" s="19">
        <v>1633.4074559918404</v>
      </c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>
        <v>1.6295392910820654</v>
      </c>
      <c r="AQ112" s="19">
        <v>1.1560356188747982</v>
      </c>
      <c r="AR112" s="19"/>
      <c r="AS112" s="19"/>
      <c r="AT112" s="19"/>
      <c r="AU112" s="19">
        <v>0.87780564471641609</v>
      </c>
      <c r="AV112" s="19">
        <v>0.23013703773839242</v>
      </c>
      <c r="AW112" s="19">
        <v>0.45272964354677248</v>
      </c>
      <c r="AX112" s="19">
        <v>0.91487801228526977</v>
      </c>
      <c r="AY112" s="19">
        <v>0.37568847938566557</v>
      </c>
      <c r="AZ112" s="19">
        <v>0.3171534673879734</v>
      </c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spans="1:61" x14ac:dyDescent="0.55000000000000004">
      <c r="A113" s="19" t="s">
        <v>222</v>
      </c>
      <c r="B113" s="19" t="s">
        <v>223</v>
      </c>
      <c r="C113" s="19" t="s">
        <v>134</v>
      </c>
      <c r="D113" s="19" t="s">
        <v>9</v>
      </c>
      <c r="E113" s="19">
        <v>1420</v>
      </c>
      <c r="F113" s="19">
        <v>69.531796</v>
      </c>
      <c r="G113" s="19">
        <v>49.094318999999999</v>
      </c>
      <c r="H113" s="19">
        <v>69713.932979999998</v>
      </c>
      <c r="I113" s="19">
        <v>69.757317999999998</v>
      </c>
      <c r="J113" s="19">
        <v>18.405104999999999</v>
      </c>
      <c r="K113" s="19">
        <v>35.714598000000002</v>
      </c>
      <c r="L113" s="19">
        <v>76.588272000000003</v>
      </c>
      <c r="M113" s="19">
        <v>47.115625000000001</v>
      </c>
      <c r="N113" s="19">
        <v>18.835919000000001</v>
      </c>
      <c r="O113" s="19">
        <v>12.007709999999999</v>
      </c>
      <c r="P113" s="19">
        <v>50.083519000000003</v>
      </c>
      <c r="Q113" s="19">
        <v>593.23908200000005</v>
      </c>
      <c r="R113" s="19">
        <v>180.42095</v>
      </c>
      <c r="S113" s="19">
        <v>1565.7243679999999</v>
      </c>
      <c r="T113" s="19">
        <v>1652.7181835144202</v>
      </c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>
        <v>1.560023105728384</v>
      </c>
      <c r="AQ113" s="19">
        <v>1.020148970800471</v>
      </c>
      <c r="AR113" s="19"/>
      <c r="AS113" s="19"/>
      <c r="AT113" s="19"/>
      <c r="AU113" s="19">
        <v>0.91080939912053371</v>
      </c>
      <c r="AV113" s="19">
        <v>0.24031231570285327</v>
      </c>
      <c r="AW113" s="19">
        <v>0.46631941245521247</v>
      </c>
      <c r="AX113" s="19">
        <v>0.94074110487324181</v>
      </c>
      <c r="AY113" s="19">
        <v>0.37609016650766891</v>
      </c>
      <c r="AZ113" s="19">
        <v>0.23975372018088423</v>
      </c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spans="1:61" x14ac:dyDescent="0.55000000000000004">
      <c r="A114" s="19" t="s">
        <v>224</v>
      </c>
      <c r="B114" s="19" t="s">
        <v>225</v>
      </c>
      <c r="C114" s="19" t="s">
        <v>134</v>
      </c>
      <c r="D114" s="19" t="s">
        <v>9</v>
      </c>
      <c r="E114" s="19">
        <v>1403</v>
      </c>
      <c r="F114" s="19">
        <v>71.256099000000006</v>
      </c>
      <c r="G114" s="19">
        <v>40.784438000000002</v>
      </c>
      <c r="H114" s="19">
        <v>57220.566514000006</v>
      </c>
      <c r="I114" s="19">
        <v>65.430689999999998</v>
      </c>
      <c r="J114" s="19">
        <v>14.263828</v>
      </c>
      <c r="K114" s="19">
        <v>26.723313999999998</v>
      </c>
      <c r="L114" s="19">
        <v>68.892296000000002</v>
      </c>
      <c r="M114" s="19">
        <v>44.401997999999999</v>
      </c>
      <c r="N114" s="19">
        <v>10.202037000000001</v>
      </c>
      <c r="O114" s="19">
        <v>6.8423679999999996</v>
      </c>
      <c r="P114" s="19">
        <v>45.202908000000001</v>
      </c>
      <c r="Q114" s="19">
        <v>359.83624800000001</v>
      </c>
      <c r="R114" s="19">
        <v>332.569525</v>
      </c>
      <c r="S114" s="19">
        <v>1020.589877</v>
      </c>
      <c r="T114" s="19">
        <v>1022.3343216090045</v>
      </c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>
        <v>1.6891809567168732</v>
      </c>
      <c r="AQ114" s="19">
        <v>1.1083371554611099</v>
      </c>
      <c r="AR114" s="19"/>
      <c r="AS114" s="19"/>
      <c r="AT114" s="19"/>
      <c r="AU114" s="19">
        <v>0.94975336574643987</v>
      </c>
      <c r="AV114" s="19">
        <v>0.20704532768076128</v>
      </c>
      <c r="AW114" s="19">
        <v>0.38789988941579184</v>
      </c>
      <c r="AX114" s="19">
        <v>0.98228189212959482</v>
      </c>
      <c r="AY114" s="19">
        <v>0.22569426285583222</v>
      </c>
      <c r="AZ114" s="19">
        <v>0.15137008442023242</v>
      </c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spans="1:61" x14ac:dyDescent="0.55000000000000004">
      <c r="A115" s="19" t="s">
        <v>226</v>
      </c>
      <c r="B115" s="19" t="s">
        <v>227</v>
      </c>
      <c r="C115" s="19" t="s">
        <v>51</v>
      </c>
      <c r="D115" s="19" t="s">
        <v>9</v>
      </c>
      <c r="E115" s="19">
        <v>1393</v>
      </c>
      <c r="F115" s="19">
        <v>71.612378000000007</v>
      </c>
      <c r="G115" s="19">
        <v>54.823523999999999</v>
      </c>
      <c r="H115" s="19">
        <v>76369.168932</v>
      </c>
      <c r="I115" s="19">
        <v>52.692146000000001</v>
      </c>
      <c r="J115" s="19">
        <v>13.136513000000001</v>
      </c>
      <c r="K115" s="19">
        <v>32.70214</v>
      </c>
      <c r="L115" s="19">
        <v>59.191648999999998</v>
      </c>
      <c r="M115" s="19">
        <v>41.536903000000002</v>
      </c>
      <c r="N115" s="19">
        <v>14.287162</v>
      </c>
      <c r="O115" s="19">
        <v>11.756041</v>
      </c>
      <c r="P115" s="19">
        <v>42.945157000000002</v>
      </c>
      <c r="Q115" s="19">
        <v>847.94757300000003</v>
      </c>
      <c r="R115" s="19">
        <v>441.43243000000001</v>
      </c>
      <c r="S115" s="19">
        <v>1613.4188220000001</v>
      </c>
      <c r="T115" s="19">
        <v>1755.0982981311881</v>
      </c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>
        <v>1.0796761076504313</v>
      </c>
      <c r="AQ115" s="19">
        <v>0.78333448612314671</v>
      </c>
      <c r="AR115" s="19"/>
      <c r="AS115" s="19"/>
      <c r="AT115" s="19"/>
      <c r="AU115" s="19">
        <v>0.89019560850551749</v>
      </c>
      <c r="AV115" s="19">
        <v>0.22193186407089285</v>
      </c>
      <c r="AW115" s="19">
        <v>0.55247894850842894</v>
      </c>
      <c r="AX115" s="19">
        <v>0.96720808355642995</v>
      </c>
      <c r="AY115" s="19">
        <v>0.33268389262146603</v>
      </c>
      <c r="AZ115" s="19">
        <v>0.27374544235570031</v>
      </c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spans="1:61" x14ac:dyDescent="0.55000000000000004">
      <c r="A116" s="19" t="s">
        <v>228</v>
      </c>
      <c r="B116" s="19" t="s">
        <v>229</v>
      </c>
      <c r="C116" s="19" t="s">
        <v>8</v>
      </c>
      <c r="D116" s="19" t="s">
        <v>9</v>
      </c>
      <c r="E116" s="19">
        <v>1393</v>
      </c>
      <c r="F116" s="19">
        <v>70.925513999999993</v>
      </c>
      <c r="G116" s="19">
        <v>40.148142</v>
      </c>
      <c r="H116" s="19">
        <v>55926.361806000001</v>
      </c>
      <c r="I116" s="19">
        <v>120.74211200000001</v>
      </c>
      <c r="J116" s="19">
        <v>33.269246000000003</v>
      </c>
      <c r="K116" s="19">
        <v>32.960569999999997</v>
      </c>
      <c r="L116" s="19">
        <v>127.630656</v>
      </c>
      <c r="M116" s="19">
        <v>41.129173999999999</v>
      </c>
      <c r="N116" s="19">
        <v>27.081074999999998</v>
      </c>
      <c r="O116" s="19">
        <v>15.618942000000001</v>
      </c>
      <c r="P116" s="19">
        <v>50.296863000000002</v>
      </c>
      <c r="Q116" s="19">
        <v>1430.669952</v>
      </c>
      <c r="R116" s="19">
        <v>3490.157334</v>
      </c>
      <c r="S116" s="19">
        <v>1031.957568</v>
      </c>
      <c r="T116" s="19">
        <v>3492.0307938556271</v>
      </c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>
        <v>3.1789928410634793</v>
      </c>
      <c r="AQ116" s="19">
        <v>1.2527818348355946</v>
      </c>
      <c r="AR116" s="19"/>
      <c r="AS116" s="19"/>
      <c r="AT116" s="19"/>
      <c r="AU116" s="19">
        <v>0.94602751238699267</v>
      </c>
      <c r="AV116" s="19">
        <v>0.26066814229960555</v>
      </c>
      <c r="AW116" s="19">
        <v>0.25824963243940385</v>
      </c>
      <c r="AX116" s="19">
        <v>0.81772841379789429</v>
      </c>
      <c r="AY116" s="19">
        <v>0.53842473237346822</v>
      </c>
      <c r="AZ116" s="19">
        <v>0.31053511229915076</v>
      </c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spans="1:61" x14ac:dyDescent="0.55000000000000004">
      <c r="A117" s="19" t="s">
        <v>230</v>
      </c>
      <c r="B117" s="19" t="s">
        <v>231</v>
      </c>
      <c r="C117" s="19" t="s">
        <v>8</v>
      </c>
      <c r="D117" s="19" t="s">
        <v>9</v>
      </c>
      <c r="E117" s="19">
        <v>1759</v>
      </c>
      <c r="F117" s="19">
        <v>70.137732</v>
      </c>
      <c r="G117" s="19">
        <v>30.615981999999999</v>
      </c>
      <c r="H117" s="19">
        <v>53853.512338</v>
      </c>
      <c r="I117" s="19">
        <v>40.565441999999997</v>
      </c>
      <c r="J117" s="19">
        <v>8.1077349999999999</v>
      </c>
      <c r="K117" s="19">
        <v>24.731401999999999</v>
      </c>
      <c r="L117" s="19">
        <v>43.963287999999999</v>
      </c>
      <c r="M117" s="19">
        <v>33.994137000000002</v>
      </c>
      <c r="N117" s="19">
        <v>9.0398840000000007</v>
      </c>
      <c r="O117" s="19">
        <v>7.2842450000000003</v>
      </c>
      <c r="P117" s="19">
        <v>34.816833000000003</v>
      </c>
      <c r="Q117" s="19">
        <v>544.57765800000004</v>
      </c>
      <c r="R117" s="19">
        <v>466.437026</v>
      </c>
      <c r="S117" s="19">
        <v>871.468344</v>
      </c>
      <c r="T117" s="19">
        <v>899.72524438549283</v>
      </c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>
        <v>1.4359587747340588</v>
      </c>
      <c r="AQ117" s="19">
        <v>1.1372110487914451</v>
      </c>
      <c r="AR117" s="19"/>
      <c r="AS117" s="19"/>
      <c r="AT117" s="19"/>
      <c r="AU117" s="19">
        <v>0.92271174075969931</v>
      </c>
      <c r="AV117" s="19">
        <v>0.18442057836984349</v>
      </c>
      <c r="AW117" s="19">
        <v>0.56254668668094165</v>
      </c>
      <c r="AX117" s="19">
        <v>0.97637073998085921</v>
      </c>
      <c r="AY117" s="19">
        <v>0.25964119137429875</v>
      </c>
      <c r="AZ117" s="19">
        <v>0.20921618574555589</v>
      </c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spans="1:61" x14ac:dyDescent="0.55000000000000004">
      <c r="A118" s="19" t="s">
        <v>232</v>
      </c>
      <c r="B118" s="19" t="s">
        <v>231</v>
      </c>
      <c r="C118" s="19" t="s">
        <v>170</v>
      </c>
      <c r="D118" s="19" t="s">
        <v>9</v>
      </c>
      <c r="E118" s="19">
        <v>1785</v>
      </c>
      <c r="F118" s="19">
        <v>71.295944000000006</v>
      </c>
      <c r="G118" s="19">
        <v>48.194704999999999</v>
      </c>
      <c r="H118" s="19">
        <v>86027.548425000001</v>
      </c>
      <c r="I118" s="19">
        <v>57.327851000000003</v>
      </c>
      <c r="J118" s="19">
        <v>61.364601</v>
      </c>
      <c r="K118" s="19">
        <v>70.002734000000004</v>
      </c>
      <c r="L118" s="19">
        <v>91.993270999999993</v>
      </c>
      <c r="M118" s="19">
        <v>35.488301999999997</v>
      </c>
      <c r="N118" s="19">
        <v>11.447717000000001</v>
      </c>
      <c r="O118" s="19">
        <v>28.152691999999998</v>
      </c>
      <c r="P118" s="19">
        <v>42.261800000000001</v>
      </c>
      <c r="Q118" s="19">
        <v>645.23202800000001</v>
      </c>
      <c r="R118" s="19">
        <v>4874.777161</v>
      </c>
      <c r="S118" s="19">
        <v>690.36612600000001</v>
      </c>
      <c r="T118" s="19">
        <v>4874.7771665568916</v>
      </c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>
        <v>1.9087837761430431</v>
      </c>
      <c r="AQ118" s="19">
        <v>0.87689716121304206</v>
      </c>
      <c r="AR118" s="19"/>
      <c r="AS118" s="19"/>
      <c r="AT118" s="19"/>
      <c r="AU118" s="19">
        <v>0.62317439500547822</v>
      </c>
      <c r="AV118" s="19">
        <v>0.66705532190501204</v>
      </c>
      <c r="AW118" s="19">
        <v>0.76095493984554596</v>
      </c>
      <c r="AX118" s="19">
        <v>0.8397252838260556</v>
      </c>
      <c r="AY118" s="19">
        <v>0.27087622865093303</v>
      </c>
      <c r="AZ118" s="19">
        <v>0.66614985637147495</v>
      </c>
      <c r="BA118" s="19"/>
      <c r="BB118" s="19"/>
      <c r="BC118" s="19"/>
      <c r="BD118" s="19"/>
      <c r="BE118" s="19"/>
      <c r="BF118" s="19"/>
      <c r="BG118" s="19"/>
      <c r="BH118" s="19"/>
      <c r="BI118" s="19"/>
    </row>
    <row r="119" spans="1:61" x14ac:dyDescent="0.55000000000000004">
      <c r="A119" s="19" t="s">
        <v>233</v>
      </c>
      <c r="B119" s="19" t="s">
        <v>231</v>
      </c>
      <c r="C119" s="19" t="s">
        <v>170</v>
      </c>
      <c r="D119" s="19" t="s">
        <v>9</v>
      </c>
      <c r="E119" s="19">
        <v>1813</v>
      </c>
      <c r="F119" s="19">
        <v>70.817017000000007</v>
      </c>
      <c r="G119" s="19">
        <v>40.496174000000003</v>
      </c>
      <c r="H119" s="19">
        <v>73419.563462000006</v>
      </c>
      <c r="I119" s="19">
        <v>39.079805999999998</v>
      </c>
      <c r="J119" s="19">
        <v>10.238030999999999</v>
      </c>
      <c r="K119" s="19">
        <v>24.374130999999998</v>
      </c>
      <c r="L119" s="19">
        <v>42.426571000000003</v>
      </c>
      <c r="M119" s="19">
        <v>37.394593999999998</v>
      </c>
      <c r="N119" s="19">
        <v>3.347483</v>
      </c>
      <c r="O119" s="19">
        <v>7.578786</v>
      </c>
      <c r="P119" s="19">
        <v>37.817954</v>
      </c>
      <c r="Q119" s="19">
        <v>794.96825100000001</v>
      </c>
      <c r="R119" s="19">
        <v>38.075837</v>
      </c>
      <c r="S119" s="19">
        <v>923.248964</v>
      </c>
      <c r="T119" s="19">
        <v>945.4287769009959</v>
      </c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>
        <v>1.0476686266707567</v>
      </c>
      <c r="AQ119" s="19">
        <v>0.93386486338190855</v>
      </c>
      <c r="AR119" s="19"/>
      <c r="AS119" s="19"/>
      <c r="AT119" s="19"/>
      <c r="AU119" s="19">
        <v>0.92111629761453018</v>
      </c>
      <c r="AV119" s="19">
        <v>0.24131177134253906</v>
      </c>
      <c r="AW119" s="19">
        <v>0.57450155469788022</v>
      </c>
      <c r="AX119" s="19">
        <v>0.98880531717818465</v>
      </c>
      <c r="AY119" s="19">
        <v>8.8515708702802912E-2</v>
      </c>
      <c r="AZ119" s="19">
        <v>0.20040179857429621</v>
      </c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spans="1:61" x14ac:dyDescent="0.55000000000000004">
      <c r="A120" s="19" t="s">
        <v>234</v>
      </c>
      <c r="B120" s="19" t="s">
        <v>229</v>
      </c>
      <c r="C120" s="19" t="s">
        <v>8</v>
      </c>
      <c r="D120" s="19" t="s">
        <v>9</v>
      </c>
      <c r="E120" s="19">
        <v>1439</v>
      </c>
      <c r="F120" s="19">
        <v>70.247593000000009</v>
      </c>
      <c r="G120" s="19">
        <v>38.256264000000002</v>
      </c>
      <c r="H120" s="19">
        <v>55050.763896000004</v>
      </c>
      <c r="I120" s="19">
        <v>112.088048</v>
      </c>
      <c r="J120" s="19">
        <v>21.302531999999999</v>
      </c>
      <c r="K120" s="19">
        <v>25.816828000000001</v>
      </c>
      <c r="L120" s="19">
        <v>114.422155</v>
      </c>
      <c r="M120" s="19">
        <v>57.849012000000002</v>
      </c>
      <c r="N120" s="19">
        <v>19.212622</v>
      </c>
      <c r="O120" s="19">
        <v>18.774177999999999</v>
      </c>
      <c r="P120" s="19">
        <v>61.830858999999997</v>
      </c>
      <c r="Q120" s="19">
        <v>2055.2492569999999</v>
      </c>
      <c r="R120" s="19">
        <v>1335.8250149999999</v>
      </c>
      <c r="S120" s="19">
        <v>1049.6974230000001</v>
      </c>
      <c r="T120" s="19">
        <v>2234.4014171214758</v>
      </c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>
        <v>2.9909390786303649</v>
      </c>
      <c r="AQ120" s="19">
        <v>1.6162283645888682</v>
      </c>
      <c r="AR120" s="19"/>
      <c r="AS120" s="19"/>
      <c r="AT120" s="19"/>
      <c r="AU120" s="19">
        <v>0.979600917322349</v>
      </c>
      <c r="AV120" s="19">
        <v>0.18617488894523965</v>
      </c>
      <c r="AW120" s="19">
        <v>0.22562787774797635</v>
      </c>
      <c r="AX120" s="19">
        <v>0.93560097555817567</v>
      </c>
      <c r="AY120" s="19">
        <v>0.31072869293308703</v>
      </c>
      <c r="AZ120" s="19">
        <v>0.30363767063304103</v>
      </c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spans="1:61" x14ac:dyDescent="0.55000000000000004">
      <c r="A121" s="19" t="s">
        <v>235</v>
      </c>
      <c r="B121" s="19" t="s">
        <v>236</v>
      </c>
      <c r="C121" s="19" t="s">
        <v>8</v>
      </c>
      <c r="D121" s="19" t="s">
        <v>9</v>
      </c>
      <c r="E121" s="19">
        <v>1760</v>
      </c>
      <c r="F121" s="19">
        <v>68.196453000000005</v>
      </c>
      <c r="G121" s="19">
        <v>48.740330999999998</v>
      </c>
      <c r="H121" s="19">
        <v>85782.982559999989</v>
      </c>
      <c r="I121" s="19">
        <v>47.754246000000002</v>
      </c>
      <c r="J121" s="19">
        <v>21.230599999999999</v>
      </c>
      <c r="K121" s="19">
        <v>25.516881000000001</v>
      </c>
      <c r="L121" s="19">
        <v>55.650379999999998</v>
      </c>
      <c r="M121" s="19">
        <v>43.067103000000003</v>
      </c>
      <c r="N121" s="19">
        <v>24.268367000000001</v>
      </c>
      <c r="O121" s="19">
        <v>13.735772000000001</v>
      </c>
      <c r="P121" s="19">
        <v>48.255522999999997</v>
      </c>
      <c r="Q121" s="19">
        <v>517.50387599999999</v>
      </c>
      <c r="R121" s="19">
        <v>434.95913200000001</v>
      </c>
      <c r="S121" s="19">
        <v>1088.2299399999999</v>
      </c>
      <c r="T121" s="19">
        <v>1116.7203535792287</v>
      </c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>
        <v>1.1417727138537488</v>
      </c>
      <c r="AQ121" s="19">
        <v>0.99005324768926983</v>
      </c>
      <c r="AR121" s="19"/>
      <c r="AS121" s="19"/>
      <c r="AT121" s="19"/>
      <c r="AU121" s="19">
        <v>0.85811176850903814</v>
      </c>
      <c r="AV121" s="19">
        <v>0.38149964115249529</v>
      </c>
      <c r="AW121" s="19">
        <v>0.45852123561420427</v>
      </c>
      <c r="AX121" s="19">
        <v>0.89248028666065859</v>
      </c>
      <c r="AY121" s="19">
        <v>0.50291377009839899</v>
      </c>
      <c r="AZ121" s="19">
        <v>0.28464662998264473</v>
      </c>
      <c r="BA121" s="19"/>
      <c r="BB121" s="19"/>
      <c r="BC121" s="19"/>
      <c r="BD121" s="19"/>
      <c r="BE121" s="19"/>
      <c r="BF121" s="19"/>
      <c r="BG121" s="19"/>
      <c r="BH121" s="19"/>
      <c r="BI121" s="19"/>
    </row>
    <row r="122" spans="1:61" x14ac:dyDescent="0.55000000000000004">
      <c r="A122" s="19" t="s">
        <v>237</v>
      </c>
      <c r="B122" s="19" t="s">
        <v>238</v>
      </c>
      <c r="C122" s="19" t="s">
        <v>8</v>
      </c>
      <c r="D122" s="19" t="s">
        <v>9</v>
      </c>
      <c r="E122" s="19">
        <v>1323</v>
      </c>
      <c r="F122" s="19">
        <v>68.969121999999999</v>
      </c>
      <c r="G122" s="19">
        <v>36.573723999999999</v>
      </c>
      <c r="H122" s="19">
        <v>48387.036851999997</v>
      </c>
      <c r="I122" s="19">
        <v>58.771740999999999</v>
      </c>
      <c r="J122" s="19">
        <v>21.332868000000001</v>
      </c>
      <c r="K122" s="19">
        <v>29.130118</v>
      </c>
      <c r="L122" s="19">
        <v>63.432462000000001</v>
      </c>
      <c r="M122" s="19">
        <v>34.623125000000002</v>
      </c>
      <c r="N122" s="19">
        <v>18.683425</v>
      </c>
      <c r="O122" s="19">
        <v>17.595972</v>
      </c>
      <c r="P122" s="19">
        <v>39.364263000000001</v>
      </c>
      <c r="Q122" s="19">
        <v>835.37786100000005</v>
      </c>
      <c r="R122" s="19">
        <v>49.082841999999999</v>
      </c>
      <c r="S122" s="19">
        <v>1307.4763829999999</v>
      </c>
      <c r="T122" s="19">
        <v>1349.9372354003056</v>
      </c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>
        <v>1.7343725238370586</v>
      </c>
      <c r="AQ122" s="19">
        <v>1.076299011826086</v>
      </c>
      <c r="AR122" s="19"/>
      <c r="AS122" s="19"/>
      <c r="AT122" s="19"/>
      <c r="AU122" s="19">
        <v>0.92652467123221538</v>
      </c>
      <c r="AV122" s="19">
        <v>0.33630837157164106</v>
      </c>
      <c r="AW122" s="19">
        <v>0.45923044891431142</v>
      </c>
      <c r="AX122" s="19">
        <v>0.87955730302889201</v>
      </c>
      <c r="AY122" s="19">
        <v>0.47462910711677747</v>
      </c>
      <c r="AZ122" s="19">
        <v>0.44700372010013245</v>
      </c>
      <c r="BA122" s="19"/>
      <c r="BB122" s="19"/>
      <c r="BC122" s="19"/>
      <c r="BD122" s="19"/>
      <c r="BE122" s="19"/>
      <c r="BF122" s="19"/>
      <c r="BG122" s="19"/>
      <c r="BH122" s="19"/>
      <c r="BI122" s="19"/>
    </row>
    <row r="123" spans="1:61" x14ac:dyDescent="0.55000000000000004">
      <c r="A123" s="19" t="s">
        <v>588</v>
      </c>
      <c r="B123" s="19" t="s">
        <v>589</v>
      </c>
      <c r="C123" s="19" t="s">
        <v>51</v>
      </c>
      <c r="D123" s="19" t="s">
        <v>9</v>
      </c>
      <c r="E123" s="19">
        <v>1551</v>
      </c>
      <c r="F123" s="19">
        <v>66.715334715642882</v>
      </c>
      <c r="G123" s="19">
        <v>48.491247885149917</v>
      </c>
      <c r="H123" s="19">
        <v>75209.925469867521</v>
      </c>
      <c r="I123" s="19">
        <v>50.529286972894845</v>
      </c>
      <c r="J123" s="19">
        <v>17.857727015101528</v>
      </c>
      <c r="K123" s="19">
        <v>33.730598498566906</v>
      </c>
      <c r="L123" s="19">
        <v>59.168833871287148</v>
      </c>
      <c r="M123" s="19">
        <v>44.486552330367395</v>
      </c>
      <c r="N123" s="19">
        <v>24.066405743010506</v>
      </c>
      <c r="O123" s="19">
        <v>12.007829902703151</v>
      </c>
      <c r="P123" s="19">
        <v>51.452316130274951</v>
      </c>
      <c r="Q123" s="19">
        <v>478.58099209907198</v>
      </c>
      <c r="R123" s="19">
        <v>672.60363426918957</v>
      </c>
      <c r="S123" s="19">
        <v>1100.3565422317145</v>
      </c>
      <c r="T123" s="19">
        <v>1111.7246702143727</v>
      </c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>
        <v>1.2201961477961296</v>
      </c>
      <c r="AQ123" s="19">
        <v>1.0610639728665725</v>
      </c>
      <c r="AR123" s="19"/>
      <c r="AS123" s="19"/>
      <c r="AT123" s="19"/>
      <c r="AU123" s="19">
        <v>0.85398483740297582</v>
      </c>
      <c r="AV123" s="19">
        <v>0.30180968335371139</v>
      </c>
      <c r="AW123" s="19">
        <v>0.57007374138795308</v>
      </c>
      <c r="AX123" s="19">
        <v>0.86461709940772047</v>
      </c>
      <c r="AY123" s="19">
        <v>0.46774193181266027</v>
      </c>
      <c r="AZ123" s="19">
        <v>0.23337783030602285</v>
      </c>
      <c r="BA123" s="19"/>
      <c r="BB123" s="19"/>
      <c r="BC123" s="19"/>
      <c r="BD123" s="19"/>
      <c r="BE123" s="19"/>
      <c r="BF123" s="19"/>
      <c r="BG123" s="19"/>
      <c r="BH123" s="19"/>
      <c r="BI123" s="19"/>
    </row>
    <row r="124" spans="1:61" x14ac:dyDescent="0.55000000000000004">
      <c r="A124" s="19" t="s">
        <v>590</v>
      </c>
      <c r="B124" s="19" t="s">
        <v>591</v>
      </c>
      <c r="C124" s="19" t="s">
        <v>8</v>
      </c>
      <c r="D124" s="19" t="s">
        <v>9</v>
      </c>
      <c r="E124" s="19">
        <v>1652</v>
      </c>
      <c r="F124" s="19">
        <v>70.580423125488139</v>
      </c>
      <c r="G124" s="19">
        <v>51.984149458016134</v>
      </c>
      <c r="H124" s="19">
        <v>85877.814904642655</v>
      </c>
      <c r="I124" s="19">
        <v>66.714118658376123</v>
      </c>
      <c r="J124" s="19">
        <v>18.129462018383581</v>
      </c>
      <c r="K124" s="19">
        <v>27.64814430074178</v>
      </c>
      <c r="L124" s="19">
        <v>72.091847526428694</v>
      </c>
      <c r="M124" s="19">
        <v>36.373540305625355</v>
      </c>
      <c r="N124" s="19">
        <v>12.112405419387837</v>
      </c>
      <c r="O124" s="19">
        <v>21.586483671625693</v>
      </c>
      <c r="P124" s="19">
        <v>37.520352768237018</v>
      </c>
      <c r="Q124" s="19">
        <v>862.25416139652043</v>
      </c>
      <c r="R124" s="19">
        <v>286.47054190134145</v>
      </c>
      <c r="S124" s="19">
        <v>872.19610911357256</v>
      </c>
      <c r="T124" s="19">
        <v>1080.3818758550703</v>
      </c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>
        <v>1.3868044063056586</v>
      </c>
      <c r="AQ124" s="19">
        <v>0.72176525266686364</v>
      </c>
      <c r="AR124" s="19"/>
      <c r="AS124" s="19"/>
      <c r="AT124" s="19"/>
      <c r="AU124" s="19">
        <v>0.92540447980500007</v>
      </c>
      <c r="AV124" s="19">
        <v>0.25147728405403075</v>
      </c>
      <c r="AW124" s="19">
        <v>0.38351277223969105</v>
      </c>
      <c r="AX124" s="19">
        <v>0.96943492323498348</v>
      </c>
      <c r="AY124" s="19">
        <v>0.3228222691349969</v>
      </c>
      <c r="AZ124" s="19">
        <v>0.57532731115203706</v>
      </c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spans="1:61" x14ac:dyDescent="0.55000000000000004">
      <c r="A125" s="19" t="s">
        <v>592</v>
      </c>
      <c r="B125" s="19" t="s">
        <v>593</v>
      </c>
      <c r="C125" s="19" t="s">
        <v>51</v>
      </c>
      <c r="D125" s="19" t="s">
        <v>9</v>
      </c>
      <c r="E125" s="19">
        <v>1195</v>
      </c>
      <c r="F125" s="19">
        <v>67.099785958085235</v>
      </c>
      <c r="G125" s="19">
        <v>40.068157255682706</v>
      </c>
      <c r="H125" s="19">
        <v>47881.447920540835</v>
      </c>
      <c r="I125" s="19">
        <v>42.979215031990435</v>
      </c>
      <c r="J125" s="19">
        <v>24.383876221232487</v>
      </c>
      <c r="K125" s="19">
        <v>23.060729002141358</v>
      </c>
      <c r="L125" s="19">
        <v>50.238817509481024</v>
      </c>
      <c r="M125" s="19">
        <v>37.916346867380604</v>
      </c>
      <c r="N125" s="19">
        <v>23.075514903328383</v>
      </c>
      <c r="O125" s="19">
        <v>6.3208271993903971</v>
      </c>
      <c r="P125" s="19">
        <v>42.915307580540585</v>
      </c>
      <c r="Q125" s="19">
        <v>401.97841307250349</v>
      </c>
      <c r="R125" s="19">
        <v>73.41236232</v>
      </c>
      <c r="S125" s="19">
        <v>1208.1222453750279</v>
      </c>
      <c r="T125" s="19">
        <v>1236.7973960324271</v>
      </c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>
        <v>1.2538339906399327</v>
      </c>
      <c r="AQ125" s="19">
        <v>1.07105768070864</v>
      </c>
      <c r="AR125" s="19"/>
      <c r="AS125" s="19"/>
      <c r="AT125" s="19"/>
      <c r="AU125" s="19">
        <v>0.85549814192739382</v>
      </c>
      <c r="AV125" s="19">
        <v>0.48535927854254901</v>
      </c>
      <c r="AW125" s="19">
        <v>0.45902212960703859</v>
      </c>
      <c r="AX125" s="19">
        <v>0.88351567319473912</v>
      </c>
      <c r="AY125" s="19">
        <v>0.53769892852385592</v>
      </c>
      <c r="AZ125" s="19">
        <v>0.14728607473051172</v>
      </c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spans="1:61" x14ac:dyDescent="0.55000000000000004">
      <c r="A126" s="19" t="s">
        <v>594</v>
      </c>
      <c r="B126" s="19" t="s">
        <v>595</v>
      </c>
      <c r="C126" s="19" t="s">
        <v>8</v>
      </c>
      <c r="D126" s="19" t="s">
        <v>9</v>
      </c>
      <c r="E126" s="19">
        <v>1454</v>
      </c>
      <c r="F126" s="19">
        <v>69.929138630151598</v>
      </c>
      <c r="G126" s="19">
        <v>43.95069158414627</v>
      </c>
      <c r="H126" s="19">
        <v>63904.30556334868</v>
      </c>
      <c r="I126" s="19">
        <v>49.029025211395194</v>
      </c>
      <c r="J126" s="19">
        <v>14.419869520652766</v>
      </c>
      <c r="K126" s="19">
        <v>28.704797575197826</v>
      </c>
      <c r="L126" s="19">
        <v>53.13600117545306</v>
      </c>
      <c r="M126" s="19">
        <v>38.614997399866077</v>
      </c>
      <c r="N126" s="19">
        <v>18.662254054643928</v>
      </c>
      <c r="O126" s="19">
        <v>11.558200889082586</v>
      </c>
      <c r="P126" s="19">
        <v>41.625136876424122</v>
      </c>
      <c r="Q126" s="19">
        <v>707.95387666972056</v>
      </c>
      <c r="R126" s="19">
        <v>2422.0120479996763</v>
      </c>
      <c r="S126" s="19">
        <v>1191.4650143115143</v>
      </c>
      <c r="T126" s="19">
        <v>2425.3932544626641</v>
      </c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>
        <v>1.2089912413259973</v>
      </c>
      <c r="AQ126" s="19">
        <v>0.9470871873934058</v>
      </c>
      <c r="AR126" s="19"/>
      <c r="AS126" s="19"/>
      <c r="AT126" s="19"/>
      <c r="AU126" s="19">
        <v>0.92270822280177256</v>
      </c>
      <c r="AV126" s="19">
        <v>0.27137664110324944</v>
      </c>
      <c r="AW126" s="19">
        <v>0.54021373344252377</v>
      </c>
      <c r="AX126" s="19">
        <v>0.92768457469594667</v>
      </c>
      <c r="AY126" s="19">
        <v>0.44834096546152041</v>
      </c>
      <c r="AZ126" s="19">
        <v>0.27767358275352566</v>
      </c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spans="1:61" x14ac:dyDescent="0.55000000000000004">
      <c r="A127" s="19" t="s">
        <v>596</v>
      </c>
      <c r="B127" s="19" t="s">
        <v>597</v>
      </c>
      <c r="C127" s="19" t="s">
        <v>8</v>
      </c>
      <c r="D127" s="19" t="s">
        <v>9</v>
      </c>
      <c r="E127" s="19">
        <v>1853</v>
      </c>
      <c r="F127" s="19">
        <v>77.164926330845375</v>
      </c>
      <c r="G127" s="19">
        <v>36.417607860130197</v>
      </c>
      <c r="H127" s="19">
        <v>67481.827364821249</v>
      </c>
      <c r="I127" s="19">
        <v>36.478325877423572</v>
      </c>
      <c r="J127" s="19">
        <v>52.584631752295138</v>
      </c>
      <c r="K127" s="19">
        <v>27.592895290249167</v>
      </c>
      <c r="L127" s="19">
        <v>55.219745647172672</v>
      </c>
      <c r="M127" s="19">
        <v>43.306042037124001</v>
      </c>
      <c r="N127" s="19">
        <v>19.531391698015938</v>
      </c>
      <c r="O127" s="19">
        <v>19.386968338527069</v>
      </c>
      <c r="P127" s="19">
        <v>49.720663114510529</v>
      </c>
      <c r="Q127" s="19">
        <v>668.57804100735154</v>
      </c>
      <c r="R127" s="19">
        <v>137.18258533496967</v>
      </c>
      <c r="S127" s="19">
        <v>1180.9106131434705</v>
      </c>
      <c r="T127" s="19">
        <v>1336.1224538522647</v>
      </c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>
        <v>1.5162924994759734</v>
      </c>
      <c r="AQ127" s="19">
        <v>1.3652918474347253</v>
      </c>
      <c r="AR127" s="19"/>
      <c r="AS127" s="19"/>
      <c r="AT127" s="19"/>
      <c r="AU127" s="19">
        <v>0.66060293197477471</v>
      </c>
      <c r="AV127" s="19">
        <v>0.95227949958852343</v>
      </c>
      <c r="AW127" s="19">
        <v>0.49969254596995705</v>
      </c>
      <c r="AX127" s="19">
        <v>0.87098681563009006</v>
      </c>
      <c r="AY127" s="19">
        <v>0.39282242984237026</v>
      </c>
      <c r="AZ127" s="19">
        <v>0.38991773488373199</v>
      </c>
      <c r="BA127" s="19"/>
      <c r="BB127" s="19"/>
      <c r="BC127" s="19"/>
      <c r="BD127" s="19"/>
      <c r="BE127" s="19"/>
      <c r="BF127" s="19"/>
      <c r="BG127" s="19"/>
      <c r="BH127" s="19"/>
      <c r="BI127" s="19"/>
    </row>
    <row r="128" spans="1:61" x14ac:dyDescent="0.55000000000000004">
      <c r="A128" s="19" t="s">
        <v>598</v>
      </c>
      <c r="B128" s="19" t="s">
        <v>599</v>
      </c>
      <c r="C128" s="19" t="s">
        <v>134</v>
      </c>
      <c r="D128" s="19" t="s">
        <v>9</v>
      </c>
      <c r="E128" s="19">
        <v>1471</v>
      </c>
      <c r="F128" s="19">
        <v>69.209220920591576</v>
      </c>
      <c r="G128" s="19">
        <v>43.05805263421302</v>
      </c>
      <c r="H128" s="19">
        <v>63338.395424927352</v>
      </c>
      <c r="I128" s="19">
        <v>55.225274568444462</v>
      </c>
      <c r="J128" s="19">
        <v>20.913642286085434</v>
      </c>
      <c r="K128" s="19">
        <v>27.23403219459766</v>
      </c>
      <c r="L128" s="19">
        <v>62.239822952556985</v>
      </c>
      <c r="M128" s="19">
        <v>42.262865290222479</v>
      </c>
      <c r="N128" s="19">
        <v>16.602703766786071</v>
      </c>
      <c r="O128" s="19">
        <v>11.518225158841876</v>
      </c>
      <c r="P128" s="19">
        <v>46.306562283212095</v>
      </c>
      <c r="Q128" s="19">
        <v>500.95543747688566</v>
      </c>
      <c r="R128" s="19">
        <v>135.02165414338711</v>
      </c>
      <c r="S128" s="19">
        <v>1000.6294009997549</v>
      </c>
      <c r="T128" s="19">
        <v>1115.7597295118835</v>
      </c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>
        <v>1.4454862480961932</v>
      </c>
      <c r="AQ128" s="19">
        <v>1.0754448808123263</v>
      </c>
      <c r="AR128" s="19"/>
      <c r="AS128" s="19"/>
      <c r="AT128" s="19"/>
      <c r="AU128" s="19">
        <v>0.88729806655363652</v>
      </c>
      <c r="AV128" s="19">
        <v>0.33601705939984916</v>
      </c>
      <c r="AW128" s="19">
        <v>0.43756602931465777</v>
      </c>
      <c r="AX128" s="19">
        <v>0.91267550874845205</v>
      </c>
      <c r="AY128" s="19">
        <v>0.35853889704106123</v>
      </c>
      <c r="AZ128" s="19">
        <v>0.24873850683184215</v>
      </c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spans="1:61" x14ac:dyDescent="0.55000000000000004">
      <c r="A129" s="19" t="s">
        <v>600</v>
      </c>
      <c r="B129" s="19" t="s">
        <v>601</v>
      </c>
      <c r="C129" s="19" t="s">
        <v>51</v>
      </c>
      <c r="D129" s="19" t="s">
        <v>9</v>
      </c>
      <c r="E129" s="19">
        <v>1681</v>
      </c>
      <c r="F129" s="19">
        <v>70.214922239355303</v>
      </c>
      <c r="G129" s="19">
        <v>33.028242967326946</v>
      </c>
      <c r="H129" s="19">
        <v>55520.476428076596</v>
      </c>
      <c r="I129" s="19">
        <v>41.259907018666418</v>
      </c>
      <c r="J129" s="19">
        <v>11.858059342787572</v>
      </c>
      <c r="K129" s="19">
        <v>25.223438169137484</v>
      </c>
      <c r="L129" s="19">
        <v>47.908438190888084</v>
      </c>
      <c r="M129" s="19">
        <v>36.94316046242588</v>
      </c>
      <c r="N129" s="19">
        <v>12.929084477807988</v>
      </c>
      <c r="O129" s="19">
        <v>10.01770994583338</v>
      </c>
      <c r="P129" s="19">
        <v>38.219134320613378</v>
      </c>
      <c r="Q129" s="19">
        <v>425.39796756761291</v>
      </c>
      <c r="R129" s="19">
        <v>123.61922976796532</v>
      </c>
      <c r="S129" s="19">
        <v>1184.3361563429303</v>
      </c>
      <c r="T129" s="19">
        <v>1216.9061793170245</v>
      </c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>
        <v>1.4505294222971929</v>
      </c>
      <c r="AQ129" s="19">
        <v>1.1571652285112926</v>
      </c>
      <c r="AR129" s="19"/>
      <c r="AS129" s="19"/>
      <c r="AT129" s="19"/>
      <c r="AU129" s="19">
        <v>0.86122421386956882</v>
      </c>
      <c r="AV129" s="19">
        <v>0.24751504725618267</v>
      </c>
      <c r="AW129" s="19">
        <v>0.52649259966764772</v>
      </c>
      <c r="AX129" s="19">
        <v>0.9666142658417225</v>
      </c>
      <c r="AY129" s="19">
        <v>0.33828826077922763</v>
      </c>
      <c r="AZ129" s="19">
        <v>0.26211242415374009</v>
      </c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spans="1:61" x14ac:dyDescent="0.55000000000000004">
      <c r="A130" s="19" t="s">
        <v>602</v>
      </c>
      <c r="B130" s="19" t="s">
        <v>603</v>
      </c>
      <c r="C130" s="19" t="s">
        <v>51</v>
      </c>
      <c r="D130" s="19" t="s">
        <v>9</v>
      </c>
      <c r="E130" s="19">
        <v>1352</v>
      </c>
      <c r="F130" s="19">
        <v>69.925678077672814</v>
      </c>
      <c r="G130" s="19">
        <v>35.116997132275714</v>
      </c>
      <c r="H130" s="19">
        <v>47478.180122836762</v>
      </c>
      <c r="I130" s="19">
        <v>60.431094237128789</v>
      </c>
      <c r="J130" s="19">
        <v>20.112080396589008</v>
      </c>
      <c r="K130" s="19">
        <v>32.835765862421582</v>
      </c>
      <c r="L130" s="19">
        <v>68.511718039336003</v>
      </c>
      <c r="M130" s="19">
        <v>46.456290121004685</v>
      </c>
      <c r="N130" s="19">
        <v>19.2857816345768</v>
      </c>
      <c r="O130" s="19">
        <v>11.858265136904773</v>
      </c>
      <c r="P130" s="19">
        <v>49.698304875143052</v>
      </c>
      <c r="Q130" s="19">
        <v>566.30626945256813</v>
      </c>
      <c r="R130" s="19">
        <v>99.599449997430384</v>
      </c>
      <c r="S130" s="19">
        <v>929.13895862963216</v>
      </c>
      <c r="T130" s="19">
        <v>1041.2707052199414</v>
      </c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>
        <v>1.9509560507486416</v>
      </c>
      <c r="AQ130" s="19">
        <v>1.4152208028477979</v>
      </c>
      <c r="AR130" s="19"/>
      <c r="AS130" s="19"/>
      <c r="AT130" s="19"/>
      <c r="AU130" s="19">
        <v>0.88205486545283063</v>
      </c>
      <c r="AV130" s="19">
        <v>0.29355679542354574</v>
      </c>
      <c r="AW130" s="19">
        <v>0.47927225885021491</v>
      </c>
      <c r="AX130" s="19">
        <v>0.9347660898639647</v>
      </c>
      <c r="AY130" s="19">
        <v>0.38805713158685046</v>
      </c>
      <c r="AZ130" s="19">
        <v>0.23860502217724061</v>
      </c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spans="1:61" x14ac:dyDescent="0.55000000000000004">
      <c r="A131" s="19" t="s">
        <v>604</v>
      </c>
      <c r="B131" s="19" t="s">
        <v>605</v>
      </c>
      <c r="C131" s="19" t="s">
        <v>51</v>
      </c>
      <c r="D131" s="19" t="s">
        <v>9</v>
      </c>
      <c r="E131" s="19">
        <v>1256</v>
      </c>
      <c r="F131" s="19">
        <v>67.334295839119065</v>
      </c>
      <c r="G131" s="19">
        <v>49.620000555489248</v>
      </c>
      <c r="H131" s="19">
        <v>62322.720697694494</v>
      </c>
      <c r="I131" s="19">
        <v>140.71232602827735</v>
      </c>
      <c r="J131" s="19">
        <v>24.674638260044311</v>
      </c>
      <c r="K131" s="19">
        <v>24.693761300289978</v>
      </c>
      <c r="L131" s="19">
        <v>143.54469589872198</v>
      </c>
      <c r="M131" s="19">
        <v>52.640581009346555</v>
      </c>
      <c r="N131" s="19">
        <v>18.308620113786027</v>
      </c>
      <c r="O131" s="19">
        <v>15.285309515197021</v>
      </c>
      <c r="P131" s="19">
        <v>53.42966005684972</v>
      </c>
      <c r="Q131" s="19">
        <v>2470.1312163379948</v>
      </c>
      <c r="R131" s="19">
        <v>505.26821659255336</v>
      </c>
      <c r="S131" s="19">
        <v>1010.229070241899</v>
      </c>
      <c r="T131" s="19">
        <v>2472.6858650932763</v>
      </c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>
        <v>2.8928797721031514</v>
      </c>
      <c r="AQ131" s="19">
        <v>1.076776692033693</v>
      </c>
      <c r="AR131" s="19"/>
      <c r="AS131" s="19"/>
      <c r="AT131" s="19"/>
      <c r="AU131" s="19">
        <v>0.98026837667033673</v>
      </c>
      <c r="AV131" s="19">
        <v>0.17189515854666976</v>
      </c>
      <c r="AW131" s="19">
        <v>0.17202837865714432</v>
      </c>
      <c r="AX131" s="19">
        <v>0.98523144173735011</v>
      </c>
      <c r="AY131" s="19">
        <v>0.34266772602156675</v>
      </c>
      <c r="AZ131" s="19">
        <v>0.28608285171444647</v>
      </c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spans="1:61" x14ac:dyDescent="0.55000000000000004">
      <c r="A132" s="19" t="s">
        <v>606</v>
      </c>
      <c r="B132" s="19" t="s">
        <v>607</v>
      </c>
      <c r="C132" s="19" t="s">
        <v>8</v>
      </c>
      <c r="D132" s="19" t="s">
        <v>9</v>
      </c>
      <c r="E132" s="19">
        <v>1296</v>
      </c>
      <c r="F132" s="19">
        <v>68.084233660069614</v>
      </c>
      <c r="G132" s="19">
        <v>48.944991039017431</v>
      </c>
      <c r="H132" s="19">
        <v>63432.708386566592</v>
      </c>
      <c r="I132" s="19">
        <v>54.115942550205148</v>
      </c>
      <c r="J132" s="19">
        <v>19.919305420337938</v>
      </c>
      <c r="K132" s="19">
        <v>28.277016484452762</v>
      </c>
      <c r="L132" s="19">
        <v>58.254092033447591</v>
      </c>
      <c r="M132" s="19">
        <v>41.070316689656892</v>
      </c>
      <c r="N132" s="19">
        <v>13.538101561601902</v>
      </c>
      <c r="O132" s="19">
        <v>17.930372439287407</v>
      </c>
      <c r="P132" s="19">
        <v>46.468756466815336</v>
      </c>
      <c r="Q132" s="19">
        <v>701.69530219928197</v>
      </c>
      <c r="R132" s="19">
        <v>751.36000858389684</v>
      </c>
      <c r="S132" s="19">
        <v>2532.3238539154208</v>
      </c>
      <c r="T132" s="19">
        <v>2581.4640949645495</v>
      </c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>
        <v>1.1901951721067685</v>
      </c>
      <c r="AQ132" s="19">
        <v>0.94940780415654547</v>
      </c>
      <c r="AR132" s="19"/>
      <c r="AS132" s="19"/>
      <c r="AT132" s="19"/>
      <c r="AU132" s="19">
        <v>0.9289637974124384</v>
      </c>
      <c r="AV132" s="19">
        <v>0.34193830381736834</v>
      </c>
      <c r="AW132" s="19">
        <v>0.4854082433937349</v>
      </c>
      <c r="AX132" s="19">
        <v>0.88382646346446514</v>
      </c>
      <c r="AY132" s="19">
        <v>0.29133772002850661</v>
      </c>
      <c r="AZ132" s="19">
        <v>0.38585866725510498</v>
      </c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spans="1:61" x14ac:dyDescent="0.55000000000000004">
      <c r="A133" s="19" t="s">
        <v>608</v>
      </c>
      <c r="B133" s="19" t="s">
        <v>605</v>
      </c>
      <c r="C133" s="19" t="s">
        <v>51</v>
      </c>
      <c r="D133" s="19" t="s">
        <v>9</v>
      </c>
      <c r="E133" s="19">
        <v>1276</v>
      </c>
      <c r="F133" s="19">
        <v>68.037627481792256</v>
      </c>
      <c r="G133" s="19">
        <v>48.337468888275339</v>
      </c>
      <c r="H133" s="19">
        <v>61678.61030143933</v>
      </c>
      <c r="I133" s="19">
        <v>76.1959874243679</v>
      </c>
      <c r="J133" s="19">
        <v>36.174383848119511</v>
      </c>
      <c r="K133" s="19">
        <v>33.277928792286929</v>
      </c>
      <c r="L133" s="19">
        <v>89.499579026544666</v>
      </c>
      <c r="M133" s="19">
        <v>48.642936015276966</v>
      </c>
      <c r="N133" s="19">
        <v>20.033966059829666</v>
      </c>
      <c r="O133" s="19">
        <v>11.231184017831795</v>
      </c>
      <c r="P133" s="19">
        <v>52.02451412092045</v>
      </c>
      <c r="Q133" s="19">
        <v>1326.3154927811634</v>
      </c>
      <c r="R133" s="19">
        <v>188.75080839773426</v>
      </c>
      <c r="S133" s="19">
        <v>1355.5684143191329</v>
      </c>
      <c r="T133" s="19">
        <v>1415.7465052356476</v>
      </c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>
        <v>1.8515570029827015</v>
      </c>
      <c r="AQ133" s="19">
        <v>1.0762771679495082</v>
      </c>
      <c r="AR133" s="19"/>
      <c r="AS133" s="19"/>
      <c r="AT133" s="19"/>
      <c r="AU133" s="19">
        <v>0.85135581924657933</v>
      </c>
      <c r="AV133" s="19">
        <v>0.40418496088557643</v>
      </c>
      <c r="AW133" s="19">
        <v>0.37182218234140557</v>
      </c>
      <c r="AX133" s="19">
        <v>0.93500029432694576</v>
      </c>
      <c r="AY133" s="19">
        <v>0.38508703826170809</v>
      </c>
      <c r="AZ133" s="19">
        <v>0.21588253552406433</v>
      </c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spans="1:61" x14ac:dyDescent="0.55000000000000004">
      <c r="A134" s="19" t="s">
        <v>609</v>
      </c>
      <c r="B134" s="19" t="s">
        <v>610</v>
      </c>
      <c r="C134" s="19" t="s">
        <v>8</v>
      </c>
      <c r="D134" s="19" t="s">
        <v>9</v>
      </c>
      <c r="E134" s="19">
        <v>1408</v>
      </c>
      <c r="F134" s="19">
        <v>68.019026768996113</v>
      </c>
      <c r="G134" s="19">
        <v>37.685122427078852</v>
      </c>
      <c r="H134" s="19">
        <v>53060.652377327024</v>
      </c>
      <c r="I134" s="19">
        <v>83.51190365155999</v>
      </c>
      <c r="J134" s="19">
        <v>44.273900966196763</v>
      </c>
      <c r="K134" s="19">
        <v>29.386803149675352</v>
      </c>
      <c r="L134" s="19">
        <v>93.668496010164461</v>
      </c>
      <c r="M134" s="19">
        <v>40.861599732305187</v>
      </c>
      <c r="N134" s="19">
        <v>12.648869652218453</v>
      </c>
      <c r="O134" s="19">
        <v>22.972395556882262</v>
      </c>
      <c r="P134" s="19">
        <v>48.229111208122106</v>
      </c>
      <c r="Q134" s="19">
        <v>764.38588346857284</v>
      </c>
      <c r="R134" s="19">
        <v>222.42549830814352</v>
      </c>
      <c r="S134" s="19">
        <v>1315.0698301175566</v>
      </c>
      <c r="T134" s="19">
        <v>1403.4513663181151</v>
      </c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>
        <v>2.4855563675403758</v>
      </c>
      <c r="AQ134" s="19">
        <v>1.2797918144340912</v>
      </c>
      <c r="AR134" s="19"/>
      <c r="AS134" s="19"/>
      <c r="AT134" s="19"/>
      <c r="AU134" s="19">
        <v>0.89156874732458258</v>
      </c>
      <c r="AV134" s="19">
        <v>0.47266586794979998</v>
      </c>
      <c r="AW134" s="19">
        <v>0.31373198462038332</v>
      </c>
      <c r="AX134" s="19">
        <v>0.84723932721828432</v>
      </c>
      <c r="AY134" s="19">
        <v>0.26226628140906522</v>
      </c>
      <c r="AZ134" s="19">
        <v>0.47631803658479105</v>
      </c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spans="1:61" x14ac:dyDescent="0.55000000000000004">
      <c r="A135" s="19" t="s">
        <v>611</v>
      </c>
      <c r="B135" s="19" t="s">
        <v>612</v>
      </c>
      <c r="C135" s="19" t="s">
        <v>51</v>
      </c>
      <c r="D135" s="19" t="s">
        <v>9</v>
      </c>
      <c r="E135" s="19">
        <v>1316</v>
      </c>
      <c r="F135" s="19">
        <v>69.477968882226321</v>
      </c>
      <c r="G135" s="19">
        <v>44.384856852976348</v>
      </c>
      <c r="H135" s="19">
        <v>58410.471618516873</v>
      </c>
      <c r="I135" s="19">
        <v>73.463773368061197</v>
      </c>
      <c r="J135" s="19">
        <v>17.946783346260151</v>
      </c>
      <c r="K135" s="19">
        <v>33.115121359225832</v>
      </c>
      <c r="L135" s="19">
        <v>75.701803093879306</v>
      </c>
      <c r="M135" s="19">
        <v>47.123634604350862</v>
      </c>
      <c r="N135" s="19">
        <v>22.506412465800661</v>
      </c>
      <c r="O135" s="19">
        <v>9.9671261633815398</v>
      </c>
      <c r="P135" s="19">
        <v>51.732989867070494</v>
      </c>
      <c r="Q135" s="19">
        <v>583.35617607108827</v>
      </c>
      <c r="R135" s="19">
        <v>2063.1803877152392</v>
      </c>
      <c r="S135" s="19">
        <v>1792.9743579645833</v>
      </c>
      <c r="T135" s="19">
        <v>2077.1318467322221</v>
      </c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>
        <v>1.7055772725513008</v>
      </c>
      <c r="AQ135" s="19">
        <v>1.1655549557912204</v>
      </c>
      <c r="AR135" s="19"/>
      <c r="AS135" s="19"/>
      <c r="AT135" s="19"/>
      <c r="AU135" s="19">
        <v>0.97043624280596485</v>
      </c>
      <c r="AV135" s="19">
        <v>0.23707207243140549</v>
      </c>
      <c r="AW135" s="19">
        <v>0.4374416461145465</v>
      </c>
      <c r="AX135" s="19">
        <v>0.91090104642002112</v>
      </c>
      <c r="AY135" s="19">
        <v>0.43504952108183925</v>
      </c>
      <c r="AZ135" s="19">
        <v>0.19266480033325692</v>
      </c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spans="1:61" x14ac:dyDescent="0.55000000000000004">
      <c r="A136" s="19" t="s">
        <v>613</v>
      </c>
      <c r="B136" s="19" t="s">
        <v>614</v>
      </c>
      <c r="C136" s="19" t="s">
        <v>51</v>
      </c>
      <c r="D136" s="19" t="s">
        <v>9</v>
      </c>
      <c r="E136" s="19">
        <v>1321</v>
      </c>
      <c r="F136" s="19">
        <v>68.425318443624889</v>
      </c>
      <c r="G136" s="19">
        <v>51.191052964357908</v>
      </c>
      <c r="H136" s="19">
        <v>67623.380965916804</v>
      </c>
      <c r="I136" s="19">
        <v>41.273510815835408</v>
      </c>
      <c r="J136" s="19">
        <v>13.144961716852857</v>
      </c>
      <c r="K136" s="19">
        <v>34.285122306833763</v>
      </c>
      <c r="L136" s="19">
        <v>52.43021002317289</v>
      </c>
      <c r="M136" s="19">
        <v>37.520608145282267</v>
      </c>
      <c r="N136" s="19">
        <v>12.694589594323437</v>
      </c>
      <c r="O136" s="19">
        <v>16.632852081227412</v>
      </c>
      <c r="P136" s="19">
        <v>41.343339122292726</v>
      </c>
      <c r="Q136" s="19">
        <v>556.90533130452707</v>
      </c>
      <c r="R136" s="19">
        <v>1103.3223087202659</v>
      </c>
      <c r="S136" s="19">
        <v>1692.826642128937</v>
      </c>
      <c r="T136" s="19">
        <v>1773.0511150608372</v>
      </c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>
        <v>1.0242065163160006</v>
      </c>
      <c r="AQ136" s="19">
        <v>0.80762822267161183</v>
      </c>
      <c r="AR136" s="19"/>
      <c r="AS136" s="19"/>
      <c r="AT136" s="19"/>
      <c r="AU136" s="19">
        <v>0.78720857302676284</v>
      </c>
      <c r="AV136" s="19">
        <v>0.25071350488665028</v>
      </c>
      <c r="AW136" s="19">
        <v>0.65391922503611111</v>
      </c>
      <c r="AX136" s="19">
        <v>0.90753695617804597</v>
      </c>
      <c r="AY136" s="19">
        <v>0.30705283762332569</v>
      </c>
      <c r="AZ136" s="19">
        <v>0.40231032215438106</v>
      </c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spans="1:61" x14ac:dyDescent="0.55000000000000004">
      <c r="A137" s="19" t="s">
        <v>617</v>
      </c>
      <c r="B137" s="19" t="s">
        <v>618</v>
      </c>
      <c r="C137" s="19" t="s">
        <v>51</v>
      </c>
      <c r="D137" s="19" t="s">
        <v>9</v>
      </c>
      <c r="E137" s="19">
        <v>1101</v>
      </c>
      <c r="F137" s="19">
        <v>63.100075993101633</v>
      </c>
      <c r="G137" s="19">
        <v>61.362726878568864</v>
      </c>
      <c r="H137" s="19"/>
      <c r="I137" s="19">
        <v>51.406464987076014</v>
      </c>
      <c r="J137" s="19">
        <v>21.920153169679438</v>
      </c>
      <c r="K137" s="19">
        <v>31.492866404308991</v>
      </c>
      <c r="L137" s="19">
        <v>62.483982148311888</v>
      </c>
      <c r="M137" s="19">
        <v>33.404458342020448</v>
      </c>
      <c r="N137" s="19">
        <v>31.221878113661663</v>
      </c>
      <c r="O137" s="19">
        <v>16.096495612547677</v>
      </c>
      <c r="P137" s="19">
        <v>39.253927253093728</v>
      </c>
      <c r="Q137" s="19">
        <v>768.23938964157458</v>
      </c>
      <c r="R137" s="19">
        <v>426.71358015497907</v>
      </c>
      <c r="S137" s="19">
        <v>1454.8976896408726</v>
      </c>
      <c r="T137" s="19">
        <v>1513.0996172417165</v>
      </c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>
        <v>1.0182725789217595</v>
      </c>
      <c r="AQ137" s="19">
        <v>0.63970311050181328</v>
      </c>
      <c r="AR137" s="19"/>
      <c r="AS137" s="19"/>
      <c r="AT137" s="19"/>
      <c r="AU137" s="19">
        <v>0.82271428964078674</v>
      </c>
      <c r="AV137" s="19">
        <v>0.35081235888022938</v>
      </c>
      <c r="AW137" s="19">
        <v>0.50401503427802619</v>
      </c>
      <c r="AX137" s="19">
        <v>0.85098385510936958</v>
      </c>
      <c r="AY137" s="19">
        <v>0.79538227888270641</v>
      </c>
      <c r="AZ137" s="19">
        <v>0.41006076942986797</v>
      </c>
      <c r="BA137" s="19"/>
      <c r="BB137" s="19"/>
      <c r="BC137" s="19"/>
      <c r="BD137" s="19"/>
      <c r="BE137" s="19"/>
      <c r="BF137" s="19"/>
      <c r="BG137" s="19"/>
      <c r="BH137" s="19"/>
      <c r="BI137" s="19"/>
    </row>
    <row r="138" spans="1:61" x14ac:dyDescent="0.55000000000000004">
      <c r="A138" s="19" t="s">
        <v>619</v>
      </c>
      <c r="B138" s="19" t="s">
        <v>620</v>
      </c>
      <c r="C138" s="19" t="s">
        <v>51</v>
      </c>
      <c r="D138" s="19" t="s">
        <v>9</v>
      </c>
      <c r="E138" s="19">
        <v>1394</v>
      </c>
      <c r="F138" s="19">
        <v>68.044024327993583</v>
      </c>
      <c r="G138" s="19">
        <v>43.270453570079894</v>
      </c>
      <c r="H138" s="19">
        <v>60319.01227669137</v>
      </c>
      <c r="I138" s="19">
        <v>33.686874216480767</v>
      </c>
      <c r="J138" s="19">
        <v>15.439147165186911</v>
      </c>
      <c r="K138" s="19">
        <v>28.800895672923332</v>
      </c>
      <c r="L138" s="19">
        <v>45.701308530815005</v>
      </c>
      <c r="M138" s="19">
        <v>37.443149010496171</v>
      </c>
      <c r="N138" s="19">
        <v>18.888898748574867</v>
      </c>
      <c r="O138" s="19">
        <v>14.319162893996834</v>
      </c>
      <c r="P138" s="19">
        <v>43.796191085903246</v>
      </c>
      <c r="Q138" s="19">
        <v>566.91955251177365</v>
      </c>
      <c r="R138" s="19">
        <v>133.85274635931057</v>
      </c>
      <c r="S138" s="19">
        <v>993.14324848656247</v>
      </c>
      <c r="T138" s="19">
        <v>1065.5237687390706</v>
      </c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>
        <v>1.0561781714813354</v>
      </c>
      <c r="AQ138" s="19">
        <v>1.0121500347800116</v>
      </c>
      <c r="AR138" s="19"/>
      <c r="AS138" s="19"/>
      <c r="AT138" s="19"/>
      <c r="AU138" s="19">
        <v>0.73710962113408041</v>
      </c>
      <c r="AV138" s="19">
        <v>0.33782724524784147</v>
      </c>
      <c r="AW138" s="19">
        <v>0.6301984910017131</v>
      </c>
      <c r="AX138" s="19">
        <v>0.85494076270363295</v>
      </c>
      <c r="AY138" s="19">
        <v>0.43129090179384727</v>
      </c>
      <c r="AZ138" s="19">
        <v>0.3269499593220509</v>
      </c>
      <c r="BA138" s="19"/>
      <c r="BB138" s="19"/>
      <c r="BC138" s="19"/>
      <c r="BD138" s="19"/>
      <c r="BE138" s="19"/>
      <c r="BF138" s="19"/>
      <c r="BG138" s="19"/>
      <c r="BH138" s="19"/>
      <c r="BI138" s="19"/>
    </row>
    <row r="139" spans="1:61" x14ac:dyDescent="0.55000000000000004">
      <c r="A139" s="19" t="s">
        <v>621</v>
      </c>
      <c r="B139" s="19" t="s">
        <v>622</v>
      </c>
      <c r="C139" s="19" t="s">
        <v>51</v>
      </c>
      <c r="D139" s="19" t="s">
        <v>9</v>
      </c>
      <c r="E139" s="19">
        <v>1578</v>
      </c>
      <c r="F139" s="19">
        <v>68.675240125408209</v>
      </c>
      <c r="G139" s="19">
        <v>56.887003709616359</v>
      </c>
      <c r="H139" s="19">
        <v>89767.69185377461</v>
      </c>
      <c r="I139" s="19">
        <v>55.255688436389676</v>
      </c>
      <c r="J139" s="19">
        <v>16.56668033932888</v>
      </c>
      <c r="K139" s="19">
        <v>33.516399648565709</v>
      </c>
      <c r="L139" s="19">
        <v>64.62875282700206</v>
      </c>
      <c r="M139" s="19">
        <v>37.233246307483057</v>
      </c>
      <c r="N139" s="19">
        <v>19.708114322658442</v>
      </c>
      <c r="O139" s="19">
        <v>7.6680646833487263</v>
      </c>
      <c r="P139" s="19">
        <v>42.219233337760102</v>
      </c>
      <c r="Q139" s="19">
        <v>536.12575784791375</v>
      </c>
      <c r="R139" s="19">
        <v>1114.7430834648151</v>
      </c>
      <c r="S139" s="19">
        <v>917.85837907734935</v>
      </c>
      <c r="T139" s="19">
        <v>1146.2819763166731</v>
      </c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>
        <v>1.1360899434412821</v>
      </c>
      <c r="AQ139" s="19">
        <v>0.74215955463696237</v>
      </c>
      <c r="AR139" s="19"/>
      <c r="AS139" s="19"/>
      <c r="AT139" s="19"/>
      <c r="AU139" s="19">
        <v>0.85497067511573122</v>
      </c>
      <c r="AV139" s="19">
        <v>0.25633606737970777</v>
      </c>
      <c r="AW139" s="19">
        <v>0.51859889263656767</v>
      </c>
      <c r="AX139" s="19">
        <v>0.88190247344407202</v>
      </c>
      <c r="AY139" s="19">
        <v>0.46680417346735353</v>
      </c>
      <c r="AZ139" s="19">
        <v>0.18162491540296519</v>
      </c>
      <c r="BA139" s="19"/>
      <c r="BB139" s="19"/>
      <c r="BC139" s="19"/>
      <c r="BD139" s="19"/>
      <c r="BE139" s="19"/>
      <c r="BF139" s="19"/>
      <c r="BG139" s="19"/>
      <c r="BH139" s="19"/>
      <c r="BI139" s="19"/>
    </row>
    <row r="140" spans="1:61" x14ac:dyDescent="0.55000000000000004">
      <c r="A140" s="19" t="s">
        <v>625</v>
      </c>
      <c r="B140" s="19" t="s">
        <v>626</v>
      </c>
      <c r="C140" s="19" t="s">
        <v>8</v>
      </c>
      <c r="D140" s="19" t="s">
        <v>9</v>
      </c>
      <c r="E140" s="19">
        <v>1622</v>
      </c>
      <c r="F140" s="19">
        <v>51.709259396212303</v>
      </c>
      <c r="G140" s="19">
        <v>69.985017520902758</v>
      </c>
      <c r="H140" s="19">
        <v>113515.69841890427</v>
      </c>
      <c r="I140" s="19">
        <v>39.397694909420551</v>
      </c>
      <c r="J140" s="19">
        <v>18.624168150911839</v>
      </c>
      <c r="K140" s="19">
        <v>32.127758332434198</v>
      </c>
      <c r="L140" s="19">
        <v>50.848211549819631</v>
      </c>
      <c r="M140" s="19">
        <v>42.908496042803414</v>
      </c>
      <c r="N140" s="19">
        <v>16.744284195282599</v>
      </c>
      <c r="O140" s="19">
        <v>20.134766234014499</v>
      </c>
      <c r="P140" s="19">
        <v>49.49418421375934</v>
      </c>
      <c r="Q140" s="19">
        <v>494.31573322012434</v>
      </c>
      <c r="R140" s="19">
        <v>142.04559309886034</v>
      </c>
      <c r="S140" s="19">
        <v>1598.0305880344592</v>
      </c>
      <c r="T140" s="19">
        <v>1642.6672877726958</v>
      </c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>
        <v>0.72655853139756021</v>
      </c>
      <c r="AQ140" s="19">
        <v>0.70721114271317675</v>
      </c>
      <c r="AR140" s="19"/>
      <c r="AS140" s="19"/>
      <c r="AT140" s="19"/>
      <c r="AU140" s="19">
        <v>0.77480984499955929</v>
      </c>
      <c r="AV140" s="19">
        <v>0.36626987623083673</v>
      </c>
      <c r="AW140" s="19">
        <v>0.631836545538211</v>
      </c>
      <c r="AX140" s="19">
        <v>0.86694016124170992</v>
      </c>
      <c r="AY140" s="19">
        <v>0.33830811561548485</v>
      </c>
      <c r="AZ140" s="19">
        <v>0.40681075067436007</v>
      </c>
      <c r="BA140" s="19"/>
      <c r="BB140" s="19"/>
      <c r="BC140" s="19"/>
      <c r="BD140" s="19"/>
      <c r="BE140" s="19"/>
      <c r="BF140" s="19"/>
      <c r="BG140" s="19"/>
      <c r="BH140" s="19"/>
      <c r="BI140" s="19"/>
    </row>
    <row r="141" spans="1:61" x14ac:dyDescent="0.55000000000000004">
      <c r="A141" s="19" t="s">
        <v>627</v>
      </c>
      <c r="B141" s="19" t="s">
        <v>628</v>
      </c>
      <c r="C141" s="19" t="s">
        <v>8</v>
      </c>
      <c r="D141" s="19" t="s">
        <v>9</v>
      </c>
      <c r="E141" s="19">
        <v>1552</v>
      </c>
      <c r="F141" s="19">
        <v>71.998462112507852</v>
      </c>
      <c r="G141" s="19">
        <v>45.732129880176444</v>
      </c>
      <c r="H141" s="19">
        <v>70976.265574033838</v>
      </c>
      <c r="I141" s="19">
        <v>36.474083958854081</v>
      </c>
      <c r="J141" s="19">
        <v>17.295340009973195</v>
      </c>
      <c r="K141" s="19">
        <v>23.811583390523712</v>
      </c>
      <c r="L141" s="19">
        <v>40.933778704608542</v>
      </c>
      <c r="M141" s="19">
        <v>35.596645504058742</v>
      </c>
      <c r="N141" s="19">
        <v>14.387531693236248</v>
      </c>
      <c r="O141" s="19">
        <v>6.0955220575631701</v>
      </c>
      <c r="P141" s="19">
        <v>38.464209867831926</v>
      </c>
      <c r="Q141" s="19">
        <v>416.88182779430173</v>
      </c>
      <c r="R141" s="19">
        <v>243.64783713242741</v>
      </c>
      <c r="S141" s="19">
        <v>1023.9289069517913</v>
      </c>
      <c r="T141" s="19">
        <v>1023.9934256002922</v>
      </c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>
        <v>0.89507702378743026</v>
      </c>
      <c r="AQ141" s="19">
        <v>0.8410762841925945</v>
      </c>
      <c r="AR141" s="19"/>
      <c r="AS141" s="19"/>
      <c r="AT141" s="19"/>
      <c r="AU141" s="19">
        <v>0.89105098803760407</v>
      </c>
      <c r="AV141" s="19">
        <v>0.4225199958885299</v>
      </c>
      <c r="AW141" s="19">
        <v>0.58170987736939317</v>
      </c>
      <c r="AX141" s="19">
        <v>0.92544850463257888</v>
      </c>
      <c r="AY141" s="19">
        <v>0.37404984380736522</v>
      </c>
      <c r="AZ141" s="19">
        <v>0.15847256653674113</v>
      </c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spans="1:61" x14ac:dyDescent="0.55000000000000004">
      <c r="A142" s="19" t="s">
        <v>629</v>
      </c>
      <c r="B142" s="19" t="s">
        <v>630</v>
      </c>
      <c r="C142" s="19" t="s">
        <v>8</v>
      </c>
      <c r="D142" s="19" t="s">
        <v>9</v>
      </c>
      <c r="E142" s="19">
        <v>1570</v>
      </c>
      <c r="F142" s="19">
        <v>68.31075239867495</v>
      </c>
      <c r="G142" s="19">
        <v>35.77449758470862</v>
      </c>
      <c r="H142" s="19">
        <v>56165.961207992535</v>
      </c>
      <c r="I142" s="19">
        <v>29.54976122332295</v>
      </c>
      <c r="J142" s="19">
        <v>23.641305997512525</v>
      </c>
      <c r="K142" s="19">
        <v>25.680867103829438</v>
      </c>
      <c r="L142" s="19">
        <v>38.2408028571881</v>
      </c>
      <c r="M142" s="19">
        <v>33.900921213414293</v>
      </c>
      <c r="N142" s="19">
        <v>11.236549898309615</v>
      </c>
      <c r="O142" s="19">
        <v>13.088312024593712</v>
      </c>
      <c r="P142" s="19">
        <v>36.615106536798741</v>
      </c>
      <c r="Q142" s="19">
        <v>544.88721634695014</v>
      </c>
      <c r="R142" s="19">
        <v>466.34747080555155</v>
      </c>
      <c r="S142" s="19">
        <v>1239.3380199551989</v>
      </c>
      <c r="T142" s="19">
        <v>1293.8368409934949</v>
      </c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>
        <v>1.0689403189140432</v>
      </c>
      <c r="AQ142" s="19">
        <v>1.0234974355712385</v>
      </c>
      <c r="AR142" s="19"/>
      <c r="AS142" s="19"/>
      <c r="AT142" s="19"/>
      <c r="AU142" s="19">
        <v>0.77272857825913821</v>
      </c>
      <c r="AV142" s="19">
        <v>0.61822200976799535</v>
      </c>
      <c r="AW142" s="19">
        <v>0.67155669298408105</v>
      </c>
      <c r="AX142" s="19">
        <v>0.92587252694030397</v>
      </c>
      <c r="AY142" s="19">
        <v>0.30688289509732031</v>
      </c>
      <c r="AZ142" s="19">
        <v>0.35745661456535049</v>
      </c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spans="1:61" x14ac:dyDescent="0.55000000000000004">
      <c r="A143" s="19" t="s">
        <v>635</v>
      </c>
      <c r="B143" s="19" t="s">
        <v>636</v>
      </c>
      <c r="C143" s="19" t="s">
        <v>51</v>
      </c>
      <c r="D143" s="19" t="s">
        <v>9</v>
      </c>
      <c r="E143" s="19">
        <v>1645</v>
      </c>
      <c r="F143" s="19">
        <v>61.891717149366841</v>
      </c>
      <c r="G143" s="19">
        <v>47.67255676203925</v>
      </c>
      <c r="H143" s="19">
        <v>78421.355873554567</v>
      </c>
      <c r="I143" s="19">
        <v>55.517473285876548</v>
      </c>
      <c r="J143" s="19">
        <v>33.500667201025124</v>
      </c>
      <c r="K143" s="19">
        <v>29.162283981893019</v>
      </c>
      <c r="L143" s="19">
        <v>66.845169324202985</v>
      </c>
      <c r="M143" s="19">
        <v>38.549162173302975</v>
      </c>
      <c r="N143" s="19">
        <v>16.912896885713703</v>
      </c>
      <c r="O143" s="19">
        <v>20.371653412982134</v>
      </c>
      <c r="P143" s="19">
        <v>44.412293715222489</v>
      </c>
      <c r="Q143" s="19">
        <v>539.47772331672422</v>
      </c>
      <c r="R143" s="19">
        <v>123.88194881472089</v>
      </c>
      <c r="S143" s="19">
        <v>1946.6493263649395</v>
      </c>
      <c r="T143" s="19">
        <v>1970.7000673248642</v>
      </c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>
        <v>1.4021729452830716</v>
      </c>
      <c r="AQ143" s="19">
        <v>0.93161132382534917</v>
      </c>
      <c r="AR143" s="19"/>
      <c r="AS143" s="19"/>
      <c r="AT143" s="19"/>
      <c r="AU143" s="19">
        <v>0.83053829988242756</v>
      </c>
      <c r="AV143" s="19">
        <v>0.50116811042163611</v>
      </c>
      <c r="AW143" s="19">
        <v>0.43626613974832251</v>
      </c>
      <c r="AX143" s="19">
        <v>0.86798404109648808</v>
      </c>
      <c r="AY143" s="19">
        <v>0.38081565870390388</v>
      </c>
      <c r="AZ143" s="19">
        <v>0.45869401710273905</v>
      </c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spans="1:61" x14ac:dyDescent="0.55000000000000004">
      <c r="A144" s="19" t="s">
        <v>639</v>
      </c>
      <c r="B144" s="19" t="s">
        <v>640</v>
      </c>
      <c r="C144" s="19" t="s">
        <v>51</v>
      </c>
      <c r="D144" s="19" t="s">
        <v>9</v>
      </c>
      <c r="E144" s="19">
        <v>1195</v>
      </c>
      <c r="F144" s="19">
        <v>60.641519075790299</v>
      </c>
      <c r="G144" s="19">
        <v>41.261059589711188</v>
      </c>
      <c r="H144" s="19">
        <v>49306.966209704871</v>
      </c>
      <c r="I144" s="19">
        <v>65.002912769835973</v>
      </c>
      <c r="J144" s="19">
        <v>21.619651380459974</v>
      </c>
      <c r="K144" s="19">
        <v>32.540221561318873</v>
      </c>
      <c r="L144" s="19">
        <v>74.354774069626529</v>
      </c>
      <c r="M144" s="19">
        <v>48.764259364400466</v>
      </c>
      <c r="N144" s="19">
        <v>15.742458051906166</v>
      </c>
      <c r="O144" s="19">
        <v>11.440500064025075</v>
      </c>
      <c r="P144" s="19">
        <v>49.886476008691346</v>
      </c>
      <c r="Q144" s="19">
        <v>784.46867195826508</v>
      </c>
      <c r="R144" s="19">
        <v>195.93891000124279</v>
      </c>
      <c r="S144" s="19">
        <v>1151.1896272582462</v>
      </c>
      <c r="T144" s="19">
        <v>1180.6469044402268</v>
      </c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>
        <v>1.802056825709041</v>
      </c>
      <c r="AQ144" s="19">
        <v>1.2090449567885306</v>
      </c>
      <c r="AR144" s="19"/>
      <c r="AS144" s="19"/>
      <c r="AT144" s="19"/>
      <c r="AU144" s="19">
        <v>0.87422648489210142</v>
      </c>
      <c r="AV144" s="19">
        <v>0.29076346005994347</v>
      </c>
      <c r="AW144" s="19">
        <v>0.43763459668168575</v>
      </c>
      <c r="AX144" s="19">
        <v>0.97750459174355464</v>
      </c>
      <c r="AY144" s="19">
        <v>0.31556564647227187</v>
      </c>
      <c r="AZ144" s="19">
        <v>0.22933069199018755</v>
      </c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spans="1:61" x14ac:dyDescent="0.55000000000000004">
      <c r="A145" s="19" t="s">
        <v>641</v>
      </c>
      <c r="B145" s="19" t="s">
        <v>642</v>
      </c>
      <c r="C145" s="19" t="s">
        <v>8</v>
      </c>
      <c r="D145" s="19" t="s">
        <v>9</v>
      </c>
      <c r="E145" s="19">
        <v>2219</v>
      </c>
      <c r="F145" s="19">
        <v>70.203220896536862</v>
      </c>
      <c r="G145" s="19">
        <v>43.656037681527017</v>
      </c>
      <c r="H145" s="19">
        <v>96872.747615308457</v>
      </c>
      <c r="I145" s="19">
        <v>55.103405427314541</v>
      </c>
      <c r="J145" s="19">
        <v>9.0699809676657335</v>
      </c>
      <c r="K145" s="19">
        <v>36.794941162064177</v>
      </c>
      <c r="L145" s="19">
        <v>59.714678925948633</v>
      </c>
      <c r="M145" s="19">
        <v>31.96094615776201</v>
      </c>
      <c r="N145" s="19">
        <v>9.4391452772836253</v>
      </c>
      <c r="O145" s="19">
        <v>16.858711658639788</v>
      </c>
      <c r="P145" s="19">
        <v>36.088374455320931</v>
      </c>
      <c r="Q145" s="19">
        <v>585.05033405456118</v>
      </c>
      <c r="R145" s="19">
        <v>368.03955092350293</v>
      </c>
      <c r="S145" s="19">
        <v>679.22393471644011</v>
      </c>
      <c r="T145" s="19">
        <v>781.96985141154596</v>
      </c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>
        <v>1.367844680764897</v>
      </c>
      <c r="AQ145" s="19">
        <v>0.82665254044783976</v>
      </c>
      <c r="AR145" s="19"/>
      <c r="AS145" s="19"/>
      <c r="AT145" s="19"/>
      <c r="AU145" s="19">
        <v>0.92277822502650531</v>
      </c>
      <c r="AV145" s="19">
        <v>0.15188863326073132</v>
      </c>
      <c r="AW145" s="19">
        <v>0.61617916773349957</v>
      </c>
      <c r="AX145" s="19">
        <v>0.88562997475353544</v>
      </c>
      <c r="AY145" s="19">
        <v>0.26155639924900809</v>
      </c>
      <c r="AZ145" s="19">
        <v>0.46715076290043622</v>
      </c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spans="1:61" x14ac:dyDescent="0.55000000000000004">
      <c r="A146" s="19" t="s">
        <v>643</v>
      </c>
      <c r="B146" s="19" t="s">
        <v>644</v>
      </c>
      <c r="C146" s="19" t="s">
        <v>51</v>
      </c>
      <c r="D146" s="19" t="s">
        <v>9</v>
      </c>
      <c r="E146" s="19">
        <v>1073</v>
      </c>
      <c r="F146" s="19">
        <v>67.401607277764356</v>
      </c>
      <c r="G146" s="19">
        <v>49.907303866967602</v>
      </c>
      <c r="H146" s="19">
        <v>53550.537049256236</v>
      </c>
      <c r="I146" s="19">
        <v>44.812821136816765</v>
      </c>
      <c r="J146" s="19">
        <v>38.118150417256288</v>
      </c>
      <c r="K146" s="19">
        <v>34.209570912877126</v>
      </c>
      <c r="L146" s="19">
        <v>52.53942903822027</v>
      </c>
      <c r="M146" s="19">
        <v>42.014916616248009</v>
      </c>
      <c r="N146" s="19">
        <v>11.254248025044568</v>
      </c>
      <c r="O146" s="19">
        <v>17.907718545258334</v>
      </c>
      <c r="P146" s="19">
        <v>44.131030489046942</v>
      </c>
      <c r="Q146" s="19">
        <v>502.94636691711548</v>
      </c>
      <c r="R146" s="19">
        <v>170.06028233087585</v>
      </c>
      <c r="S146" s="19">
        <v>1799.8464653073129</v>
      </c>
      <c r="T146" s="19">
        <v>1812.9108995453378</v>
      </c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>
        <v>1.0527402798249497</v>
      </c>
      <c r="AQ146" s="19">
        <v>0.88425995935749535</v>
      </c>
      <c r="AR146" s="19"/>
      <c r="AS146" s="19"/>
      <c r="AT146" s="19"/>
      <c r="AU146" s="19">
        <v>0.85293696481203263</v>
      </c>
      <c r="AV146" s="19">
        <v>0.7255151248318078</v>
      </c>
      <c r="AW146" s="19">
        <v>0.65112186293442731</v>
      </c>
      <c r="AX146" s="19">
        <v>0.95204929843357855</v>
      </c>
      <c r="AY146" s="19">
        <v>0.25501892659945491</v>
      </c>
      <c r="AZ146" s="19">
        <v>0.40578518894325211</v>
      </c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spans="1:61" x14ac:dyDescent="0.55000000000000004">
      <c r="A147" s="19" t="s">
        <v>645</v>
      </c>
      <c r="B147" s="19" t="s">
        <v>646</v>
      </c>
      <c r="C147" s="19" t="s">
        <v>8</v>
      </c>
      <c r="D147" s="19" t="s">
        <v>9</v>
      </c>
      <c r="E147" s="19">
        <v>1622</v>
      </c>
      <c r="F147" s="19">
        <v>62.042227847362938</v>
      </c>
      <c r="G147" s="19">
        <v>33.841986525260388</v>
      </c>
      <c r="H147" s="19">
        <v>54891.702143972347</v>
      </c>
      <c r="I147" s="19">
        <v>37.296006177285108</v>
      </c>
      <c r="J147" s="19">
        <v>22.214113666487606</v>
      </c>
      <c r="K147" s="19">
        <v>15.806209375022496</v>
      </c>
      <c r="L147" s="19">
        <v>38.781849315481885</v>
      </c>
      <c r="M147" s="19">
        <v>35.863772164039936</v>
      </c>
      <c r="N147" s="19">
        <v>10.949484981547155</v>
      </c>
      <c r="O147" s="19">
        <v>9.757396115463596</v>
      </c>
      <c r="P147" s="19">
        <v>37.53546250945665</v>
      </c>
      <c r="Q147" s="19">
        <v>648.3777880930777</v>
      </c>
      <c r="R147" s="19">
        <v>94.837996445308065</v>
      </c>
      <c r="S147" s="19">
        <v>735.33388657072442</v>
      </c>
      <c r="T147" s="19">
        <v>928.65095404739577</v>
      </c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>
        <v>1.1459684639533285</v>
      </c>
      <c r="AQ147" s="19">
        <v>1.1091388645710669</v>
      </c>
      <c r="AR147" s="19"/>
      <c r="AS147" s="19"/>
      <c r="AT147" s="19"/>
      <c r="AU147" s="19">
        <v>0.96168715096307633</v>
      </c>
      <c r="AV147" s="19">
        <v>0.57279665767819987</v>
      </c>
      <c r="AW147" s="19">
        <v>0.40756719068351871</v>
      </c>
      <c r="AX147" s="19">
        <v>0.95546370728759367</v>
      </c>
      <c r="AY147" s="19">
        <v>0.29171040529442127</v>
      </c>
      <c r="AZ147" s="19">
        <v>0.25995140230402985</v>
      </c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spans="1:61" x14ac:dyDescent="0.55000000000000004">
      <c r="A148" s="19" t="s">
        <v>649</v>
      </c>
      <c r="B148" s="19" t="s">
        <v>650</v>
      </c>
      <c r="C148" s="19" t="s">
        <v>8</v>
      </c>
      <c r="D148" s="19" t="s">
        <v>9</v>
      </c>
      <c r="E148" s="19">
        <v>1677</v>
      </c>
      <c r="F148" s="19">
        <v>63.656996853509185</v>
      </c>
      <c r="G148" s="19">
        <v>41.84396733932234</v>
      </c>
      <c r="H148" s="19">
        <v>70172.333228043572</v>
      </c>
      <c r="I148" s="19">
        <v>70.114052247214573</v>
      </c>
      <c r="J148" s="19">
        <v>22.561043388848177</v>
      </c>
      <c r="K148" s="19">
        <v>45.49531346107203</v>
      </c>
      <c r="L148" s="19">
        <v>80.252938980834358</v>
      </c>
      <c r="M148" s="19">
        <v>49.31223814364003</v>
      </c>
      <c r="N148" s="19">
        <v>27.229402186100721</v>
      </c>
      <c r="O148" s="19">
        <v>11.04150325540059</v>
      </c>
      <c r="P148" s="19">
        <v>51.830628384372112</v>
      </c>
      <c r="Q148" s="19">
        <v>429.20347320977521</v>
      </c>
      <c r="R148" s="19">
        <v>82.863988164648759</v>
      </c>
      <c r="S148" s="19">
        <v>1825.9759397929608</v>
      </c>
      <c r="T148" s="19">
        <v>1863.7047040238974</v>
      </c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>
        <v>1.9179094164290122</v>
      </c>
      <c r="AQ148" s="19">
        <v>1.2386642969120409</v>
      </c>
      <c r="AR148" s="19"/>
      <c r="AS148" s="19"/>
      <c r="AT148" s="19"/>
      <c r="AU148" s="19">
        <v>0.87366335909466064</v>
      </c>
      <c r="AV148" s="19">
        <v>0.28112420149791778</v>
      </c>
      <c r="AW148" s="19">
        <v>0.56689903246953999</v>
      </c>
      <c r="AX148" s="19">
        <v>0.95141115747129501</v>
      </c>
      <c r="AY148" s="19">
        <v>0.52535350303240558</v>
      </c>
      <c r="AZ148" s="19">
        <v>0.21303047251361912</v>
      </c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spans="1:61" x14ac:dyDescent="0.55000000000000004">
      <c r="A149" s="19" t="s">
        <v>651</v>
      </c>
      <c r="B149" s="19" t="s">
        <v>652</v>
      </c>
      <c r="C149" s="19" t="s">
        <v>134</v>
      </c>
      <c r="D149" s="19" t="s">
        <v>9</v>
      </c>
      <c r="E149" s="19">
        <v>1754</v>
      </c>
      <c r="F149" s="19">
        <v>68.125821863243303</v>
      </c>
      <c r="G149" s="19">
        <v>35.342828862380138</v>
      </c>
      <c r="H149" s="19">
        <v>61991.321824614759</v>
      </c>
      <c r="I149" s="19">
        <v>45.507723946723608</v>
      </c>
      <c r="J149" s="19">
        <v>9.9055609658021204</v>
      </c>
      <c r="K149" s="19">
        <v>33.167424645788302</v>
      </c>
      <c r="L149" s="19">
        <v>55.046612767627778</v>
      </c>
      <c r="M149" s="19">
        <v>41.234484073572247</v>
      </c>
      <c r="N149" s="19">
        <v>12.760613060938102</v>
      </c>
      <c r="O149" s="19">
        <v>16.662036624437025</v>
      </c>
      <c r="P149" s="19">
        <v>44.863752363861387</v>
      </c>
      <c r="Q149" s="19">
        <v>627.40899352188296</v>
      </c>
      <c r="R149" s="19">
        <v>160.4898644502502</v>
      </c>
      <c r="S149" s="19">
        <v>1452.2705824645973</v>
      </c>
      <c r="T149" s="19">
        <v>1497.4335095012007</v>
      </c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>
        <v>1.5575044369530047</v>
      </c>
      <c r="AQ149" s="19">
        <v>1.2693877034731529</v>
      </c>
      <c r="AR149" s="19"/>
      <c r="AS149" s="19"/>
      <c r="AT149" s="19"/>
      <c r="AU149" s="19">
        <v>0.82671251978443494</v>
      </c>
      <c r="AV149" s="19">
        <v>0.1799486011540288</v>
      </c>
      <c r="AW149" s="19">
        <v>0.60253343445127738</v>
      </c>
      <c r="AX149" s="19">
        <v>0.91910466470003549</v>
      </c>
      <c r="AY149" s="19">
        <v>0.28443035610229117</v>
      </c>
      <c r="AZ149" s="19">
        <v>0.37139195333689062</v>
      </c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spans="1:61" x14ac:dyDescent="0.55000000000000004">
      <c r="A150" s="19" t="s">
        <v>653</v>
      </c>
      <c r="B150" s="19" t="s">
        <v>654</v>
      </c>
      <c r="C150" s="19" t="s">
        <v>134</v>
      </c>
      <c r="D150" s="19" t="s">
        <v>9</v>
      </c>
      <c r="E150" s="19">
        <v>1685</v>
      </c>
      <c r="F150" s="19">
        <v>69.140581857959077</v>
      </c>
      <c r="G150" s="19">
        <v>33.221700563976093</v>
      </c>
      <c r="H150" s="19">
        <v>55978.565450299713</v>
      </c>
      <c r="I150" s="19">
        <v>53.472556150822378</v>
      </c>
      <c r="J150" s="19">
        <v>15.516877898173679</v>
      </c>
      <c r="K150" s="19">
        <v>27.431516081719465</v>
      </c>
      <c r="L150" s="19">
        <v>59.600807187270782</v>
      </c>
      <c r="M150" s="19">
        <v>36.003206394900076</v>
      </c>
      <c r="N150" s="19">
        <v>17.976301004144354</v>
      </c>
      <c r="O150" s="19">
        <v>11.450739182476063</v>
      </c>
      <c r="P150" s="19">
        <v>39.627760210332717</v>
      </c>
      <c r="Q150" s="19">
        <v>505.03373861987086</v>
      </c>
      <c r="R150" s="19">
        <v>2344.3039736358614</v>
      </c>
      <c r="S150" s="19">
        <v>1270.1230590331293</v>
      </c>
      <c r="T150" s="19">
        <v>2361.168208351658</v>
      </c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>
        <v>1.7940323997712158</v>
      </c>
      <c r="AQ150" s="19">
        <v>1.1928275656455416</v>
      </c>
      <c r="AR150" s="19"/>
      <c r="AS150" s="19"/>
      <c r="AT150" s="19"/>
      <c r="AU150" s="19">
        <v>0.89717838858804511</v>
      </c>
      <c r="AV150" s="19">
        <v>0.26034677432166875</v>
      </c>
      <c r="AW150" s="19">
        <v>0.46025410353130486</v>
      </c>
      <c r="AX150" s="19">
        <v>0.90853498163422419</v>
      </c>
      <c r="AY150" s="19">
        <v>0.45362899413772906</v>
      </c>
      <c r="AZ150" s="19">
        <v>0.28895751669281444</v>
      </c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spans="1:61" x14ac:dyDescent="0.55000000000000004">
      <c r="A151" s="19" t="s">
        <v>655</v>
      </c>
      <c r="B151" s="19" t="s">
        <v>656</v>
      </c>
      <c r="C151" s="19" t="s">
        <v>51</v>
      </c>
      <c r="D151" s="19" t="s">
        <v>9</v>
      </c>
      <c r="E151" s="19">
        <v>1379</v>
      </c>
      <c r="F151" s="19">
        <v>68.642085791726274</v>
      </c>
      <c r="G151" s="19">
        <v>38.402913215248191</v>
      </c>
      <c r="H151" s="19">
        <v>52957.617323827253</v>
      </c>
      <c r="I151" s="19">
        <v>49.513555899552571</v>
      </c>
      <c r="J151" s="19">
        <v>13.271837139524674</v>
      </c>
      <c r="K151" s="19">
        <v>28.797273763388922</v>
      </c>
      <c r="L151" s="19">
        <v>54.080194635814216</v>
      </c>
      <c r="M151" s="19">
        <v>39.455249641378984</v>
      </c>
      <c r="N151" s="19">
        <v>16.553903237070475</v>
      </c>
      <c r="O151" s="19">
        <v>19.031944744032437</v>
      </c>
      <c r="P151" s="19">
        <v>42.606359213358246</v>
      </c>
      <c r="Q151" s="19">
        <v>598.36169108762761</v>
      </c>
      <c r="R151" s="19">
        <v>168.40754882659564</v>
      </c>
      <c r="S151" s="19">
        <v>1766.4613208083265</v>
      </c>
      <c r="T151" s="19">
        <v>1854.0914748265534</v>
      </c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>
        <v>1.4082315665141059</v>
      </c>
      <c r="AQ151" s="19">
        <v>1.1094564356237704</v>
      </c>
      <c r="AR151" s="19"/>
      <c r="AS151" s="19"/>
      <c r="AT151" s="19"/>
      <c r="AU151" s="19">
        <v>0.91555801958528049</v>
      </c>
      <c r="AV151" s="19">
        <v>0.24541030646985684</v>
      </c>
      <c r="AW151" s="19">
        <v>0.53249205106074338</v>
      </c>
      <c r="AX151" s="19">
        <v>0.92604133208849015</v>
      </c>
      <c r="AY151" s="19">
        <v>0.38853127896176537</v>
      </c>
      <c r="AZ151" s="19">
        <v>0.44669258522482269</v>
      </c>
      <c r="BA151" s="19"/>
      <c r="BB151" s="19"/>
      <c r="BC151" s="19"/>
      <c r="BD151" s="19"/>
      <c r="BE151" s="19"/>
      <c r="BF151" s="19"/>
      <c r="BG151" s="19"/>
      <c r="BH151" s="19"/>
      <c r="BI151" s="19"/>
    </row>
    <row r="152" spans="1:61" x14ac:dyDescent="0.55000000000000004">
      <c r="A152" s="19" t="s">
        <v>672</v>
      </c>
      <c r="B152" s="19" t="s">
        <v>673</v>
      </c>
      <c r="C152" s="19" t="s">
        <v>671</v>
      </c>
      <c r="D152" s="19" t="s">
        <v>9</v>
      </c>
      <c r="E152" s="19">
        <v>2011</v>
      </c>
      <c r="F152" s="19">
        <v>69.606411625251724</v>
      </c>
      <c r="G152" s="19">
        <v>39.232500223017063</v>
      </c>
      <c r="H152" s="19">
        <v>78896.557948487316</v>
      </c>
      <c r="I152" s="19">
        <v>30.67586732006815</v>
      </c>
      <c r="J152" s="19">
        <v>16.217592771385167</v>
      </c>
      <c r="K152" s="19">
        <v>23.926689804914339</v>
      </c>
      <c r="L152" s="19">
        <v>37.250141357772058</v>
      </c>
      <c r="M152" s="19">
        <v>33.098089850337573</v>
      </c>
      <c r="N152" s="19">
        <v>9.3978165978455142</v>
      </c>
      <c r="O152" s="19">
        <v>11.029646950275852</v>
      </c>
      <c r="P152" s="19">
        <v>34.264922971685557</v>
      </c>
      <c r="Q152" s="19">
        <v>482.19071744788937</v>
      </c>
      <c r="R152" s="19">
        <v>212.6377988373776</v>
      </c>
      <c r="S152" s="19">
        <v>1087.2461260388543</v>
      </c>
      <c r="T152" s="19">
        <v>1130.0525746836499</v>
      </c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>
        <v>0.94947151331227198</v>
      </c>
      <c r="AQ152" s="19">
        <v>0.87338106867792464</v>
      </c>
      <c r="AR152" s="19"/>
      <c r="AS152" s="19"/>
      <c r="AT152" s="19"/>
      <c r="AU152" s="19">
        <v>0.82351009155748567</v>
      </c>
      <c r="AV152" s="19">
        <v>0.4353699658646113</v>
      </c>
      <c r="AW152" s="19">
        <v>0.64232480556539295</v>
      </c>
      <c r="AX152" s="19">
        <v>0.9659467169293745</v>
      </c>
      <c r="AY152" s="19">
        <v>0.27426930466504468</v>
      </c>
      <c r="AZ152" s="19">
        <v>0.32189323639776107</v>
      </c>
      <c r="BA152" s="19"/>
      <c r="BB152" s="19"/>
      <c r="BC152" s="19"/>
      <c r="BD152" s="19"/>
      <c r="BE152" s="19"/>
      <c r="BF152" s="19"/>
      <c r="BG152" s="19"/>
      <c r="BH152" s="19"/>
      <c r="BI152" s="19"/>
    </row>
    <row r="153" spans="1:61" x14ac:dyDescent="0.55000000000000004">
      <c r="A153" s="19" t="s">
        <v>682</v>
      </c>
      <c r="B153" s="19" t="s">
        <v>683</v>
      </c>
      <c r="C153" s="19" t="s">
        <v>134</v>
      </c>
      <c r="D153" s="19" t="s">
        <v>9</v>
      </c>
      <c r="E153" s="19">
        <v>1490</v>
      </c>
      <c r="F153" s="19">
        <v>67.99878823180083</v>
      </c>
      <c r="G153" s="19">
        <v>33.326847298216599</v>
      </c>
      <c r="H153" s="19">
        <v>49657.002474342735</v>
      </c>
      <c r="I153" s="19">
        <v>46.569680294530876</v>
      </c>
      <c r="J153" s="19">
        <v>19.473659519311823</v>
      </c>
      <c r="K153" s="19">
        <v>15.005927126435411</v>
      </c>
      <c r="L153" s="19">
        <v>48.626101990893076</v>
      </c>
      <c r="M153" s="19">
        <v>39.184884726433978</v>
      </c>
      <c r="N153" s="19">
        <v>12.316306356193945</v>
      </c>
      <c r="O153" s="19">
        <v>11.095386765350753</v>
      </c>
      <c r="P153" s="19">
        <v>40.445214817375856</v>
      </c>
      <c r="Q153" s="19">
        <v>713.4186832178259</v>
      </c>
      <c r="R153" s="19">
        <v>42.976771543740156</v>
      </c>
      <c r="S153" s="19">
        <v>865.63383656766132</v>
      </c>
      <c r="T153" s="19">
        <v>942.92664874056243</v>
      </c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>
        <v>1.4590669665142666</v>
      </c>
      <c r="AQ153" s="19">
        <v>1.2135925866453074</v>
      </c>
      <c r="AR153" s="19"/>
      <c r="AS153" s="19"/>
      <c r="AT153" s="19"/>
      <c r="AU153" s="19">
        <v>0.95770950966319823</v>
      </c>
      <c r="AV153" s="19">
        <v>0.40047749504903646</v>
      </c>
      <c r="AW153" s="19">
        <v>0.30859819134270294</v>
      </c>
      <c r="AX153" s="19">
        <v>0.96883858580965132</v>
      </c>
      <c r="AY153" s="19">
        <v>0.30451825789049042</v>
      </c>
      <c r="AZ153" s="19">
        <v>0.27433126058175894</v>
      </c>
      <c r="BA153" s="19"/>
      <c r="BB153" s="19"/>
      <c r="BC153" s="19"/>
      <c r="BD153" s="19"/>
      <c r="BE153" s="19"/>
      <c r="BF153" s="19"/>
      <c r="BG153" s="19"/>
      <c r="BH153" s="19"/>
      <c r="BI153" s="19"/>
    </row>
    <row r="154" spans="1:61" x14ac:dyDescent="0.55000000000000004">
      <c r="A154" s="19" t="s">
        <v>684</v>
      </c>
      <c r="B154" s="19" t="s">
        <v>685</v>
      </c>
      <c r="C154" s="19" t="s">
        <v>51</v>
      </c>
      <c r="D154" s="19" t="s">
        <v>9</v>
      </c>
      <c r="E154" s="19">
        <v>2148</v>
      </c>
      <c r="F154" s="19">
        <v>69.971707036329178</v>
      </c>
      <c r="G154" s="19">
        <v>31.484358926337638</v>
      </c>
      <c r="H154" s="19">
        <v>67628.402973773249</v>
      </c>
      <c r="I154" s="19">
        <v>58.031408010792788</v>
      </c>
      <c r="J154" s="19">
        <v>33.847020808779007</v>
      </c>
      <c r="K154" s="19">
        <v>32.704658284878249</v>
      </c>
      <c r="L154" s="19">
        <v>66.644893655456357</v>
      </c>
      <c r="M154" s="19">
        <v>38.266431398176756</v>
      </c>
      <c r="N154" s="19">
        <v>9.1404388788155568</v>
      </c>
      <c r="O154" s="19">
        <v>28.011215178352053</v>
      </c>
      <c r="P154" s="19">
        <v>40.566004553709575</v>
      </c>
      <c r="Q154" s="19">
        <v>723.53078346471602</v>
      </c>
      <c r="R154" s="19">
        <v>81.379595492527443</v>
      </c>
      <c r="S154" s="19">
        <v>1412.0018927175506</v>
      </c>
      <c r="T154" s="19">
        <v>1525.4871724003194</v>
      </c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>
        <v>2.1167619709641237</v>
      </c>
      <c r="AQ154" s="19">
        <v>1.2884494376594995</v>
      </c>
      <c r="AR154" s="19"/>
      <c r="AS154" s="19"/>
      <c r="AT154" s="19"/>
      <c r="AU154" s="19">
        <v>0.87075550470237162</v>
      </c>
      <c r="AV154" s="19">
        <v>0.50787118040525048</v>
      </c>
      <c r="AW154" s="19">
        <v>0.49073014436719187</v>
      </c>
      <c r="AX154" s="19">
        <v>0.94331280142494256</v>
      </c>
      <c r="AY154" s="19">
        <v>0.22532263108913214</v>
      </c>
      <c r="AZ154" s="19">
        <v>0.69050959014869395</v>
      </c>
      <c r="BA154" s="19"/>
      <c r="BB154" s="19"/>
      <c r="BC154" s="19"/>
      <c r="BD154" s="19"/>
      <c r="BE154" s="19"/>
      <c r="BF154" s="19"/>
      <c r="BG154" s="19"/>
      <c r="BH154" s="19"/>
      <c r="BI154" s="19"/>
    </row>
    <row r="155" spans="1:61" x14ac:dyDescent="0.55000000000000004">
      <c r="A155" s="19" t="s">
        <v>690</v>
      </c>
      <c r="B155" s="19" t="s">
        <v>691</v>
      </c>
      <c r="C155" s="19" t="s">
        <v>51</v>
      </c>
      <c r="D155" s="19" t="s">
        <v>9</v>
      </c>
      <c r="E155" s="19">
        <v>1759</v>
      </c>
      <c r="F155" s="19">
        <v>68.819426721989387</v>
      </c>
      <c r="G155" s="19">
        <v>29.085754171630374</v>
      </c>
      <c r="H155" s="19">
        <v>51161.841587897827</v>
      </c>
      <c r="I155" s="19">
        <v>38.073716791779205</v>
      </c>
      <c r="J155" s="19">
        <v>38.376587555986397</v>
      </c>
      <c r="K155" s="19">
        <v>19.820855828509732</v>
      </c>
      <c r="L155" s="19">
        <v>51.892794308067451</v>
      </c>
      <c r="M155" s="19">
        <v>29.134178452442544</v>
      </c>
      <c r="N155" s="19">
        <v>10.326863410246421</v>
      </c>
      <c r="O155" s="19">
        <v>22.49799723677701</v>
      </c>
      <c r="P155" s="19">
        <v>33.146228612475362</v>
      </c>
      <c r="Q155" s="19">
        <v>881.81808850962898</v>
      </c>
      <c r="R155" s="19">
        <v>199.75908835326589</v>
      </c>
      <c r="S155" s="19">
        <v>695.35591165209416</v>
      </c>
      <c r="T155" s="19">
        <v>885.10239124705754</v>
      </c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>
        <v>1.784130952969498</v>
      </c>
      <c r="AQ155" s="19">
        <v>1.1396035467014118</v>
      </c>
      <c r="AR155" s="19"/>
      <c r="AS155" s="19"/>
      <c r="AT155" s="19"/>
      <c r="AU155" s="19">
        <v>0.73369949141204982</v>
      </c>
      <c r="AV155" s="19">
        <v>0.73953596193258431</v>
      </c>
      <c r="AW155" s="19">
        <v>0.38195776683061189</v>
      </c>
      <c r="AX155" s="19">
        <v>0.87895907534642448</v>
      </c>
      <c r="AY155" s="19">
        <v>0.31155470297938098</v>
      </c>
      <c r="AZ155" s="19">
        <v>0.67874983606157113</v>
      </c>
      <c r="BA155" s="19"/>
      <c r="BB155" s="19"/>
      <c r="BC155" s="19"/>
      <c r="BD155" s="19"/>
      <c r="BE155" s="19"/>
      <c r="BF155" s="19"/>
      <c r="BG155" s="19"/>
      <c r="BH155" s="19"/>
      <c r="BI155" s="19"/>
    </row>
    <row r="156" spans="1:61" x14ac:dyDescent="0.55000000000000004">
      <c r="A156" s="19" t="s">
        <v>696</v>
      </c>
      <c r="B156" s="19" t="s">
        <v>697</v>
      </c>
      <c r="C156" s="19" t="s">
        <v>8</v>
      </c>
      <c r="D156" s="19" t="s">
        <v>9</v>
      </c>
      <c r="E156" s="19">
        <v>1486</v>
      </c>
      <c r="F156" s="19">
        <v>71.82747233451623</v>
      </c>
      <c r="G156" s="19">
        <v>50.020971511686973</v>
      </c>
      <c r="H156" s="19">
        <v>74331.163666366847</v>
      </c>
      <c r="I156" s="19">
        <v>45.041547274048938</v>
      </c>
      <c r="J156" s="19">
        <v>17.729235355279563</v>
      </c>
      <c r="K156" s="19">
        <v>31.991871297012498</v>
      </c>
      <c r="L156" s="19">
        <v>51.282392003499396</v>
      </c>
      <c r="M156" s="19">
        <v>46.847519024878004</v>
      </c>
      <c r="N156" s="19">
        <v>14.923587911582132</v>
      </c>
      <c r="O156" s="19">
        <v>16.559879732461681</v>
      </c>
      <c r="P156" s="19">
        <v>48.246572745163284</v>
      </c>
      <c r="Q156" s="19">
        <v>508.83683003672746</v>
      </c>
      <c r="R156" s="19">
        <v>47.959378265177932</v>
      </c>
      <c r="S156" s="19">
        <v>1301.5333468078627</v>
      </c>
      <c r="T156" s="19">
        <v>1334.008400017897</v>
      </c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>
        <v>1.0252178327147785</v>
      </c>
      <c r="AQ156" s="19">
        <v>0.96452690315882583</v>
      </c>
      <c r="AR156" s="19"/>
      <c r="AS156" s="19"/>
      <c r="AT156" s="19"/>
      <c r="AU156" s="19">
        <v>0.87830433633000982</v>
      </c>
      <c r="AV156" s="19">
        <v>0.34571779245534723</v>
      </c>
      <c r="AW156" s="19">
        <v>0.62383734547385084</v>
      </c>
      <c r="AX156" s="19">
        <v>0.97100200821154625</v>
      </c>
      <c r="AY156" s="19">
        <v>0.30931913009464951</v>
      </c>
      <c r="AZ156" s="19">
        <v>0.34323432298352857</v>
      </c>
      <c r="BA156" s="19"/>
      <c r="BB156" s="19"/>
      <c r="BC156" s="19"/>
      <c r="BD156" s="19"/>
      <c r="BE156" s="19"/>
      <c r="BF156" s="19"/>
      <c r="BG156" s="19"/>
      <c r="BH156" s="19"/>
      <c r="BI156" s="19"/>
    </row>
    <row r="157" spans="1:61" x14ac:dyDescent="0.55000000000000004">
      <c r="A157" s="19" t="s">
        <v>704</v>
      </c>
      <c r="B157" s="19" t="s">
        <v>705</v>
      </c>
      <c r="C157" s="19" t="s">
        <v>8</v>
      </c>
      <c r="D157" s="19" t="s">
        <v>9</v>
      </c>
      <c r="E157" s="19">
        <v>1776</v>
      </c>
      <c r="F157" s="19">
        <v>71.599151536600999</v>
      </c>
      <c r="G157" s="19">
        <v>31.019674730537545</v>
      </c>
      <c r="H157" s="19">
        <v>55090.942321434683</v>
      </c>
      <c r="I157" s="19">
        <v>44.046070277942547</v>
      </c>
      <c r="J157" s="19">
        <v>16.17880010350358</v>
      </c>
      <c r="K157" s="19">
        <v>28.23456003861185</v>
      </c>
      <c r="L157" s="19">
        <v>47.562604836395501</v>
      </c>
      <c r="M157" s="19">
        <v>34.484885883022756</v>
      </c>
      <c r="N157" s="19">
        <v>8.8990844845808628</v>
      </c>
      <c r="O157" s="19">
        <v>18.590027327062181</v>
      </c>
      <c r="P157" s="19">
        <v>35.701375388170696</v>
      </c>
      <c r="Q157" s="19">
        <v>875.34813582091374</v>
      </c>
      <c r="R157" s="19">
        <v>110.40377143529054</v>
      </c>
      <c r="S157" s="19">
        <v>872.7309416014441</v>
      </c>
      <c r="T157" s="19">
        <v>992.46479470461179</v>
      </c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>
        <v>1.5333044349937088</v>
      </c>
      <c r="AQ157" s="19">
        <v>1.1509268133306445</v>
      </c>
      <c r="AR157" s="19"/>
      <c r="AS157" s="19"/>
      <c r="AT157" s="19"/>
      <c r="AU157" s="19">
        <v>0.92606513939787294</v>
      </c>
      <c r="AV157" s="19">
        <v>0.34015799090808752</v>
      </c>
      <c r="AW157" s="19">
        <v>0.59362938879677196</v>
      </c>
      <c r="AX157" s="19">
        <v>0.96592597646669343</v>
      </c>
      <c r="AY157" s="19">
        <v>0.24926447196567916</v>
      </c>
      <c r="AZ157" s="19">
        <v>0.52070899580025165</v>
      </c>
      <c r="BA157" s="19"/>
      <c r="BB157" s="19"/>
      <c r="BC157" s="19"/>
      <c r="BD157" s="19"/>
      <c r="BE157" s="19"/>
      <c r="BF157" s="19"/>
      <c r="BG157" s="19"/>
      <c r="BH157" s="19"/>
      <c r="BI157" s="19"/>
    </row>
    <row r="158" spans="1:61" x14ac:dyDescent="0.55000000000000004">
      <c r="A158" s="19" t="s">
        <v>714</v>
      </c>
      <c r="B158" s="19" t="s">
        <v>715</v>
      </c>
      <c r="C158" s="19" t="s">
        <v>8</v>
      </c>
      <c r="D158" s="19" t="s">
        <v>9</v>
      </c>
      <c r="E158" s="19">
        <v>2427</v>
      </c>
      <c r="F158" s="19">
        <v>69.202905920785895</v>
      </c>
      <c r="G158" s="19">
        <v>24.330704007117632</v>
      </c>
      <c r="H158" s="19">
        <v>59050.618625274496</v>
      </c>
      <c r="I158" s="19">
        <v>27.517142030553771</v>
      </c>
      <c r="J158" s="19">
        <v>5.1031413569407649</v>
      </c>
      <c r="K158" s="19">
        <v>22.462574263533181</v>
      </c>
      <c r="L158" s="19">
        <v>32.566557211378807</v>
      </c>
      <c r="M158" s="19">
        <v>25.706790963664048</v>
      </c>
      <c r="N158" s="19">
        <v>15.814090879486635</v>
      </c>
      <c r="O158" s="19">
        <v>10.208271683281437</v>
      </c>
      <c r="P158" s="19">
        <v>27.792657290906391</v>
      </c>
      <c r="Q158" s="19">
        <v>605.01996845225847</v>
      </c>
      <c r="R158" s="19">
        <v>98.057884109173131</v>
      </c>
      <c r="S158" s="19">
        <v>884.27248695414141</v>
      </c>
      <c r="T158" s="19">
        <v>887.66528701600816</v>
      </c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>
        <v>1.3384962967718437</v>
      </c>
      <c r="AQ158" s="19">
        <v>1.1422874275555697</v>
      </c>
      <c r="AR158" s="19"/>
      <c r="AS158" s="19"/>
      <c r="AT158" s="19"/>
      <c r="AU158" s="19">
        <v>0.84495090629166159</v>
      </c>
      <c r="AV158" s="19">
        <v>0.15669882830469165</v>
      </c>
      <c r="AW158" s="19">
        <v>0.68974359548465636</v>
      </c>
      <c r="AX158" s="19">
        <v>0.92494901421589415</v>
      </c>
      <c r="AY158" s="19">
        <v>0.56900247838701346</v>
      </c>
      <c r="AZ158" s="19">
        <v>0.3673010312195491</v>
      </c>
      <c r="BA158" s="19"/>
      <c r="BB158" s="19"/>
      <c r="BC158" s="19"/>
      <c r="BD158" s="19"/>
      <c r="BE158" s="19"/>
      <c r="BF158" s="19"/>
      <c r="BG158" s="19"/>
      <c r="BH158" s="19"/>
      <c r="BI158" s="19"/>
    </row>
    <row r="159" spans="1:61" x14ac:dyDescent="0.55000000000000004">
      <c r="A159" s="19" t="s">
        <v>785</v>
      </c>
      <c r="B159" s="19" t="s">
        <v>786</v>
      </c>
      <c r="C159" s="19" t="s">
        <v>8</v>
      </c>
      <c r="D159" s="19" t="s">
        <v>9</v>
      </c>
      <c r="E159" s="19">
        <v>1529</v>
      </c>
      <c r="F159" s="19">
        <v>67.847296715311572</v>
      </c>
      <c r="G159" s="19">
        <v>46.447242819009112</v>
      </c>
      <c r="H159" s="19">
        <v>71017.834270264939</v>
      </c>
      <c r="I159" s="19">
        <v>55.186880425260384</v>
      </c>
      <c r="J159" s="19">
        <v>36.572648186545607</v>
      </c>
      <c r="K159" s="19">
        <v>23.303227492611988</v>
      </c>
      <c r="L159" s="19">
        <v>65.844239348100871</v>
      </c>
      <c r="M159" s="19">
        <v>38.568463662856757</v>
      </c>
      <c r="N159" s="19">
        <v>13.705513896302479</v>
      </c>
      <c r="O159" s="19">
        <v>26.917759491766418</v>
      </c>
      <c r="P159" s="19">
        <v>48.156013400081314</v>
      </c>
      <c r="Q159" s="19">
        <v>1027.581255827019</v>
      </c>
      <c r="R159" s="19">
        <v>293.07015620060599</v>
      </c>
      <c r="S159" s="19">
        <v>1061.2578892110923</v>
      </c>
      <c r="T159" s="19">
        <v>1305.1496594493733</v>
      </c>
      <c r="U159" s="19">
        <v>57.857636575063232</v>
      </c>
      <c r="V159" s="19">
        <v>20.608347145960625</v>
      </c>
      <c r="W159" s="19">
        <v>43.367615617209097</v>
      </c>
      <c r="X159" s="19">
        <v>60.66820390947111</v>
      </c>
      <c r="Y159" s="19">
        <v>27.630229544505937</v>
      </c>
      <c r="Z159" s="19">
        <v>23.904846883647654</v>
      </c>
      <c r="AA159" s="19">
        <v>26.502888751930076</v>
      </c>
      <c r="AB159" s="19">
        <v>37.526736286113625</v>
      </c>
      <c r="AC159" s="19">
        <v>42.702520566447852</v>
      </c>
      <c r="AD159" s="19">
        <v>16.20994443460566</v>
      </c>
      <c r="AE159" s="19">
        <v>32.357694447561457</v>
      </c>
      <c r="AF159" s="19">
        <v>47.030583671979095</v>
      </c>
      <c r="AG159" s="19">
        <v>1056.3095411940917</v>
      </c>
      <c r="AH159" s="19">
        <v>101.8791728726804</v>
      </c>
      <c r="AI159" s="19">
        <v>1523.0132030927182</v>
      </c>
      <c r="AJ159" s="19">
        <v>1816.9218909754029</v>
      </c>
      <c r="AK159" s="19">
        <v>3727.102217513574</v>
      </c>
      <c r="AL159" s="19">
        <v>2823.9510644771626</v>
      </c>
      <c r="AM159" s="19">
        <v>2008.2049509225292</v>
      </c>
      <c r="AN159" s="19">
        <v>3837.23011010443</v>
      </c>
      <c r="AO159" s="19"/>
      <c r="AP159" s="19">
        <v>1.417613519163581</v>
      </c>
      <c r="AQ159" s="19">
        <v>1.0367894944320111</v>
      </c>
      <c r="AR159" s="19">
        <v>1.3061744944877953</v>
      </c>
      <c r="AS159" s="19">
        <v>0.80794324934084871</v>
      </c>
      <c r="AT159" s="19">
        <v>1.0125592137996886</v>
      </c>
      <c r="AU159" s="19">
        <v>0.83814288040449703</v>
      </c>
      <c r="AV159" s="19">
        <v>0.55544188145595852</v>
      </c>
      <c r="AW159" s="19">
        <v>0.35391444602183131</v>
      </c>
      <c r="AX159" s="19">
        <v>0.8009064899627184</v>
      </c>
      <c r="AY159" s="19">
        <v>0.28460648896404156</v>
      </c>
      <c r="AZ159" s="19">
        <v>0.55896984802568739</v>
      </c>
      <c r="BA159" s="19">
        <v>0.95367314089927901</v>
      </c>
      <c r="BB159" s="19">
        <v>0.33968942243143263</v>
      </c>
      <c r="BC159" s="19">
        <v>0.71483269361199664</v>
      </c>
      <c r="BD159" s="19">
        <v>0.73628117654159586</v>
      </c>
      <c r="BE159" s="19">
        <v>0.6370084171826419</v>
      </c>
      <c r="BF159" s="19">
        <v>0.7062401736688515</v>
      </c>
      <c r="BG159" s="19">
        <v>0.9079734341440906</v>
      </c>
      <c r="BH159" s="19">
        <v>0.34466815355012431</v>
      </c>
      <c r="BI159" s="19">
        <v>0.68801388205692693</v>
      </c>
    </row>
    <row r="160" spans="1:61" x14ac:dyDescent="0.55000000000000004">
      <c r="A160" s="19" t="s">
        <v>787</v>
      </c>
      <c r="B160" s="19" t="s">
        <v>788</v>
      </c>
      <c r="C160" s="19" t="s">
        <v>8</v>
      </c>
      <c r="D160" s="19" t="s">
        <v>9</v>
      </c>
      <c r="E160" s="19">
        <v>1531</v>
      </c>
      <c r="F160" s="19">
        <v>67.401856658838057</v>
      </c>
      <c r="G160" s="19">
        <v>53.273556394204952</v>
      </c>
      <c r="H160" s="19">
        <v>81561.814839527782</v>
      </c>
      <c r="I160" s="19">
        <v>43.370360496961673</v>
      </c>
      <c r="J160" s="19">
        <v>12.155994837981043</v>
      </c>
      <c r="K160" s="19">
        <v>34.346494595429384</v>
      </c>
      <c r="L160" s="19">
        <v>53.291926351940724</v>
      </c>
      <c r="M160" s="19">
        <v>40.238087967475309</v>
      </c>
      <c r="N160" s="19">
        <v>18.238382141611286</v>
      </c>
      <c r="O160" s="19">
        <v>16.697100941602631</v>
      </c>
      <c r="P160" s="19">
        <v>42.898401254146748</v>
      </c>
      <c r="Q160" s="19">
        <v>455.16412283233387</v>
      </c>
      <c r="R160" s="19">
        <v>205.67489677561611</v>
      </c>
      <c r="S160" s="19">
        <v>1310.254558449984</v>
      </c>
      <c r="T160" s="19">
        <v>1336.576962342559</v>
      </c>
      <c r="U160" s="19">
        <v>53.343222625837249</v>
      </c>
      <c r="V160" s="19">
        <v>17.598869601481688</v>
      </c>
      <c r="W160" s="19">
        <v>74.407599208360494</v>
      </c>
      <c r="X160" s="19">
        <v>88.218692635561098</v>
      </c>
      <c r="Y160" s="19">
        <v>46.310468821770307</v>
      </c>
      <c r="Z160" s="19">
        <v>31.950196950395139</v>
      </c>
      <c r="AA160" s="19">
        <v>25.362803313212197</v>
      </c>
      <c r="AB160" s="19">
        <v>48.066252482067078</v>
      </c>
      <c r="AC160" s="19">
        <v>45.682746662620019</v>
      </c>
      <c r="AD160" s="19">
        <v>27.090690961944517</v>
      </c>
      <c r="AE160" s="19">
        <v>33.118861087270837</v>
      </c>
      <c r="AF160" s="19">
        <v>53.099692426108099</v>
      </c>
      <c r="AG160" s="19">
        <v>1458.9456442183287</v>
      </c>
      <c r="AH160" s="19">
        <v>490.67953881433357</v>
      </c>
      <c r="AI160" s="19">
        <v>3277.1111416089479</v>
      </c>
      <c r="AJ160" s="19">
        <v>3523.3371526020551</v>
      </c>
      <c r="AK160" s="19">
        <v>2085.4896794507176</v>
      </c>
      <c r="AL160" s="19">
        <v>2852.1111043875189</v>
      </c>
      <c r="AM160" s="19">
        <v>1107.4433967242815</v>
      </c>
      <c r="AN160" s="19">
        <v>3160.471355665909</v>
      </c>
      <c r="AO160" s="19"/>
      <c r="AP160" s="19">
        <v>1.0003448231914505</v>
      </c>
      <c r="AQ160" s="19">
        <v>0.80524755915888502</v>
      </c>
      <c r="AR160" s="19">
        <v>1.6559565121347417</v>
      </c>
      <c r="AS160" s="19">
        <v>0.90225349564414814</v>
      </c>
      <c r="AT160" s="19">
        <v>0.99673639268964276</v>
      </c>
      <c r="AU160" s="19">
        <v>0.81382609835762232</v>
      </c>
      <c r="AV160" s="19">
        <v>0.22810199724631194</v>
      </c>
      <c r="AW160" s="19">
        <v>0.64449714894155996</v>
      </c>
      <c r="AX160" s="19">
        <v>0.93798572420191806</v>
      </c>
      <c r="AY160" s="19">
        <v>0.42515295694960853</v>
      </c>
      <c r="AZ160" s="19">
        <v>0.38922431730456658</v>
      </c>
      <c r="BA160" s="19">
        <v>0.60467029188703381</v>
      </c>
      <c r="BB160" s="19">
        <v>0.19949138981444794</v>
      </c>
      <c r="BC160" s="19">
        <v>0.84344481861394838</v>
      </c>
      <c r="BD160" s="19">
        <v>0.96347159244520186</v>
      </c>
      <c r="BE160" s="19">
        <v>0.66471162823262242</v>
      </c>
      <c r="BF160" s="19">
        <v>0.52766342295303226</v>
      </c>
      <c r="BG160" s="19">
        <v>0.8603203629887447</v>
      </c>
      <c r="BH160" s="19">
        <v>0.51018545916519364</v>
      </c>
      <c r="BI160" s="19">
        <v>0.62371097786221696</v>
      </c>
    </row>
    <row r="161" spans="1:61" x14ac:dyDescent="0.55000000000000004">
      <c r="A161" s="19" t="s">
        <v>789</v>
      </c>
      <c r="B161" s="19" t="s">
        <v>790</v>
      </c>
      <c r="C161" s="19" t="s">
        <v>8</v>
      </c>
      <c r="D161" s="19" t="s">
        <v>9</v>
      </c>
      <c r="E161" s="19">
        <v>1603</v>
      </c>
      <c r="F161" s="19">
        <v>73.757042796754092</v>
      </c>
      <c r="G161" s="19">
        <v>46.802268277669363</v>
      </c>
      <c r="H161" s="19">
        <v>75024.03604910399</v>
      </c>
      <c r="I161" s="19">
        <v>77.394034243724576</v>
      </c>
      <c r="J161" s="19">
        <v>50.638679934271885</v>
      </c>
      <c r="K161" s="19">
        <v>29.151605130768999</v>
      </c>
      <c r="L161" s="19">
        <v>92.71655333352669</v>
      </c>
      <c r="M161" s="19">
        <v>35.750865128186817</v>
      </c>
      <c r="N161" s="19">
        <v>12.13961584537207</v>
      </c>
      <c r="O161" s="19">
        <v>14.971829191026234</v>
      </c>
      <c r="P161" s="19">
        <v>37.730618534777534</v>
      </c>
      <c r="Q161" s="19">
        <v>392.34837094095917</v>
      </c>
      <c r="R161" s="19">
        <v>335.22589769825714</v>
      </c>
      <c r="S161" s="19">
        <v>983.79925384410421</v>
      </c>
      <c r="T161" s="19">
        <v>994.40330964590885</v>
      </c>
      <c r="U161" s="19">
        <v>59.331627880902474</v>
      </c>
      <c r="V161" s="19">
        <v>46.593153300650897</v>
      </c>
      <c r="W161" s="19">
        <v>58.242753591570207</v>
      </c>
      <c r="X161" s="19">
        <v>78.128328792102948</v>
      </c>
      <c r="Y161" s="19">
        <v>33.958400165867474</v>
      </c>
      <c r="Z161" s="19">
        <v>41.909692466250526</v>
      </c>
      <c r="AA161" s="19">
        <v>28.715831218604993</v>
      </c>
      <c r="AB161" s="19">
        <v>50.847317113123943</v>
      </c>
      <c r="AC161" s="19">
        <v>40.437505882439808</v>
      </c>
      <c r="AD161" s="19">
        <v>24.650967439778583</v>
      </c>
      <c r="AE161" s="19">
        <v>50.789353401232646</v>
      </c>
      <c r="AF161" s="19">
        <v>66.391827900365172</v>
      </c>
      <c r="AG161" s="19">
        <v>1306.8938566484333</v>
      </c>
      <c r="AH161" s="19">
        <v>872.07366646717355</v>
      </c>
      <c r="AI161" s="19">
        <v>3034.8379843876683</v>
      </c>
      <c r="AJ161" s="19">
        <v>3289.4971634682065</v>
      </c>
      <c r="AK161" s="19">
        <v>4885.3450632593831</v>
      </c>
      <c r="AL161" s="19">
        <v>4152.3461303811873</v>
      </c>
      <c r="AM161" s="19">
        <v>2600.0849830998018</v>
      </c>
      <c r="AN161" s="19">
        <v>5433.329505351785</v>
      </c>
      <c r="AO161" s="19"/>
      <c r="AP161" s="19">
        <v>1.9810269191111893</v>
      </c>
      <c r="AQ161" s="19">
        <v>0.80617072469497897</v>
      </c>
      <c r="AR161" s="19">
        <v>1.6693278267750133</v>
      </c>
      <c r="AS161" s="19">
        <v>1.0864284784544211</v>
      </c>
      <c r="AT161" s="19">
        <v>1.4185600472710962</v>
      </c>
      <c r="AU161" s="19">
        <v>0.83473804257279882</v>
      </c>
      <c r="AV161" s="19">
        <v>0.54616654862169822</v>
      </c>
      <c r="AW161" s="19">
        <v>0.31441640227827211</v>
      </c>
      <c r="AX161" s="19">
        <v>0.9475292618178015</v>
      </c>
      <c r="AY161" s="19">
        <v>0.32174441651897628</v>
      </c>
      <c r="AZ161" s="19">
        <v>0.39680847471997349</v>
      </c>
      <c r="BA161" s="19">
        <v>0.75941247941936774</v>
      </c>
      <c r="BB161" s="19">
        <v>0.59636695192385114</v>
      </c>
      <c r="BC161" s="19">
        <v>0.7454754823509967</v>
      </c>
      <c r="BD161" s="19">
        <v>0.6678503821611198</v>
      </c>
      <c r="BE161" s="19">
        <v>0.82422622953755464</v>
      </c>
      <c r="BF161" s="19">
        <v>0.56474624127598849</v>
      </c>
      <c r="BG161" s="19">
        <v>0.60907354355606458</v>
      </c>
      <c r="BH161" s="19">
        <v>0.37129520634335472</v>
      </c>
      <c r="BI161" s="19">
        <v>0.76499405133795528</v>
      </c>
    </row>
    <row r="162" spans="1:61" x14ac:dyDescent="0.55000000000000004">
      <c r="A162" s="19" t="s">
        <v>791</v>
      </c>
      <c r="B162" s="19" t="s">
        <v>792</v>
      </c>
      <c r="C162" s="19" t="s">
        <v>134</v>
      </c>
      <c r="D162" s="19" t="s">
        <v>9</v>
      </c>
      <c r="E162" s="19">
        <v>1722</v>
      </c>
      <c r="F162" s="19">
        <v>68.34687516054332</v>
      </c>
      <c r="G162" s="19">
        <v>42.412498459273891</v>
      </c>
      <c r="H162" s="19">
        <v>73034.322346869638</v>
      </c>
      <c r="I162" s="19">
        <v>32.446995566096518</v>
      </c>
      <c r="J162" s="19">
        <v>20.022209808577351</v>
      </c>
      <c r="K162" s="19">
        <v>31.322928234093389</v>
      </c>
      <c r="L162" s="19">
        <v>47.869083396161024</v>
      </c>
      <c r="M162" s="19">
        <v>43.901740164303291</v>
      </c>
      <c r="N162" s="19">
        <v>18.49131100771767</v>
      </c>
      <c r="O162" s="19">
        <v>12.471330659856529</v>
      </c>
      <c r="P162" s="19">
        <v>47.904727928635523</v>
      </c>
      <c r="Q162" s="19">
        <v>500.743999830588</v>
      </c>
      <c r="R162" s="19">
        <v>14.113886752006749</v>
      </c>
      <c r="S162" s="19">
        <v>1382.3811709609565</v>
      </c>
      <c r="T162" s="19">
        <v>1383.8667627881241</v>
      </c>
      <c r="U162" s="19">
        <v>35.721716419031999</v>
      </c>
      <c r="V162" s="19">
        <v>9.4419183958461783</v>
      </c>
      <c r="W162" s="19">
        <v>73.426233552188137</v>
      </c>
      <c r="X162" s="19">
        <v>79.902423108182404</v>
      </c>
      <c r="Y162" s="19">
        <v>48.257631993309538</v>
      </c>
      <c r="Z162" s="19">
        <v>23.579515973608178</v>
      </c>
      <c r="AA162" s="19">
        <v>21.285436151020182</v>
      </c>
      <c r="AB162" s="19">
        <v>51.676039511059585</v>
      </c>
      <c r="AC162" s="19">
        <v>33.130755848950493</v>
      </c>
      <c r="AD162" s="19">
        <v>31.327301514998215</v>
      </c>
      <c r="AE162" s="19">
        <v>40.802161570154837</v>
      </c>
      <c r="AF162" s="19">
        <v>55.370175153556943</v>
      </c>
      <c r="AG162" s="19">
        <v>1159.4915838799232</v>
      </c>
      <c r="AH162" s="19">
        <v>33.468960044908279</v>
      </c>
      <c r="AI162" s="19">
        <v>2712.2605750416155</v>
      </c>
      <c r="AJ162" s="19">
        <v>2899.6946589186596</v>
      </c>
      <c r="AK162" s="19">
        <v>2829.4521478319261</v>
      </c>
      <c r="AL162" s="19">
        <v>1545.2175511450391</v>
      </c>
      <c r="AM162" s="19">
        <v>2816.492965901004</v>
      </c>
      <c r="AN162" s="19">
        <v>3271.9304644187614</v>
      </c>
      <c r="AO162" s="19"/>
      <c r="AP162" s="19">
        <v>1.1286551166545107</v>
      </c>
      <c r="AQ162" s="19">
        <v>1.1294955418539061</v>
      </c>
      <c r="AR162" s="19">
        <v>1.8839357739065474</v>
      </c>
      <c r="AS162" s="19">
        <v>1.2184153584038653</v>
      </c>
      <c r="AT162" s="19">
        <v>1.3055155240789578</v>
      </c>
      <c r="AU162" s="19">
        <v>0.67782780166412548</v>
      </c>
      <c r="AV162" s="19">
        <v>0.41827017331572885</v>
      </c>
      <c r="AW162" s="19">
        <v>0.65434568643955704</v>
      </c>
      <c r="AX162" s="19">
        <v>0.91643856593245765</v>
      </c>
      <c r="AY162" s="19">
        <v>0.38600179579903859</v>
      </c>
      <c r="AZ162" s="19">
        <v>0.26033611292887998</v>
      </c>
      <c r="BA162" s="19">
        <v>0.44706674753364167</v>
      </c>
      <c r="BB162" s="19">
        <v>0.11816811091025949</v>
      </c>
      <c r="BC162" s="19">
        <v>0.91894877146308884</v>
      </c>
      <c r="BD162" s="19">
        <v>0.93384927424597919</v>
      </c>
      <c r="BE162" s="19">
        <v>0.45629495210370652</v>
      </c>
      <c r="BF162" s="19">
        <v>0.411901460568872</v>
      </c>
      <c r="BG162" s="19">
        <v>0.59835020852055576</v>
      </c>
      <c r="BH162" s="19">
        <v>0.56577934651857009</v>
      </c>
      <c r="BI162" s="19">
        <v>0.73689782372909352</v>
      </c>
    </row>
    <row r="163" spans="1:61" x14ac:dyDescent="0.55000000000000004">
      <c r="A163" s="19" t="s">
        <v>793</v>
      </c>
      <c r="B163" s="19" t="s">
        <v>794</v>
      </c>
      <c r="C163" s="19" t="s">
        <v>8</v>
      </c>
      <c r="D163" s="19" t="s">
        <v>9</v>
      </c>
      <c r="E163" s="19">
        <v>1546</v>
      </c>
      <c r="F163" s="19">
        <v>68.482935344048045</v>
      </c>
      <c r="G163" s="19">
        <v>43.129192943572363</v>
      </c>
      <c r="H163" s="19">
        <v>66677.73229076287</v>
      </c>
      <c r="I163" s="19">
        <v>31.399706170342235</v>
      </c>
      <c r="J163" s="19">
        <v>28.518549463655383</v>
      </c>
      <c r="K163" s="19">
        <v>29.629384075165508</v>
      </c>
      <c r="L163" s="19">
        <v>47.995904688525385</v>
      </c>
      <c r="M163" s="19">
        <v>41.027830250241692</v>
      </c>
      <c r="N163" s="19">
        <v>19.123800656627331</v>
      </c>
      <c r="O163" s="19">
        <v>13.072178343941237</v>
      </c>
      <c r="P163" s="19">
        <v>45.064614643292593</v>
      </c>
      <c r="Q163" s="19">
        <v>504.18308561897408</v>
      </c>
      <c r="R163" s="19">
        <v>61.046132056727146</v>
      </c>
      <c r="S163" s="19">
        <v>916.51013809835331</v>
      </c>
      <c r="T163" s="19">
        <v>997.38824451904759</v>
      </c>
      <c r="U163" s="19">
        <v>28.354240881564337</v>
      </c>
      <c r="V163" s="19">
        <v>22.641819777133392</v>
      </c>
      <c r="W163" s="19">
        <v>50.621412563858776</v>
      </c>
      <c r="X163" s="19">
        <v>58.866056536048077</v>
      </c>
      <c r="Y163" s="19">
        <v>34.444837432186091</v>
      </c>
      <c r="Z163" s="19">
        <v>28.064761455241662</v>
      </c>
      <c r="AA163" s="19">
        <v>21.752236815430006</v>
      </c>
      <c r="AB163" s="19">
        <v>42.04265483586525</v>
      </c>
      <c r="AC163" s="19">
        <v>30.072056955022411</v>
      </c>
      <c r="AD163" s="19">
        <v>24.649684916617012</v>
      </c>
      <c r="AE163" s="19">
        <v>31.60420468622538</v>
      </c>
      <c r="AF163" s="19">
        <v>42.819930080939862</v>
      </c>
      <c r="AG163" s="19">
        <v>894.1505269866085</v>
      </c>
      <c r="AH163" s="19">
        <v>276.80106233088122</v>
      </c>
      <c r="AI163" s="19">
        <v>1966.9294140036197</v>
      </c>
      <c r="AJ163" s="19">
        <v>2138.9019606764532</v>
      </c>
      <c r="AK163" s="19">
        <v>2409.829864976015</v>
      </c>
      <c r="AL163" s="19">
        <v>1850.9060021940579</v>
      </c>
      <c r="AM163" s="19">
        <v>1406.3867162477854</v>
      </c>
      <c r="AN163" s="19">
        <v>2832.5032700341981</v>
      </c>
      <c r="AO163" s="19"/>
      <c r="AP163" s="19">
        <v>1.1128403156377245</v>
      </c>
      <c r="AQ163" s="19">
        <v>1.0448749806715005</v>
      </c>
      <c r="AR163" s="19">
        <v>1.3648773027834042</v>
      </c>
      <c r="AS163" s="19">
        <v>0.97480736286605973</v>
      </c>
      <c r="AT163" s="19">
        <v>0.99282938442559954</v>
      </c>
      <c r="AU163" s="19">
        <v>0.65421636229411706</v>
      </c>
      <c r="AV163" s="19">
        <v>0.59418714260580341</v>
      </c>
      <c r="AW163" s="19">
        <v>0.61733150499919942</v>
      </c>
      <c r="AX163" s="19">
        <v>0.91042230306407967</v>
      </c>
      <c r="AY163" s="19">
        <v>0.42436401171964117</v>
      </c>
      <c r="AZ163" s="19">
        <v>0.2900763369977446</v>
      </c>
      <c r="BA163" s="19">
        <v>0.48167386351421249</v>
      </c>
      <c r="BB163" s="19">
        <v>0.3846328616096123</v>
      </c>
      <c r="BC163" s="19">
        <v>0.85994230873711597</v>
      </c>
      <c r="BD163" s="19">
        <v>0.8192831201230969</v>
      </c>
      <c r="BE163" s="19">
        <v>0.66753066771845504</v>
      </c>
      <c r="BF163" s="19">
        <v>0.51738494869914509</v>
      </c>
      <c r="BG163" s="19">
        <v>0.70229112700976071</v>
      </c>
      <c r="BH163" s="19">
        <v>0.57565915848118476</v>
      </c>
      <c r="BI163" s="19">
        <v>0.7380723094709849</v>
      </c>
    </row>
    <row r="164" spans="1:61" x14ac:dyDescent="0.55000000000000004">
      <c r="A164" s="19" t="s">
        <v>795</v>
      </c>
      <c r="B164" s="19" t="s">
        <v>796</v>
      </c>
      <c r="C164" s="19" t="s">
        <v>8</v>
      </c>
      <c r="D164" s="19" t="s">
        <v>9</v>
      </c>
      <c r="E164" s="19">
        <v>1718</v>
      </c>
      <c r="F164" s="19">
        <v>65.016215573011522</v>
      </c>
      <c r="G164" s="19">
        <v>45.9449518018085</v>
      </c>
      <c r="H164" s="19">
        <v>78933.427195507</v>
      </c>
      <c r="I164" s="19">
        <v>34.128025624014342</v>
      </c>
      <c r="J164" s="19">
        <v>31.719803447594803</v>
      </c>
      <c r="K164" s="19">
        <v>31.543889168462336</v>
      </c>
      <c r="L164" s="19">
        <v>51.055844163285109</v>
      </c>
      <c r="M164" s="19">
        <v>38.071311153645603</v>
      </c>
      <c r="N164" s="19">
        <v>17.203547685101181</v>
      </c>
      <c r="O164" s="19">
        <v>11.532464780633397</v>
      </c>
      <c r="P164" s="19">
        <v>41.905613991965801</v>
      </c>
      <c r="Q164" s="19">
        <v>424.22113129019624</v>
      </c>
      <c r="R164" s="19">
        <v>201.67693269881642</v>
      </c>
      <c r="S164" s="19">
        <v>927.76438309773278</v>
      </c>
      <c r="T164" s="19">
        <v>1017.4950667007618</v>
      </c>
      <c r="U164" s="19">
        <v>31.58804564438535</v>
      </c>
      <c r="V164" s="19">
        <v>15.059110447371488</v>
      </c>
      <c r="W164" s="19">
        <v>46.793626891131794</v>
      </c>
      <c r="X164" s="19">
        <v>55.851024226232774</v>
      </c>
      <c r="Y164" s="19">
        <v>34.052535038706843</v>
      </c>
      <c r="Z164" s="19">
        <v>22.20496655861507</v>
      </c>
      <c r="AA164" s="19">
        <v>25.42096324724282</v>
      </c>
      <c r="AB164" s="19">
        <v>40.32321671601192</v>
      </c>
      <c r="AC164" s="19">
        <v>35.354661258277723</v>
      </c>
      <c r="AD164" s="19">
        <v>19.017220012565815</v>
      </c>
      <c r="AE164" s="19">
        <v>36.682922906371168</v>
      </c>
      <c r="AF164" s="19">
        <v>44.401526708481548</v>
      </c>
      <c r="AG164" s="19">
        <v>1032.0906963962229</v>
      </c>
      <c r="AH164" s="19">
        <v>78.084778852082366</v>
      </c>
      <c r="AI164" s="19">
        <v>1832.8806707968035</v>
      </c>
      <c r="AJ164" s="19">
        <v>2038.526111553499</v>
      </c>
      <c r="AK164" s="19">
        <v>2982.6010550797573</v>
      </c>
      <c r="AL164" s="19">
        <v>2564.7958409821022</v>
      </c>
      <c r="AM164" s="19">
        <v>1804.1043756037252</v>
      </c>
      <c r="AN164" s="19">
        <v>3358.5695737251849</v>
      </c>
      <c r="AO164" s="19"/>
      <c r="AP164" s="19">
        <v>1.1112394759607829</v>
      </c>
      <c r="AQ164" s="19">
        <v>0.9120830983289071</v>
      </c>
      <c r="AR164" s="19">
        <v>1.21560741791951</v>
      </c>
      <c r="AS164" s="19">
        <v>0.87764194181665689</v>
      </c>
      <c r="AT164" s="19">
        <v>0.96640707993372621</v>
      </c>
      <c r="AU164" s="19">
        <v>0.66844503667135968</v>
      </c>
      <c r="AV164" s="19">
        <v>0.62127664261410664</v>
      </c>
      <c r="AW164" s="19">
        <v>0.61783111581858707</v>
      </c>
      <c r="AX164" s="19">
        <v>0.90850145188052089</v>
      </c>
      <c r="AY164" s="19">
        <v>0.41053085842864556</v>
      </c>
      <c r="AZ164" s="19">
        <v>0.27520094999310635</v>
      </c>
      <c r="BA164" s="19">
        <v>0.56557683734560238</v>
      </c>
      <c r="BB164" s="19">
        <v>0.26962997825021706</v>
      </c>
      <c r="BC164" s="19">
        <v>0.83782934224424133</v>
      </c>
      <c r="BD164" s="19">
        <v>0.84448954751134586</v>
      </c>
      <c r="BE164" s="19">
        <v>0.55067448400756469</v>
      </c>
      <c r="BF164" s="19">
        <v>0.63042994377847905</v>
      </c>
      <c r="BG164" s="19">
        <v>0.7962487751918742</v>
      </c>
      <c r="BH164" s="19">
        <v>0.42830103877786613</v>
      </c>
      <c r="BI164" s="19">
        <v>0.82616354944759196</v>
      </c>
    </row>
    <row r="165" spans="1:61" x14ac:dyDescent="0.55000000000000004">
      <c r="A165" s="19" t="s">
        <v>797</v>
      </c>
      <c r="B165" s="19" t="s">
        <v>798</v>
      </c>
      <c r="C165" s="19" t="s">
        <v>8</v>
      </c>
      <c r="D165" s="19" t="s">
        <v>9</v>
      </c>
      <c r="E165" s="19">
        <v>1679</v>
      </c>
      <c r="F165" s="19">
        <v>64.109003069397303</v>
      </c>
      <c r="G165" s="19">
        <v>42.636968146421673</v>
      </c>
      <c r="H165" s="19">
        <v>71587.469517841993</v>
      </c>
      <c r="I165" s="19">
        <v>37.276395826339773</v>
      </c>
      <c r="J165" s="19">
        <v>16.061166436025875</v>
      </c>
      <c r="K165" s="19">
        <v>28.112854134761992</v>
      </c>
      <c r="L165" s="19">
        <v>38.837417480279591</v>
      </c>
      <c r="M165" s="19">
        <v>30.539403519646029</v>
      </c>
      <c r="N165" s="19">
        <v>14.892728171571605</v>
      </c>
      <c r="O165" s="19">
        <v>13.922141933966589</v>
      </c>
      <c r="P165" s="19">
        <v>35.092620171238067</v>
      </c>
      <c r="Q165" s="19">
        <v>283.00517908407949</v>
      </c>
      <c r="R165" s="19">
        <v>413.08233995984205</v>
      </c>
      <c r="S165" s="19">
        <v>1072.6268054387838</v>
      </c>
      <c r="T165" s="19">
        <v>1077.6567512315903</v>
      </c>
      <c r="U165" s="19">
        <v>45.232631978974226</v>
      </c>
      <c r="V165" s="19">
        <v>20.73251908476362</v>
      </c>
      <c r="W165" s="19">
        <v>36.882503935056405</v>
      </c>
      <c r="X165" s="19">
        <v>58.503727849304084</v>
      </c>
      <c r="Y165" s="19">
        <v>25.409071869964293</v>
      </c>
      <c r="Z165" s="19">
        <v>24.0493044082815</v>
      </c>
      <c r="AA165" s="19">
        <v>20.513141154522728</v>
      </c>
      <c r="AB165" s="19">
        <v>33.114424665550388</v>
      </c>
      <c r="AC165" s="19">
        <v>24.350715478974323</v>
      </c>
      <c r="AD165" s="19">
        <v>18.776738652366124</v>
      </c>
      <c r="AE165" s="19">
        <v>43.100562491529644</v>
      </c>
      <c r="AF165" s="19">
        <v>45.926954773409733</v>
      </c>
      <c r="AG165" s="19">
        <v>1276.4166050950291</v>
      </c>
      <c r="AH165" s="19">
        <v>749.29748283808988</v>
      </c>
      <c r="AI165" s="19">
        <v>2086.9328940569503</v>
      </c>
      <c r="AJ165" s="19">
        <v>2422.605416455106</v>
      </c>
      <c r="AK165" s="19">
        <v>3213.5574904644609</v>
      </c>
      <c r="AL165" s="19">
        <v>2365.7738002957226</v>
      </c>
      <c r="AM165" s="19">
        <v>798.17634715886823</v>
      </c>
      <c r="AN165" s="19">
        <v>3436.3370147744017</v>
      </c>
      <c r="AO165" s="19"/>
      <c r="AP165" s="19">
        <v>0.91088600265633657</v>
      </c>
      <c r="AQ165" s="19">
        <v>0.8230561809818373</v>
      </c>
      <c r="AR165" s="19">
        <v>1.3721362093194245</v>
      </c>
      <c r="AS165" s="19">
        <v>0.77665992928555661</v>
      </c>
      <c r="AT165" s="19">
        <v>1.0771627714168079</v>
      </c>
      <c r="AU165" s="19">
        <v>0.95980624471922071</v>
      </c>
      <c r="AV165" s="19">
        <v>0.41354877533196499</v>
      </c>
      <c r="AW165" s="19">
        <v>0.72386002877345823</v>
      </c>
      <c r="AX165" s="19">
        <v>0.87025144804308863</v>
      </c>
      <c r="AY165" s="19">
        <v>0.42438347717842095</v>
      </c>
      <c r="AZ165" s="19">
        <v>0.39672563251282061</v>
      </c>
      <c r="BA165" s="19">
        <v>0.77315811559027481</v>
      </c>
      <c r="BB165" s="19">
        <v>0.3543794531891567</v>
      </c>
      <c r="BC165" s="19">
        <v>0.63042997926661404</v>
      </c>
      <c r="BD165" s="19">
        <v>0.76731128885950028</v>
      </c>
      <c r="BE165" s="19">
        <v>0.72624859562486932</v>
      </c>
      <c r="BF165" s="19">
        <v>0.61946240533247032</v>
      </c>
      <c r="BG165" s="19">
        <v>0.5302053140495312</v>
      </c>
      <c r="BH165" s="19">
        <v>0.40883918267616703</v>
      </c>
      <c r="BI165" s="19">
        <v>0.93845896607287183</v>
      </c>
    </row>
    <row r="166" spans="1:61" x14ac:dyDescent="0.55000000000000004">
      <c r="A166" s="19" t="s">
        <v>799</v>
      </c>
      <c r="B166" s="19" t="s">
        <v>800</v>
      </c>
      <c r="C166" s="19" t="s">
        <v>134</v>
      </c>
      <c r="D166" s="19" t="s">
        <v>9</v>
      </c>
      <c r="E166" s="19">
        <v>1826</v>
      </c>
      <c r="F166" s="19">
        <v>66.61980434298043</v>
      </c>
      <c r="G166" s="19">
        <v>50.374843659396923</v>
      </c>
      <c r="H166" s="19">
        <v>91984.464522058784</v>
      </c>
      <c r="I166" s="19">
        <v>32.62694820223011</v>
      </c>
      <c r="J166" s="19">
        <v>28.020776150377998</v>
      </c>
      <c r="K166" s="19">
        <v>30.615701383071272</v>
      </c>
      <c r="L166" s="19">
        <v>47.062714757123118</v>
      </c>
      <c r="M166" s="19">
        <v>37.496699001136832</v>
      </c>
      <c r="N166" s="19">
        <v>15.13571259891442</v>
      </c>
      <c r="O166" s="19">
        <v>16.577672663910633</v>
      </c>
      <c r="P166" s="19">
        <v>43.26384084453845</v>
      </c>
      <c r="Q166" s="19">
        <v>421.80431904295881</v>
      </c>
      <c r="R166" s="19">
        <v>196.29817111430063</v>
      </c>
      <c r="S166" s="19">
        <v>1392.9100625559649</v>
      </c>
      <c r="T166" s="19">
        <v>1438.7327215911459</v>
      </c>
      <c r="U166" s="19">
        <v>33.191711164300429</v>
      </c>
      <c r="V166" s="19">
        <v>18.5162327665813</v>
      </c>
      <c r="W166" s="19">
        <v>43.437855889720751</v>
      </c>
      <c r="X166" s="19">
        <v>53.940392697458115</v>
      </c>
      <c r="Y166" s="19">
        <v>38.025678590741975</v>
      </c>
      <c r="Z166" s="19">
        <v>28.740631070342502</v>
      </c>
      <c r="AA166" s="19">
        <v>23.542160329924759</v>
      </c>
      <c r="AB166" s="19">
        <v>41.195092807441988</v>
      </c>
      <c r="AC166" s="19">
        <v>37.707711662323661</v>
      </c>
      <c r="AD166" s="19">
        <v>21.981715081772013</v>
      </c>
      <c r="AE166" s="19">
        <v>32.953522546025098</v>
      </c>
      <c r="AF166" s="19">
        <v>45.03550073464546</v>
      </c>
      <c r="AG166" s="19">
        <v>1190.3005546472073</v>
      </c>
      <c r="AH166" s="19">
        <v>228.14456287478603</v>
      </c>
      <c r="AI166" s="19">
        <v>1829.087833045714</v>
      </c>
      <c r="AJ166" s="19">
        <v>2162.6351031532422</v>
      </c>
      <c r="AK166" s="19">
        <v>4091.567643463809</v>
      </c>
      <c r="AL166" s="19">
        <v>2313.6573259078191</v>
      </c>
      <c r="AM166" s="19">
        <v>1658.6342371823387</v>
      </c>
      <c r="AN166" s="19">
        <v>4371.0343209422163</v>
      </c>
      <c r="AO166" s="19"/>
      <c r="AP166" s="19">
        <v>0.93425033882649156</v>
      </c>
      <c r="AQ166" s="19">
        <v>0.85883821569872032</v>
      </c>
      <c r="AR166" s="19">
        <v>1.0707803494571457</v>
      </c>
      <c r="AS166" s="19">
        <v>0.81777112969277588</v>
      </c>
      <c r="AT166" s="19">
        <v>0.89400775194752469</v>
      </c>
      <c r="AU166" s="19">
        <v>0.69326532416602471</v>
      </c>
      <c r="AV166" s="19">
        <v>0.59539226104964438</v>
      </c>
      <c r="AW166" s="19">
        <v>0.65052986299387816</v>
      </c>
      <c r="AX166" s="19">
        <v>0.86669833905582028</v>
      </c>
      <c r="AY166" s="19">
        <v>0.34984671502703918</v>
      </c>
      <c r="AZ166" s="19">
        <v>0.38317616606162624</v>
      </c>
      <c r="BA166" s="19">
        <v>0.61534055472059168</v>
      </c>
      <c r="BB166" s="19">
        <v>0.3432721165089675</v>
      </c>
      <c r="BC166" s="19">
        <v>0.80529365318780322</v>
      </c>
      <c r="BD166" s="19">
        <v>0.92306330679931248</v>
      </c>
      <c r="BE166" s="19">
        <v>0.69767123003423459</v>
      </c>
      <c r="BF166" s="19">
        <v>0.57147972550924353</v>
      </c>
      <c r="BG166" s="19">
        <v>0.83728860670389771</v>
      </c>
      <c r="BH166" s="19">
        <v>0.48809749471402347</v>
      </c>
      <c r="BI166" s="19">
        <v>0.73172324074270167</v>
      </c>
    </row>
    <row r="167" spans="1:61" x14ac:dyDescent="0.55000000000000004">
      <c r="A167" s="19" t="s">
        <v>801</v>
      </c>
      <c r="B167" s="19" t="s">
        <v>802</v>
      </c>
      <c r="C167" s="19" t="s">
        <v>8</v>
      </c>
      <c r="D167" s="19" t="s">
        <v>9</v>
      </c>
      <c r="E167" s="19">
        <v>1567</v>
      </c>
      <c r="F167" s="19">
        <v>66.376754050335649</v>
      </c>
      <c r="G167" s="19">
        <v>50.674731928673886</v>
      </c>
      <c r="H167" s="19">
        <v>79407.304932231986</v>
      </c>
      <c r="I167" s="19">
        <v>44.989908469590709</v>
      </c>
      <c r="J167" s="19">
        <v>13.640263420906017</v>
      </c>
      <c r="K167" s="19">
        <v>26.285890243269357</v>
      </c>
      <c r="L167" s="19">
        <v>48.907716912250478</v>
      </c>
      <c r="M167" s="19">
        <v>41.763797671893727</v>
      </c>
      <c r="N167" s="19">
        <v>13.730599691884729</v>
      </c>
      <c r="O167" s="19">
        <v>16.208319879061261</v>
      </c>
      <c r="P167" s="19">
        <v>42.492777131254464</v>
      </c>
      <c r="Q167" s="19">
        <v>504.51057477322513</v>
      </c>
      <c r="R167" s="19">
        <v>40.715566400695494</v>
      </c>
      <c r="S167" s="19">
        <v>1105.495620533165</v>
      </c>
      <c r="T167" s="19">
        <v>1146.6032121549731</v>
      </c>
      <c r="U167" s="19">
        <v>54.589397259118279</v>
      </c>
      <c r="V167" s="19">
        <v>16.519806225467583</v>
      </c>
      <c r="W167" s="19">
        <v>90.829565059525052</v>
      </c>
      <c r="X167" s="19">
        <v>98.874445439375535</v>
      </c>
      <c r="Y167" s="19">
        <v>51.497587287094213</v>
      </c>
      <c r="Z167" s="19">
        <v>25.43920047044897</v>
      </c>
      <c r="AA167" s="19">
        <v>20.853963423804668</v>
      </c>
      <c r="AB167" s="19">
        <v>54.601524369311818</v>
      </c>
      <c r="AC167" s="19">
        <v>62.394609203647121</v>
      </c>
      <c r="AD167" s="19">
        <v>33.682268734270593</v>
      </c>
      <c r="AE167" s="19">
        <v>42.1652980258106</v>
      </c>
      <c r="AF167" s="19">
        <v>77.632830899792808</v>
      </c>
      <c r="AG167" s="19">
        <v>1308.5510517870018</v>
      </c>
      <c r="AH167" s="19">
        <v>400.24987021368173</v>
      </c>
      <c r="AI167" s="19">
        <v>3444.9404853526289</v>
      </c>
      <c r="AJ167" s="19">
        <v>3671.4761405033764</v>
      </c>
      <c r="AK167" s="19">
        <v>1742.3426647400461</v>
      </c>
      <c r="AL167" s="19">
        <v>3204.3171697685652</v>
      </c>
      <c r="AM167" s="19">
        <v>1948.9526627477567</v>
      </c>
      <c r="AN167" s="19">
        <v>3276.6789066059778</v>
      </c>
      <c r="AO167" s="19"/>
      <c r="AP167" s="19">
        <v>0.96513025428707677</v>
      </c>
      <c r="AQ167" s="19">
        <v>0.83853975174578621</v>
      </c>
      <c r="AR167" s="19">
        <v>1.9511587269675961</v>
      </c>
      <c r="AS167" s="19">
        <v>1.0774901472821801</v>
      </c>
      <c r="AT167" s="19">
        <v>1.531983060296465</v>
      </c>
      <c r="AU167" s="19">
        <v>0.91989385949687563</v>
      </c>
      <c r="AV167" s="19">
        <v>0.27889797933890842</v>
      </c>
      <c r="AW167" s="19">
        <v>0.53745895132318533</v>
      </c>
      <c r="AX167" s="19">
        <v>0.98284462657950034</v>
      </c>
      <c r="AY167" s="19">
        <v>0.323127849457162</v>
      </c>
      <c r="AZ167" s="19">
        <v>0.38143705762030905</v>
      </c>
      <c r="BA167" s="19">
        <v>0.55210825220344262</v>
      </c>
      <c r="BB167" s="19">
        <v>0.16707862331927451</v>
      </c>
      <c r="BC167" s="19">
        <v>0.91863539315845599</v>
      </c>
      <c r="BD167" s="19">
        <v>0.94315292259565309</v>
      </c>
      <c r="BE167" s="19">
        <v>0.4659064149635132</v>
      </c>
      <c r="BF167" s="19">
        <v>0.38193005899896465</v>
      </c>
      <c r="BG167" s="19">
        <v>0.8037142080286247</v>
      </c>
      <c r="BH167" s="19">
        <v>0.43386629527586229</v>
      </c>
      <c r="BI167" s="19">
        <v>0.54313745276449954</v>
      </c>
    </row>
    <row r="168" spans="1:61" x14ac:dyDescent="0.55000000000000004">
      <c r="A168" s="19" t="s">
        <v>803</v>
      </c>
      <c r="B168" s="19" t="s">
        <v>804</v>
      </c>
      <c r="C168" s="19" t="s">
        <v>8</v>
      </c>
      <c r="D168" s="19" t="s">
        <v>9</v>
      </c>
      <c r="E168" s="19">
        <v>1640</v>
      </c>
      <c r="F168" s="19">
        <v>69.564497290051264</v>
      </c>
      <c r="G168" s="19">
        <v>34.876217456556184</v>
      </c>
      <c r="H168" s="19">
        <v>57196.996628752138</v>
      </c>
      <c r="I168" s="19">
        <v>48.843878509290157</v>
      </c>
      <c r="J168" s="19">
        <v>18.335575063796249</v>
      </c>
      <c r="K168" s="19">
        <v>20.201596949297169</v>
      </c>
      <c r="L168" s="19">
        <v>51.735780562758855</v>
      </c>
      <c r="M168" s="19">
        <v>41.590689623289187</v>
      </c>
      <c r="N168" s="19">
        <v>14.603331522873956</v>
      </c>
      <c r="O168" s="19">
        <v>9.4993851098339963</v>
      </c>
      <c r="P168" s="19">
        <v>43.89346213069841</v>
      </c>
      <c r="Q168" s="19">
        <v>653.3723881847942</v>
      </c>
      <c r="R168" s="19">
        <v>50.780909174618273</v>
      </c>
      <c r="S168" s="19">
        <v>653.80629270512759</v>
      </c>
      <c r="T168" s="19">
        <v>787.79156944019394</v>
      </c>
      <c r="U168" s="19">
        <v>62.686626874746921</v>
      </c>
      <c r="V168" s="19">
        <v>16.409067532779787</v>
      </c>
      <c r="W168" s="19">
        <v>63.136978695265356</v>
      </c>
      <c r="X168" s="19">
        <v>87.782558383550025</v>
      </c>
      <c r="Y168" s="19">
        <v>38.861741325548024</v>
      </c>
      <c r="Z168" s="19">
        <v>31.869016454541345</v>
      </c>
      <c r="AA168" s="19">
        <v>20.450136696684684</v>
      </c>
      <c r="AB168" s="19">
        <v>48.833436596681643</v>
      </c>
      <c r="AC168" s="19">
        <v>40.131512512590483</v>
      </c>
      <c r="AD168" s="19">
        <v>19.436453076511842</v>
      </c>
      <c r="AE168" s="19">
        <v>35.312488391728863</v>
      </c>
      <c r="AF168" s="19">
        <v>43.786401960920458</v>
      </c>
      <c r="AG168" s="19">
        <v>1322.3979047887422</v>
      </c>
      <c r="AH168" s="19">
        <v>165.79216367980928</v>
      </c>
      <c r="AI168" s="19">
        <v>3805.021044293042</v>
      </c>
      <c r="AJ168" s="19">
        <v>4027.5806239679146</v>
      </c>
      <c r="AK168" s="19">
        <v>3334.4264934515031</v>
      </c>
      <c r="AL168" s="19">
        <v>2603.1260137226604</v>
      </c>
      <c r="AM168" s="19">
        <v>539.87803351277535</v>
      </c>
      <c r="AN168" s="19">
        <v>3502.5446349809622</v>
      </c>
      <c r="AO168" s="19"/>
      <c r="AP168" s="19">
        <v>1.4834114573119608</v>
      </c>
      <c r="AQ168" s="19">
        <v>1.2585499613131677</v>
      </c>
      <c r="AR168" s="19">
        <v>2.5169747405347787</v>
      </c>
      <c r="AS168" s="19">
        <v>1.400193030035765</v>
      </c>
      <c r="AT168" s="19">
        <v>1.2554802428177112</v>
      </c>
      <c r="AU168" s="19">
        <v>0.94410247565588323</v>
      </c>
      <c r="AV168" s="19">
        <v>0.35440801055575083</v>
      </c>
      <c r="AW168" s="19">
        <v>0.39047631502904112</v>
      </c>
      <c r="AX168" s="19">
        <v>0.94753723229777542</v>
      </c>
      <c r="AY168" s="19">
        <v>0.33269946853111437</v>
      </c>
      <c r="AZ168" s="19">
        <v>0.21641913507638927</v>
      </c>
      <c r="BA168" s="19">
        <v>0.71411255298403398</v>
      </c>
      <c r="BB168" s="19">
        <v>0.18692856342923309</v>
      </c>
      <c r="BC168" s="19">
        <v>0.71924286393431069</v>
      </c>
      <c r="BD168" s="19">
        <v>0.79580189382347866</v>
      </c>
      <c r="BE168" s="19">
        <v>0.65260646547875611</v>
      </c>
      <c r="BF168" s="19">
        <v>0.41877324476636002</v>
      </c>
      <c r="BG168" s="19">
        <v>0.91652912126481689</v>
      </c>
      <c r="BH168" s="19">
        <v>0.44389244619503004</v>
      </c>
      <c r="BI168" s="19">
        <v>0.80647157131671621</v>
      </c>
    </row>
    <row r="169" spans="1:61" x14ac:dyDescent="0.55000000000000004">
      <c r="A169" s="19" t="s">
        <v>805</v>
      </c>
      <c r="B169" s="19" t="s">
        <v>806</v>
      </c>
      <c r="C169" s="19" t="s">
        <v>8</v>
      </c>
      <c r="D169" s="19" t="s">
        <v>9</v>
      </c>
      <c r="E169" s="19">
        <v>1632</v>
      </c>
      <c r="F169" s="19">
        <v>68.745213591402873</v>
      </c>
      <c r="G169" s="19">
        <v>32.836837501601664</v>
      </c>
      <c r="H169" s="19">
        <v>53589.718802613919</v>
      </c>
      <c r="I169" s="19">
        <v>42.843374672368455</v>
      </c>
      <c r="J169" s="19">
        <v>16.684799903040403</v>
      </c>
      <c r="K169" s="19">
        <v>17.927266422149881</v>
      </c>
      <c r="L169" s="19">
        <v>45.961563967796508</v>
      </c>
      <c r="M169" s="19">
        <v>36.191307534641943</v>
      </c>
      <c r="N169" s="19">
        <v>12.901356616232329</v>
      </c>
      <c r="O169" s="19">
        <v>6.8797765963626327</v>
      </c>
      <c r="P169" s="19">
        <v>37.412107817572313</v>
      </c>
      <c r="Q169" s="19">
        <v>448.18718098680102</v>
      </c>
      <c r="R169" s="19">
        <v>71.282157423523117</v>
      </c>
      <c r="S169" s="19">
        <v>698.42086682556999</v>
      </c>
      <c r="T169" s="19">
        <v>728.87044845079993</v>
      </c>
      <c r="U169" s="19">
        <v>62.119781672796428</v>
      </c>
      <c r="V169" s="19">
        <v>28.69314264017224</v>
      </c>
      <c r="W169" s="19">
        <v>67.132753624681357</v>
      </c>
      <c r="X169" s="19">
        <v>86.642386811929143</v>
      </c>
      <c r="Y169" s="19">
        <v>42.943492725776295</v>
      </c>
      <c r="Z169" s="19">
        <v>33.639803582006287</v>
      </c>
      <c r="AA169" s="19">
        <v>17.8794032774187</v>
      </c>
      <c r="AB169" s="19">
        <v>50.593895130025722</v>
      </c>
      <c r="AC169" s="19">
        <v>46.516924761442752</v>
      </c>
      <c r="AD169" s="19">
        <v>18.816191783658368</v>
      </c>
      <c r="AE169" s="19">
        <v>32.336209351864625</v>
      </c>
      <c r="AF169" s="19">
        <v>53.324144708270509</v>
      </c>
      <c r="AG169" s="19">
        <v>1345.8958836513511</v>
      </c>
      <c r="AH169" s="19">
        <v>341.32265289112331</v>
      </c>
      <c r="AI169" s="19">
        <v>3892.5939751439159</v>
      </c>
      <c r="AJ169" s="19">
        <v>4099.9695494400512</v>
      </c>
      <c r="AK169" s="19">
        <v>4486.2537917541285</v>
      </c>
      <c r="AL169" s="19">
        <v>2320.1760396059003</v>
      </c>
      <c r="AM169" s="19">
        <v>852.40836397844225</v>
      </c>
      <c r="AN169" s="19">
        <v>4488.1466881085034</v>
      </c>
      <c r="AO169" s="19"/>
      <c r="AP169" s="19">
        <v>1.3996952040693524</v>
      </c>
      <c r="AQ169" s="19">
        <v>1.139333464002052</v>
      </c>
      <c r="AR169" s="19">
        <v>2.6385728165114268</v>
      </c>
      <c r="AS169" s="19">
        <v>1.540766376407531</v>
      </c>
      <c r="AT169" s="19">
        <v>1.62391231206932</v>
      </c>
      <c r="AU169" s="19">
        <v>0.9321565885440094</v>
      </c>
      <c r="AV169" s="19">
        <v>0.36301636547291555</v>
      </c>
      <c r="AW169" s="19">
        <v>0.39004909481998534</v>
      </c>
      <c r="AX169" s="19">
        <v>0.96736884516415922</v>
      </c>
      <c r="AY169" s="19">
        <v>0.34484441986379111</v>
      </c>
      <c r="AZ169" s="19">
        <v>0.1838917130761403</v>
      </c>
      <c r="BA169" s="19">
        <v>0.71696757163023606</v>
      </c>
      <c r="BB169" s="19">
        <v>0.33116750006501083</v>
      </c>
      <c r="BC169" s="19">
        <v>0.77482576478881526</v>
      </c>
      <c r="BD169" s="19">
        <v>0.84878803293187877</v>
      </c>
      <c r="BE169" s="19">
        <v>0.66489847234636479</v>
      </c>
      <c r="BF169" s="19">
        <v>0.35339052728533438</v>
      </c>
      <c r="BG169" s="19">
        <v>0.87234263232782872</v>
      </c>
      <c r="BH169" s="19">
        <v>0.35286438979189105</v>
      </c>
      <c r="BI169" s="19">
        <v>0.60640840146188635</v>
      </c>
    </row>
    <row r="170" spans="1:61" x14ac:dyDescent="0.55000000000000004">
      <c r="A170" s="19" t="s">
        <v>807</v>
      </c>
      <c r="B170" s="19" t="s">
        <v>808</v>
      </c>
      <c r="C170" s="19" t="s">
        <v>8</v>
      </c>
      <c r="D170" s="19" t="s">
        <v>9</v>
      </c>
      <c r="E170" s="19">
        <v>1691</v>
      </c>
      <c r="F170" s="19">
        <v>69.442308782322655</v>
      </c>
      <c r="G170" s="19">
        <v>52.122463050959993</v>
      </c>
      <c r="H170" s="19">
        <v>88139.085019173348</v>
      </c>
      <c r="I170" s="19">
        <v>32.129281094401598</v>
      </c>
      <c r="J170" s="19">
        <v>33.892505232311933</v>
      </c>
      <c r="K170" s="19">
        <v>24.64810452048102</v>
      </c>
      <c r="L170" s="19">
        <v>36.541313586624227</v>
      </c>
      <c r="M170" s="19">
        <v>31.956175456393719</v>
      </c>
      <c r="N170" s="19">
        <v>17.742175690720998</v>
      </c>
      <c r="O170" s="19">
        <v>17.75822683871073</v>
      </c>
      <c r="P170" s="19">
        <v>36.74830373515541</v>
      </c>
      <c r="Q170" s="19">
        <v>597.81397711736417</v>
      </c>
      <c r="R170" s="19">
        <v>54.756536094709404</v>
      </c>
      <c r="S170" s="19">
        <v>1143.3185881836721</v>
      </c>
      <c r="T170" s="19">
        <v>1286.8481547282533</v>
      </c>
      <c r="U170" s="19">
        <v>26.876403888315068</v>
      </c>
      <c r="V170" s="19">
        <v>8.9147574050718976</v>
      </c>
      <c r="W170" s="19">
        <v>45.891224907314829</v>
      </c>
      <c r="X170" s="19">
        <v>47.797726667624687</v>
      </c>
      <c r="Y170" s="19">
        <v>25.672805993131607</v>
      </c>
      <c r="Z170" s="19">
        <v>20.859829773457939</v>
      </c>
      <c r="AA170" s="19">
        <v>14.535994522875573</v>
      </c>
      <c r="AB170" s="19">
        <v>35.965754379891656</v>
      </c>
      <c r="AC170" s="19">
        <v>33.658195385669543</v>
      </c>
      <c r="AD170" s="19">
        <v>15.526905989104783</v>
      </c>
      <c r="AE170" s="19">
        <v>27.607853683465741</v>
      </c>
      <c r="AF170" s="19">
        <v>45.451199558702818</v>
      </c>
      <c r="AG170" s="19">
        <v>668.83337470930928</v>
      </c>
      <c r="AH170" s="19">
        <v>1722.215295406826</v>
      </c>
      <c r="AI170" s="19">
        <v>1623.9231504084687</v>
      </c>
      <c r="AJ170" s="19">
        <v>1836.8091551750388</v>
      </c>
      <c r="AK170" s="19">
        <v>3040.3454835378698</v>
      </c>
      <c r="AL170" s="19">
        <v>1902.4693438954318</v>
      </c>
      <c r="AM170" s="19">
        <v>2702.5385537751513</v>
      </c>
      <c r="AN170" s="19">
        <v>4048.0617514223486</v>
      </c>
      <c r="AO170" s="19"/>
      <c r="AP170" s="19">
        <v>0.70106651619471405</v>
      </c>
      <c r="AQ170" s="19">
        <v>0.7050377435008528</v>
      </c>
      <c r="AR170" s="19">
        <v>0.91702739797413213</v>
      </c>
      <c r="AS170" s="19">
        <v>0.69002407550710021</v>
      </c>
      <c r="AT170" s="19">
        <v>0.8720079002073502</v>
      </c>
      <c r="AU170" s="19">
        <v>0.87925906161628431</v>
      </c>
      <c r="AV170" s="19">
        <v>0.92751195580221624</v>
      </c>
      <c r="AW170" s="19">
        <v>0.67452705174516059</v>
      </c>
      <c r="AX170" s="19">
        <v>0.86959593255518663</v>
      </c>
      <c r="AY170" s="19">
        <v>0.48280257555800804</v>
      </c>
      <c r="AZ170" s="19">
        <v>0.48323936165037878</v>
      </c>
      <c r="BA170" s="19">
        <v>0.56229460608467663</v>
      </c>
      <c r="BB170" s="19">
        <v>0.18651007122291069</v>
      </c>
      <c r="BC170" s="19">
        <v>0.96011312894507994</v>
      </c>
      <c r="BD170" s="19">
        <v>0.71381252627041225</v>
      </c>
      <c r="BE170" s="19">
        <v>0.57999144277981851</v>
      </c>
      <c r="BF170" s="19">
        <v>0.40416209178703066</v>
      </c>
      <c r="BG170" s="19">
        <v>0.7405348090361854</v>
      </c>
      <c r="BH170" s="19">
        <v>0.34161707809385533</v>
      </c>
      <c r="BI170" s="19">
        <v>0.60741749286085667</v>
      </c>
    </row>
    <row r="171" spans="1:61" x14ac:dyDescent="0.55000000000000004">
      <c r="A171" s="19" t="s">
        <v>851</v>
      </c>
      <c r="B171" s="19" t="s">
        <v>852</v>
      </c>
      <c r="C171" s="19" t="s">
        <v>8</v>
      </c>
      <c r="D171" s="19" t="s">
        <v>9</v>
      </c>
      <c r="E171" s="19">
        <v>1763</v>
      </c>
      <c r="F171" s="19">
        <v>67.988180526786991</v>
      </c>
      <c r="G171" s="19">
        <v>44.358774099776866</v>
      </c>
      <c r="H171" s="19">
        <v>78204.518737906619</v>
      </c>
      <c r="I171" s="19">
        <v>45.968328612050882</v>
      </c>
      <c r="J171" s="19">
        <v>12.888641549865083</v>
      </c>
      <c r="K171" s="19">
        <v>30.548681068978524</v>
      </c>
      <c r="L171" s="19">
        <v>49.256585420938741</v>
      </c>
      <c r="M171" s="19">
        <v>43.316437145466033</v>
      </c>
      <c r="N171" s="19">
        <v>18.177003078237849</v>
      </c>
      <c r="O171" s="19">
        <v>15.695659572442267</v>
      </c>
      <c r="P171" s="19">
        <v>46.943709033429549</v>
      </c>
      <c r="Q171" s="19">
        <v>493.39725064963267</v>
      </c>
      <c r="R171" s="19">
        <v>229.6184236201388</v>
      </c>
      <c r="S171" s="19">
        <v>1255.309895189208</v>
      </c>
      <c r="T171" s="19">
        <v>1256.7394194584974</v>
      </c>
      <c r="U171" s="19">
        <v>42.167788391709962</v>
      </c>
      <c r="V171" s="19">
        <v>17.886854581135559</v>
      </c>
      <c r="W171" s="19">
        <v>41.376943812735085</v>
      </c>
      <c r="X171" s="19">
        <v>54.486614949643915</v>
      </c>
      <c r="Y171" s="19">
        <v>36.133337772505961</v>
      </c>
      <c r="Z171" s="19">
        <v>35.212655941484599</v>
      </c>
      <c r="AA171" s="19">
        <v>18.298459460571806</v>
      </c>
      <c r="AB171" s="19">
        <v>44.724235372542708</v>
      </c>
      <c r="AC171" s="19">
        <v>55.456581962807221</v>
      </c>
      <c r="AD171" s="19">
        <v>22.378908759608453</v>
      </c>
      <c r="AE171" s="19">
        <v>31.895573678079451</v>
      </c>
      <c r="AF171" s="19">
        <v>65.469036679880404</v>
      </c>
      <c r="AG171" s="19">
        <v>1104.10271881531</v>
      </c>
      <c r="AH171" s="19">
        <v>308.88787699157638</v>
      </c>
      <c r="AI171" s="19">
        <v>1788.3215240906441</v>
      </c>
      <c r="AJ171" s="19">
        <v>2085.1749074854042</v>
      </c>
      <c r="AK171" s="19">
        <v>7652.7719217422027</v>
      </c>
      <c r="AL171" s="19">
        <v>2240.0480830336346</v>
      </c>
      <c r="AM171" s="19">
        <v>2025.2888677318724</v>
      </c>
      <c r="AN171" s="19">
        <v>7900.1013083590969</v>
      </c>
      <c r="AO171" s="19"/>
      <c r="AP171" s="19">
        <v>1.1104135860505331</v>
      </c>
      <c r="AQ171" s="19">
        <v>1.0582733627362728</v>
      </c>
      <c r="AR171" s="19">
        <v>1.2283165181049942</v>
      </c>
      <c r="AS171" s="19">
        <v>1.0082387595280204</v>
      </c>
      <c r="AT171" s="19">
        <v>1.4758982412953952</v>
      </c>
      <c r="AU171" s="19">
        <v>0.93324229073560516</v>
      </c>
      <c r="AV171" s="19">
        <v>0.26166331749797223</v>
      </c>
      <c r="AW171" s="19">
        <v>0.62019485938609997</v>
      </c>
      <c r="AX171" s="19">
        <v>0.922731459387232</v>
      </c>
      <c r="AY171" s="19">
        <v>0.38720849827382925</v>
      </c>
      <c r="AZ171" s="19">
        <v>0.3343506488007813</v>
      </c>
      <c r="BA171" s="19">
        <v>0.77391095832767531</v>
      </c>
      <c r="BB171" s="19">
        <v>0.32827979124169199</v>
      </c>
      <c r="BC171" s="19">
        <v>0.75939648390664971</v>
      </c>
      <c r="BD171" s="19">
        <v>0.80791404193997896</v>
      </c>
      <c r="BE171" s="19">
        <v>0.78732829411550997</v>
      </c>
      <c r="BF171" s="19">
        <v>0.4091396825043469</v>
      </c>
      <c r="BG171" s="19">
        <v>0.84706580049389735</v>
      </c>
      <c r="BH171" s="19">
        <v>0.34182431718116024</v>
      </c>
      <c r="BI171" s="19">
        <v>0.48718562690997147</v>
      </c>
    </row>
    <row r="172" spans="1:61" x14ac:dyDescent="0.55000000000000004">
      <c r="A172" s="19" t="s">
        <v>853</v>
      </c>
      <c r="B172" s="19" t="s">
        <v>854</v>
      </c>
      <c r="C172" s="19" t="s">
        <v>8</v>
      </c>
      <c r="D172" s="19" t="s">
        <v>9</v>
      </c>
      <c r="E172" s="19">
        <v>1870</v>
      </c>
      <c r="F172" s="19">
        <v>66.295608285241173</v>
      </c>
      <c r="G172" s="19">
        <v>52.718932594649502</v>
      </c>
      <c r="H172" s="19">
        <v>98584.403951994565</v>
      </c>
      <c r="I172" s="19">
        <v>30.594039445663185</v>
      </c>
      <c r="J172" s="19">
        <v>23.220610717191295</v>
      </c>
      <c r="K172" s="19">
        <v>29.562113179499217</v>
      </c>
      <c r="L172" s="19">
        <v>39.940209149326179</v>
      </c>
      <c r="M172" s="19">
        <v>35.751950320915775</v>
      </c>
      <c r="N172" s="19">
        <v>16.805197762842404</v>
      </c>
      <c r="O172" s="19">
        <v>10.189586501766799</v>
      </c>
      <c r="P172" s="19">
        <v>39.371076592482943</v>
      </c>
      <c r="Q172" s="19">
        <v>418.3056516163299</v>
      </c>
      <c r="R172" s="19">
        <v>70.668237248248502</v>
      </c>
      <c r="S172" s="19">
        <v>1264.076580534221</v>
      </c>
      <c r="T172" s="19">
        <v>1271.4982537570102</v>
      </c>
      <c r="U172" s="19">
        <v>32.326610368626348</v>
      </c>
      <c r="V172" s="19">
        <v>15.975341351001624</v>
      </c>
      <c r="W172" s="19">
        <v>42.244371953796467</v>
      </c>
      <c r="X172" s="19">
        <v>52.317939614646406</v>
      </c>
      <c r="Y172" s="19">
        <v>34.196009627454238</v>
      </c>
      <c r="Z172" s="19">
        <v>23.437883436439638</v>
      </c>
      <c r="AA172" s="19">
        <v>17.638241849160529</v>
      </c>
      <c r="AB172" s="19">
        <v>42.474369379401985</v>
      </c>
      <c r="AC172" s="19">
        <v>46.864982978235474</v>
      </c>
      <c r="AD172" s="19">
        <v>13.465217228294403</v>
      </c>
      <c r="AE172" s="19">
        <v>27.817701963133985</v>
      </c>
      <c r="AF172" s="19">
        <v>52.700491330632168</v>
      </c>
      <c r="AG172" s="19">
        <v>914.22540643965965</v>
      </c>
      <c r="AH172" s="19">
        <v>75.39075373225991</v>
      </c>
      <c r="AI172" s="19">
        <v>1725.1352805843576</v>
      </c>
      <c r="AJ172" s="19">
        <v>1917.8662763675909</v>
      </c>
      <c r="AK172" s="19">
        <v>4536.8137602377574</v>
      </c>
      <c r="AL172" s="19">
        <v>2391.2289040046908</v>
      </c>
      <c r="AM172" s="19">
        <v>2093.1391867201401</v>
      </c>
      <c r="AN172" s="19">
        <v>4587.7322592790661</v>
      </c>
      <c r="AO172" s="19"/>
      <c r="AP172" s="19">
        <v>0.75760655960966383</v>
      </c>
      <c r="AQ172" s="19">
        <v>0.74681095869681458</v>
      </c>
      <c r="AR172" s="19">
        <v>0.99239375760722837</v>
      </c>
      <c r="AS172" s="19">
        <v>0.80567582249783165</v>
      </c>
      <c r="AT172" s="19">
        <v>0.99965019655919196</v>
      </c>
      <c r="AU172" s="19">
        <v>0.7659959749154025</v>
      </c>
      <c r="AV172" s="19">
        <v>0.58138430448311873</v>
      </c>
      <c r="AW172" s="19">
        <v>0.74015919818982601</v>
      </c>
      <c r="AX172" s="19">
        <v>0.90807652254400983</v>
      </c>
      <c r="AY172" s="19">
        <v>0.42684120469418391</v>
      </c>
      <c r="AZ172" s="19">
        <v>0.25880893751613288</v>
      </c>
      <c r="BA172" s="19">
        <v>0.61788768072159539</v>
      </c>
      <c r="BB172" s="19">
        <v>0.30535111796584069</v>
      </c>
      <c r="BC172" s="19">
        <v>0.80745480928629987</v>
      </c>
      <c r="BD172" s="19">
        <v>0.80509752415624203</v>
      </c>
      <c r="BE172" s="19">
        <v>0.55181239365983092</v>
      </c>
      <c r="BF172" s="19">
        <v>0.4152678923048172</v>
      </c>
      <c r="BG172" s="19">
        <v>0.88927032357656965</v>
      </c>
      <c r="BH172" s="19">
        <v>0.25550458616820793</v>
      </c>
      <c r="BI172" s="19">
        <v>0.52784521094141945</v>
      </c>
    </row>
    <row r="173" spans="1:61" x14ac:dyDescent="0.55000000000000004">
      <c r="A173" s="19" t="s">
        <v>857</v>
      </c>
      <c r="B173" s="19" t="s">
        <v>858</v>
      </c>
      <c r="C173" s="19" t="s">
        <v>8</v>
      </c>
      <c r="D173" s="19" t="s">
        <v>9</v>
      </c>
      <c r="E173" s="19">
        <v>2241</v>
      </c>
      <c r="F173" s="19">
        <v>67.747006755434398</v>
      </c>
      <c r="G173" s="19">
        <v>37.944602136650914</v>
      </c>
      <c r="H173" s="19">
        <v>85033.853388234696</v>
      </c>
      <c r="I173" s="19">
        <v>33.737453546488297</v>
      </c>
      <c r="J173" s="19">
        <v>9.8208031374878555</v>
      </c>
      <c r="K173" s="19">
        <v>29.291770142884495</v>
      </c>
      <c r="L173" s="19">
        <v>43.866311126770839</v>
      </c>
      <c r="M173" s="19">
        <v>38.36437344413946</v>
      </c>
      <c r="N173" s="19">
        <v>8.9519922347921685</v>
      </c>
      <c r="O173" s="19">
        <v>12.617219498963014</v>
      </c>
      <c r="P173" s="19">
        <v>39.477852274712099</v>
      </c>
      <c r="Q173" s="19">
        <v>452.0269912222268</v>
      </c>
      <c r="R173" s="19">
        <v>120.49377834540127</v>
      </c>
      <c r="S173" s="19">
        <v>679.26737728915703</v>
      </c>
      <c r="T173" s="19">
        <v>690.80583679884239</v>
      </c>
      <c r="U173" s="19">
        <v>37.511299359409065</v>
      </c>
      <c r="V173" s="19">
        <v>14.236010396266209</v>
      </c>
      <c r="W173" s="19">
        <v>39.319644053510999</v>
      </c>
      <c r="X173" s="19">
        <v>44.719295788989747</v>
      </c>
      <c r="Y173" s="19">
        <v>26.592224374005099</v>
      </c>
      <c r="Z173" s="19">
        <v>24.283540562502075</v>
      </c>
      <c r="AA173" s="19">
        <v>18.089386444766351</v>
      </c>
      <c r="AB173" s="19">
        <v>36.309489026000811</v>
      </c>
      <c r="AC173" s="19">
        <v>25.688131927227598</v>
      </c>
      <c r="AD173" s="19">
        <v>18.593902632801349</v>
      </c>
      <c r="AE173" s="19">
        <v>28.310938555331418</v>
      </c>
      <c r="AF173" s="19">
        <v>41.330605269732843</v>
      </c>
      <c r="AG173" s="19">
        <v>803.5649595488868</v>
      </c>
      <c r="AH173" s="19">
        <v>611.26676647248053</v>
      </c>
      <c r="AI173" s="19">
        <v>1360.7509538712748</v>
      </c>
      <c r="AJ173" s="19">
        <v>1408.380628715945</v>
      </c>
      <c r="AK173" s="19">
        <v>1024.6859620251453</v>
      </c>
      <c r="AL173" s="19">
        <v>3010.9835555628515</v>
      </c>
      <c r="AM173" s="19">
        <v>1903.7198759646285</v>
      </c>
      <c r="AN173" s="19">
        <v>3099.2950092624419</v>
      </c>
      <c r="AO173" s="19"/>
      <c r="AP173" s="19">
        <v>1.1560619602438817</v>
      </c>
      <c r="AQ173" s="19">
        <v>1.040407595592634</v>
      </c>
      <c r="AR173" s="19">
        <v>1.1785416968648386</v>
      </c>
      <c r="AS173" s="19">
        <v>0.95690788627163548</v>
      </c>
      <c r="AT173" s="19">
        <v>1.0892354364630792</v>
      </c>
      <c r="AU173" s="19">
        <v>0.76909711986014073</v>
      </c>
      <c r="AV173" s="19">
        <v>0.223880305528914</v>
      </c>
      <c r="AW173" s="19">
        <v>0.6677509321044377</v>
      </c>
      <c r="AX173" s="19">
        <v>0.9717948478345696</v>
      </c>
      <c r="AY173" s="19">
        <v>0.2267598594902907</v>
      </c>
      <c r="AZ173" s="19">
        <v>0.31960248017456333</v>
      </c>
      <c r="BA173" s="19">
        <v>0.83881686188458837</v>
      </c>
      <c r="BB173" s="19">
        <v>0.31834156028394417</v>
      </c>
      <c r="BC173" s="19">
        <v>0.87925454459396502</v>
      </c>
      <c r="BD173" s="19">
        <v>0.73237671714307817</v>
      </c>
      <c r="BE173" s="19">
        <v>0.66879323322652406</v>
      </c>
      <c r="BF173" s="19">
        <v>0.49819997278983319</v>
      </c>
      <c r="BG173" s="19">
        <v>0.62152808456544639</v>
      </c>
      <c r="BH173" s="19">
        <v>0.4498821759675028</v>
      </c>
      <c r="BI173" s="19">
        <v>0.68498727203649346</v>
      </c>
    </row>
    <row r="174" spans="1:61" x14ac:dyDescent="0.55000000000000004">
      <c r="A174" s="19" t="s">
        <v>859</v>
      </c>
      <c r="B174" s="19" t="s">
        <v>860</v>
      </c>
      <c r="C174" s="19" t="s">
        <v>51</v>
      </c>
      <c r="D174" s="19" t="s">
        <v>9</v>
      </c>
      <c r="E174" s="19">
        <v>1628</v>
      </c>
      <c r="F174" s="19">
        <v>68.095289066082756</v>
      </c>
      <c r="G174" s="19">
        <v>51.955734343710681</v>
      </c>
      <c r="H174" s="19">
        <v>84583.935511560994</v>
      </c>
      <c r="I174" s="19">
        <v>31.522531544808537</v>
      </c>
      <c r="J174" s="19">
        <v>21.833267253288916</v>
      </c>
      <c r="K174" s="19">
        <v>25.43164343987808</v>
      </c>
      <c r="L174" s="19">
        <v>37.109296468174215</v>
      </c>
      <c r="M174" s="19">
        <v>31.010932888251581</v>
      </c>
      <c r="N174" s="19">
        <v>18.944193231208462</v>
      </c>
      <c r="O174" s="19">
        <v>7.2024271665683148</v>
      </c>
      <c r="P174" s="19">
        <v>35.028779650986138</v>
      </c>
      <c r="Q174" s="19">
        <v>504.47862242587001</v>
      </c>
      <c r="R174" s="19">
        <v>209.96820149078337</v>
      </c>
      <c r="S174" s="19">
        <v>1092.543338932285</v>
      </c>
      <c r="T174" s="19">
        <v>1103.5742485201795</v>
      </c>
      <c r="U174" s="19">
        <v>23.00389654029194</v>
      </c>
      <c r="V174" s="19">
        <v>12.069559605765615</v>
      </c>
      <c r="W174" s="19">
        <v>51.364198771798058</v>
      </c>
      <c r="X174" s="19">
        <v>55.10548646093887</v>
      </c>
      <c r="Y174" s="19">
        <v>30.391289584534086</v>
      </c>
      <c r="Z174" s="19">
        <v>29.0903575254538</v>
      </c>
      <c r="AA174" s="19">
        <v>16.094413176046928</v>
      </c>
      <c r="AB174" s="19">
        <v>40.629381065136386</v>
      </c>
      <c r="AC174" s="19">
        <v>33.43918985883581</v>
      </c>
      <c r="AD174" s="19">
        <v>23.297269238348825</v>
      </c>
      <c r="AE174" s="19">
        <v>28.832684748246937</v>
      </c>
      <c r="AF174" s="19">
        <v>43.614219190451507</v>
      </c>
      <c r="AG174" s="19">
        <v>737.47596762716478</v>
      </c>
      <c r="AH174" s="19">
        <v>65.399613324362861</v>
      </c>
      <c r="AI174" s="19">
        <v>1821.4931592776502</v>
      </c>
      <c r="AJ174" s="19">
        <v>1916.043494826469</v>
      </c>
      <c r="AK174" s="19">
        <v>1320.1560468445398</v>
      </c>
      <c r="AL174" s="19">
        <v>2044.8187652402903</v>
      </c>
      <c r="AM174" s="19">
        <v>1474.983494204871</v>
      </c>
      <c r="AN174" s="19">
        <v>2233.1009107333443</v>
      </c>
      <c r="AO174" s="19"/>
      <c r="AP174" s="19">
        <v>0.71424832960072193</v>
      </c>
      <c r="AQ174" s="19">
        <v>0.67420430282545751</v>
      </c>
      <c r="AR174" s="19">
        <v>1.0606237628437922</v>
      </c>
      <c r="AS174" s="19">
        <v>0.78199993856991135</v>
      </c>
      <c r="AT174" s="19">
        <v>0.83944957647838681</v>
      </c>
      <c r="AU174" s="19">
        <v>0.84945106873268228</v>
      </c>
      <c r="AV174" s="19">
        <v>0.58835034159199506</v>
      </c>
      <c r="AW174" s="19">
        <v>0.68531731561359133</v>
      </c>
      <c r="AX174" s="19">
        <v>0.88529869430888253</v>
      </c>
      <c r="AY174" s="19">
        <v>0.54081796225736178</v>
      </c>
      <c r="AZ174" s="19">
        <v>0.20561456146433438</v>
      </c>
      <c r="BA174" s="19">
        <v>0.41745201825952644</v>
      </c>
      <c r="BB174" s="19">
        <v>0.21902645963067646</v>
      </c>
      <c r="BC174" s="19">
        <v>0.93210680225474829</v>
      </c>
      <c r="BD174" s="19">
        <v>0.74801261520108431</v>
      </c>
      <c r="BE174" s="19">
        <v>0.71599312524147474</v>
      </c>
      <c r="BF174" s="19">
        <v>0.39612745146780892</v>
      </c>
      <c r="BG174" s="19">
        <v>0.76670385208126524</v>
      </c>
      <c r="BH174" s="19">
        <v>0.5341668306984001</v>
      </c>
      <c r="BI174" s="19">
        <v>0.66108451058913598</v>
      </c>
    </row>
    <row r="175" spans="1:61" x14ac:dyDescent="0.55000000000000004">
      <c r="A175" s="19" t="s">
        <v>871</v>
      </c>
      <c r="B175" s="19" t="s">
        <v>872</v>
      </c>
      <c r="C175" s="19" t="s">
        <v>8</v>
      </c>
      <c r="D175" s="19" t="s">
        <v>9</v>
      </c>
      <c r="E175" s="19">
        <v>1610</v>
      </c>
      <c r="F175" s="19">
        <v>69.02326154046338</v>
      </c>
      <c r="G175" s="19">
        <v>40.412001488287721</v>
      </c>
      <c r="H175" s="19">
        <v>65063.32239614323</v>
      </c>
      <c r="I175" s="19">
        <v>48.249474358924225</v>
      </c>
      <c r="J175" s="19">
        <v>26.25395453920251</v>
      </c>
      <c r="K175" s="19">
        <v>21.08288061560155</v>
      </c>
      <c r="L175" s="19">
        <v>53.592038846791979</v>
      </c>
      <c r="M175" s="19">
        <v>39.687761480932153</v>
      </c>
      <c r="N175" s="19">
        <v>19.610890023036319</v>
      </c>
      <c r="O175" s="19">
        <v>13.824341003698835</v>
      </c>
      <c r="P175" s="19">
        <v>43.932405673262345</v>
      </c>
      <c r="Q175" s="19">
        <v>585.12763081852427</v>
      </c>
      <c r="R175" s="19">
        <v>225.60626404543535</v>
      </c>
      <c r="S175" s="19">
        <v>839.04065279408655</v>
      </c>
      <c r="T175" s="19">
        <v>996.28534453871634</v>
      </c>
      <c r="U175" s="19">
        <v>143.23556069955998</v>
      </c>
      <c r="V175" s="19">
        <v>39.579918873650399</v>
      </c>
      <c r="W175" s="19">
        <v>58.521750458559097</v>
      </c>
      <c r="X175" s="19">
        <v>159.58816249207737</v>
      </c>
      <c r="Y175" s="19">
        <v>28.551137165151925</v>
      </c>
      <c r="Z175" s="19">
        <v>18.468576925869527</v>
      </c>
      <c r="AA175" s="19">
        <v>16.207456525971654</v>
      </c>
      <c r="AB175" s="19">
        <v>35.653187978592186</v>
      </c>
      <c r="AC175" s="19">
        <v>29.357311551137791</v>
      </c>
      <c r="AD175" s="19">
        <v>19.347026990178218</v>
      </c>
      <c r="AE175" s="19">
        <v>26.911475421552556</v>
      </c>
      <c r="AF175" s="19">
        <v>43.159513552801947</v>
      </c>
      <c r="AG175" s="19">
        <v>716.58483645791489</v>
      </c>
      <c r="AH175" s="19">
        <v>1976.4022099003037</v>
      </c>
      <c r="AI175" s="19">
        <v>1764.2727931371685</v>
      </c>
      <c r="AJ175" s="19">
        <v>1987.9523571986203</v>
      </c>
      <c r="AK175" s="19">
        <v>2594.9152616869396</v>
      </c>
      <c r="AL175" s="19">
        <v>1312.1755072222304</v>
      </c>
      <c r="AM175" s="19">
        <v>3080.5368297713908</v>
      </c>
      <c r="AN175" s="19">
        <v>3907.5643505835028</v>
      </c>
      <c r="AO175" s="19"/>
      <c r="AP175" s="19">
        <v>1.3261416627019604</v>
      </c>
      <c r="AQ175" s="19">
        <v>1.0871128391399993</v>
      </c>
      <c r="AR175" s="19">
        <v>3.9490289175192053</v>
      </c>
      <c r="AS175" s="19">
        <v>0.88224256818671198</v>
      </c>
      <c r="AT175" s="19">
        <v>1.067987527549471</v>
      </c>
      <c r="AU175" s="19">
        <v>0.90031048262334279</v>
      </c>
      <c r="AV175" s="19">
        <v>0.48988534685640295</v>
      </c>
      <c r="AW175" s="19">
        <v>0.3933957555873725</v>
      </c>
      <c r="AX175" s="19">
        <v>0.90338238648029423</v>
      </c>
      <c r="AY175" s="19">
        <v>0.44638780240918341</v>
      </c>
      <c r="AZ175" s="19">
        <v>0.31467297981618275</v>
      </c>
      <c r="BA175" s="19">
        <v>0.89753248901948346</v>
      </c>
      <c r="BB175" s="19">
        <v>0.24801287423567717</v>
      </c>
      <c r="BC175" s="19">
        <v>0.36670483289425909</v>
      </c>
      <c r="BD175" s="19">
        <v>0.80080180157508896</v>
      </c>
      <c r="BE175" s="19">
        <v>0.51800632630548804</v>
      </c>
      <c r="BF175" s="19">
        <v>0.45458646042265161</v>
      </c>
      <c r="BG175" s="19">
        <v>0.68020487569262444</v>
      </c>
      <c r="BH175" s="19">
        <v>0.44826795757345128</v>
      </c>
      <c r="BI175" s="19">
        <v>0.62353518856575352</v>
      </c>
    </row>
    <row r="176" spans="1:61" x14ac:dyDescent="0.55000000000000004">
      <c r="A176" s="19" t="s">
        <v>879</v>
      </c>
      <c r="B176" s="19" t="s">
        <v>880</v>
      </c>
      <c r="C176" s="19" t="s">
        <v>51</v>
      </c>
      <c r="D176" s="19" t="s">
        <v>9</v>
      </c>
      <c r="E176" s="19">
        <v>1687</v>
      </c>
      <c r="F176" s="19">
        <v>66.964550380502956</v>
      </c>
      <c r="G176" s="19">
        <v>39.498244994432788</v>
      </c>
      <c r="H176" s="19">
        <v>66633.539305608108</v>
      </c>
      <c r="I176" s="19">
        <v>39.040336565794043</v>
      </c>
      <c r="J176" s="19">
        <v>16.360196115711098</v>
      </c>
      <c r="K176" s="19">
        <v>29.505193657135823</v>
      </c>
      <c r="L176" s="19">
        <v>43.399945846595394</v>
      </c>
      <c r="M176" s="19">
        <v>31.83384755809519</v>
      </c>
      <c r="N176" s="19">
        <v>13.838071131180754</v>
      </c>
      <c r="O176" s="19">
        <v>9.8636928118752749</v>
      </c>
      <c r="P176" s="19">
        <v>33.551157284152602</v>
      </c>
      <c r="Q176" s="19">
        <v>259.16204559720774</v>
      </c>
      <c r="R176" s="19">
        <v>208.55609233287112</v>
      </c>
      <c r="S176" s="19">
        <v>1068.4000523235136</v>
      </c>
      <c r="T176" s="19">
        <v>1070.2369612167136</v>
      </c>
      <c r="U176" s="19">
        <v>37.624313233966852</v>
      </c>
      <c r="V176" s="19">
        <v>11.570536109537388</v>
      </c>
      <c r="W176" s="19">
        <v>45.596985760543035</v>
      </c>
      <c r="X176" s="19">
        <v>50.941917965556833</v>
      </c>
      <c r="Y176" s="19">
        <v>24.197159959934751</v>
      </c>
      <c r="Z176" s="19">
        <v>27.184058363275419</v>
      </c>
      <c r="AA176" s="19">
        <v>15.175489073073386</v>
      </c>
      <c r="AB176" s="19">
        <v>36.043624419310028</v>
      </c>
      <c r="AC176" s="19">
        <v>27.635770873286532</v>
      </c>
      <c r="AD176" s="19">
        <v>23.622511350473943</v>
      </c>
      <c r="AE176" s="19">
        <v>29.303233573487397</v>
      </c>
      <c r="AF176" s="19">
        <v>43.205011010631054</v>
      </c>
      <c r="AG176" s="19">
        <v>704.00067803766149</v>
      </c>
      <c r="AH176" s="19">
        <v>61.371770440014885</v>
      </c>
      <c r="AI176" s="19">
        <v>1655.644486114953</v>
      </c>
      <c r="AJ176" s="19">
        <v>1784.9627407452936</v>
      </c>
      <c r="AK176" s="19">
        <v>839.59160446483941</v>
      </c>
      <c r="AL176" s="19">
        <v>2655.9397112271049</v>
      </c>
      <c r="AM176" s="19">
        <v>724.65014534277805</v>
      </c>
      <c r="AN176" s="19">
        <v>2657.2606046489755</v>
      </c>
      <c r="AO176" s="19"/>
      <c r="AP176" s="19">
        <v>1.0987816256826739</v>
      </c>
      <c r="AQ176" s="19">
        <v>0.84943412774115867</v>
      </c>
      <c r="AR176" s="19">
        <v>1.2897261124573258</v>
      </c>
      <c r="AS176" s="19">
        <v>0.91253736525231222</v>
      </c>
      <c r="AT176" s="19">
        <v>1.0938463472673463</v>
      </c>
      <c r="AU176" s="19">
        <v>0.89954804791206089</v>
      </c>
      <c r="AV176" s="19">
        <v>0.37696351450619403</v>
      </c>
      <c r="AW176" s="19">
        <v>0.67984402011530221</v>
      </c>
      <c r="AX176" s="19">
        <v>0.94881518656679664</v>
      </c>
      <c r="AY176" s="19">
        <v>0.41244690947566703</v>
      </c>
      <c r="AZ176" s="19">
        <v>0.2939896447784901</v>
      </c>
      <c r="BA176" s="19">
        <v>0.73857276554458817</v>
      </c>
      <c r="BB176" s="19">
        <v>0.22713192929564471</v>
      </c>
      <c r="BC176" s="19">
        <v>0.89507791582115837</v>
      </c>
      <c r="BD176" s="19">
        <v>0.6713298218414282</v>
      </c>
      <c r="BE176" s="19">
        <v>0.75419880218016644</v>
      </c>
      <c r="BF176" s="19">
        <v>0.42103116203106539</v>
      </c>
      <c r="BG176" s="19">
        <v>0.63964272261119104</v>
      </c>
      <c r="BH176" s="19">
        <v>0.54675397130812842</v>
      </c>
      <c r="BI176" s="19">
        <v>0.67823691946929543</v>
      </c>
    </row>
    <row r="177" spans="1:61" x14ac:dyDescent="0.55000000000000004">
      <c r="A177" s="19" t="s">
        <v>881</v>
      </c>
      <c r="B177" s="19" t="s">
        <v>880</v>
      </c>
      <c r="C177" s="19" t="s">
        <v>8</v>
      </c>
      <c r="D177" s="19" t="s">
        <v>9</v>
      </c>
      <c r="E177" s="19">
        <v>1624</v>
      </c>
      <c r="F177" s="19">
        <v>65.393298308284756</v>
      </c>
      <c r="G177" s="19">
        <v>38.694587779940335</v>
      </c>
      <c r="H177" s="19">
        <v>62840.010554623106</v>
      </c>
      <c r="I177" s="19">
        <v>40.542404707804849</v>
      </c>
      <c r="J177" s="19">
        <v>19.256454249093821</v>
      </c>
      <c r="K177" s="19">
        <v>42.680545229202707</v>
      </c>
      <c r="L177" s="19">
        <v>53.216534931085832</v>
      </c>
      <c r="M177" s="19">
        <v>32.276495348139655</v>
      </c>
      <c r="N177" s="19">
        <v>16.74477456974445</v>
      </c>
      <c r="O177" s="19">
        <v>12.852062321728045</v>
      </c>
      <c r="P177" s="19">
        <v>36.604778939989977</v>
      </c>
      <c r="Q177" s="19">
        <v>381.53163905651388</v>
      </c>
      <c r="R177" s="19">
        <v>71.21449526335914</v>
      </c>
      <c r="S177" s="19">
        <v>1443.2920017306153</v>
      </c>
      <c r="T177" s="19">
        <v>1448.426841052009</v>
      </c>
      <c r="U177" s="19">
        <v>26.581146283456071</v>
      </c>
      <c r="V177" s="19">
        <v>10.508211634709809</v>
      </c>
      <c r="W177" s="19">
        <v>48.497898366369419</v>
      </c>
      <c r="X177" s="19">
        <v>53.833574969972723</v>
      </c>
      <c r="Y177" s="19">
        <v>26.2559385817232</v>
      </c>
      <c r="Z177" s="19">
        <v>25.386819969371427</v>
      </c>
      <c r="AA177" s="19">
        <v>13.299812088867444</v>
      </c>
      <c r="AB177" s="19">
        <v>34.910438498496923</v>
      </c>
      <c r="AC177" s="19">
        <v>31.434184105595939</v>
      </c>
      <c r="AD177" s="19">
        <v>22.765321911403472</v>
      </c>
      <c r="AE177" s="19">
        <v>27.614029958329326</v>
      </c>
      <c r="AF177" s="19">
        <v>46.235166077512687</v>
      </c>
      <c r="AG177" s="19">
        <v>735.57812994372262</v>
      </c>
      <c r="AH177" s="19">
        <v>258.14746204783586</v>
      </c>
      <c r="AI177" s="19">
        <v>1741.913131460195</v>
      </c>
      <c r="AJ177" s="19">
        <v>1888.2627207739488</v>
      </c>
      <c r="AK177" s="19">
        <v>966.86754563781631</v>
      </c>
      <c r="AL177" s="19">
        <v>2432.401032410381</v>
      </c>
      <c r="AM177" s="19">
        <v>1186.4467129197731</v>
      </c>
      <c r="AN177" s="19">
        <v>2472.4183889026458</v>
      </c>
      <c r="AO177" s="19"/>
      <c r="AP177" s="19">
        <v>1.3752965979049354</v>
      </c>
      <c r="AQ177" s="19">
        <v>0.94599221855430293</v>
      </c>
      <c r="AR177" s="19">
        <v>1.3912430150730433</v>
      </c>
      <c r="AS177" s="19">
        <v>0.90220468808288601</v>
      </c>
      <c r="AT177" s="19">
        <v>1.1948742377217276</v>
      </c>
      <c r="AU177" s="19">
        <v>0.76183849174521256</v>
      </c>
      <c r="AV177" s="19">
        <v>0.36185095993248112</v>
      </c>
      <c r="AW177" s="19">
        <v>0.80201661540859459</v>
      </c>
      <c r="AX177" s="19">
        <v>0.88175632479720401</v>
      </c>
      <c r="AY177" s="19">
        <v>0.45744777197523584</v>
      </c>
      <c r="AZ177" s="19">
        <v>0.35110339944403895</v>
      </c>
      <c r="BA177" s="19">
        <v>0.49376520690447356</v>
      </c>
      <c r="BB177" s="19">
        <v>0.19519810156711823</v>
      </c>
      <c r="BC177" s="19">
        <v>0.90088570921438083</v>
      </c>
      <c r="BD177" s="19">
        <v>0.75209420766380963</v>
      </c>
      <c r="BE177" s="19">
        <v>0.72719854179042931</v>
      </c>
      <c r="BF177" s="19">
        <v>0.3809694939649661</v>
      </c>
      <c r="BG177" s="19">
        <v>0.67987609372694624</v>
      </c>
      <c r="BH177" s="19">
        <v>0.49238109955607579</v>
      </c>
      <c r="BI177" s="19">
        <v>0.59725166579989664</v>
      </c>
    </row>
    <row r="178" spans="1:61" x14ac:dyDescent="0.55000000000000004">
      <c r="A178" s="19" t="s">
        <v>886</v>
      </c>
      <c r="B178" s="19" t="s">
        <v>887</v>
      </c>
      <c r="C178" s="19" t="s">
        <v>8</v>
      </c>
      <c r="D178" s="19" t="s">
        <v>9</v>
      </c>
      <c r="E178" s="19">
        <v>1505</v>
      </c>
      <c r="F178" s="19">
        <v>69.226281805677658</v>
      </c>
      <c r="G178" s="19">
        <v>38.857829509425947</v>
      </c>
      <c r="H178" s="19">
        <v>58481.033411686054</v>
      </c>
      <c r="I178" s="19">
        <v>37.746303073704453</v>
      </c>
      <c r="J178" s="19">
        <v>8.0731297002419886</v>
      </c>
      <c r="K178" s="19">
        <v>18.067077451110151</v>
      </c>
      <c r="L178" s="19">
        <v>40.496142140348439</v>
      </c>
      <c r="M178" s="19">
        <v>43.127400224338842</v>
      </c>
      <c r="N178" s="19">
        <v>14.67920482999126</v>
      </c>
      <c r="O178" s="19">
        <v>8.3528084846553607</v>
      </c>
      <c r="P178" s="19">
        <v>45.168495070204656</v>
      </c>
      <c r="Q178" s="19">
        <v>601.80701472298813</v>
      </c>
      <c r="R178" s="19">
        <v>51.010495768745002</v>
      </c>
      <c r="S178" s="19">
        <v>898.91815409243361</v>
      </c>
      <c r="T178" s="19">
        <v>936.65239712580603</v>
      </c>
      <c r="U178" s="19">
        <v>60.650119356279177</v>
      </c>
      <c r="V178" s="19">
        <v>21.13194929642302</v>
      </c>
      <c r="W178" s="19">
        <v>38.687224787497676</v>
      </c>
      <c r="X178" s="19">
        <v>63.265664286685769</v>
      </c>
      <c r="Y178" s="19">
        <v>27.232689217615192</v>
      </c>
      <c r="Z178" s="19">
        <v>30.138817212689027</v>
      </c>
      <c r="AA178" s="19">
        <v>27.304945729817305</v>
      </c>
      <c r="AB178" s="19">
        <v>40.183967189786529</v>
      </c>
      <c r="AC178" s="19">
        <v>41.167137804801435</v>
      </c>
      <c r="AD178" s="19">
        <v>23.930313393947124</v>
      </c>
      <c r="AE178" s="19">
        <v>34.9850940177014</v>
      </c>
      <c r="AF178" s="19">
        <v>46.021300901822322</v>
      </c>
      <c r="AG178" s="19">
        <v>1020.3263733211866</v>
      </c>
      <c r="AH178" s="19">
        <v>486.94458636874066</v>
      </c>
      <c r="AI178" s="19">
        <v>1650.9565172690957</v>
      </c>
      <c r="AJ178" s="19">
        <v>1827.0071350282294</v>
      </c>
      <c r="AK178" s="19">
        <v>3390.0231412657022</v>
      </c>
      <c r="AL178" s="19">
        <v>4348.5233185718844</v>
      </c>
      <c r="AM178" s="19">
        <v>1033.97257354303</v>
      </c>
      <c r="AN178" s="19">
        <v>4657.3973140513317</v>
      </c>
      <c r="AO178" s="19"/>
      <c r="AP178" s="19">
        <v>1.0421617123654598</v>
      </c>
      <c r="AQ178" s="19">
        <v>1.1624039644120601</v>
      </c>
      <c r="AR178" s="19">
        <v>1.6281317069276626</v>
      </c>
      <c r="AS178" s="19">
        <v>1.0341279401629702</v>
      </c>
      <c r="AT178" s="19">
        <v>1.1843507854873545</v>
      </c>
      <c r="AU178" s="19">
        <v>0.93209627087158564</v>
      </c>
      <c r="AV178" s="19">
        <v>0.19935552557729455</v>
      </c>
      <c r="AW178" s="19">
        <v>0.44614317552755156</v>
      </c>
      <c r="AX178" s="19">
        <v>0.95481153749547387</v>
      </c>
      <c r="AY178" s="19">
        <v>0.32498768903359765</v>
      </c>
      <c r="AZ178" s="19">
        <v>0.18492554316172646</v>
      </c>
      <c r="BA178" s="19">
        <v>0.95865774966727046</v>
      </c>
      <c r="BB178" s="19">
        <v>0.33401924305519748</v>
      </c>
      <c r="BC178" s="19">
        <v>0.61150428472841289</v>
      </c>
      <c r="BD178" s="19">
        <v>0.67770036465032912</v>
      </c>
      <c r="BE178" s="19">
        <v>0.75002094915977691</v>
      </c>
      <c r="BF178" s="19">
        <v>0.6794985074733324</v>
      </c>
      <c r="BG178" s="19">
        <v>0.89452355752879908</v>
      </c>
      <c r="BH178" s="19">
        <v>0.51998341909103984</v>
      </c>
      <c r="BI178" s="19">
        <v>0.76019350457596657</v>
      </c>
    </row>
    <row r="179" spans="1:61" x14ac:dyDescent="0.55000000000000004">
      <c r="A179" s="19" t="s">
        <v>894</v>
      </c>
      <c r="B179" s="19" t="s">
        <v>895</v>
      </c>
      <c r="C179" s="19" t="s">
        <v>8</v>
      </c>
      <c r="D179" s="19" t="s">
        <v>9</v>
      </c>
      <c r="E179" s="19">
        <v>2063</v>
      </c>
      <c r="F179" s="19">
        <v>72.957444512889865</v>
      </c>
      <c r="G179" s="19">
        <v>38.670116032222523</v>
      </c>
      <c r="H179" s="19">
        <v>79776.449374475065</v>
      </c>
      <c r="I179" s="19">
        <v>39.081635339111088</v>
      </c>
      <c r="J179" s="19">
        <v>6.051643190332495</v>
      </c>
      <c r="K179" s="19">
        <v>23.404023314323254</v>
      </c>
      <c r="L179" s="19">
        <v>43.135729091029113</v>
      </c>
      <c r="M179" s="19">
        <v>38.276264363346655</v>
      </c>
      <c r="N179" s="19">
        <v>10.04932852735949</v>
      </c>
      <c r="O179" s="19">
        <v>10.345271067325374</v>
      </c>
      <c r="P179" s="19">
        <v>39.373003902489117</v>
      </c>
      <c r="Q179" s="19">
        <v>515.90924110670767</v>
      </c>
      <c r="R179" s="19">
        <v>67.561537735751088</v>
      </c>
      <c r="S179" s="19">
        <v>1007.4919545288095</v>
      </c>
      <c r="T179" s="19">
        <v>1007.496355115089</v>
      </c>
      <c r="U179" s="19">
        <v>26.32410254064289</v>
      </c>
      <c r="V179" s="19">
        <v>12.204545585861549</v>
      </c>
      <c r="W179" s="19">
        <v>34.874530807953789</v>
      </c>
      <c r="X179" s="19">
        <v>40.404650018022863</v>
      </c>
      <c r="Y179" s="19">
        <v>26.178330315351552</v>
      </c>
      <c r="Z179" s="19">
        <v>24.219297118791605</v>
      </c>
      <c r="AA179" s="19">
        <v>22.366661646928506</v>
      </c>
      <c r="AB179" s="19">
        <v>35.629651500461179</v>
      </c>
      <c r="AC179" s="19">
        <v>41.192289270053529</v>
      </c>
      <c r="AD179" s="19">
        <v>14.703392833350604</v>
      </c>
      <c r="AE179" s="19">
        <v>29.339158511527998</v>
      </c>
      <c r="AF179" s="19">
        <v>42.930866490052935</v>
      </c>
      <c r="AG179" s="19">
        <v>836.65596123266539</v>
      </c>
      <c r="AH179" s="19">
        <v>107.19073335378613</v>
      </c>
      <c r="AI179" s="19">
        <v>1369.0543315169916</v>
      </c>
      <c r="AJ179" s="19">
        <v>1592.8522475695177</v>
      </c>
      <c r="AK179" s="19">
        <v>2822.4574526418846</v>
      </c>
      <c r="AL179" s="19">
        <v>3299.6655889664867</v>
      </c>
      <c r="AM179" s="19">
        <v>1386.7002718046106</v>
      </c>
      <c r="AN179" s="19">
        <v>3549.7136820669507</v>
      </c>
      <c r="AO179" s="19"/>
      <c r="AP179" s="19">
        <v>1.1154796912190681</v>
      </c>
      <c r="AQ179" s="19">
        <v>1.0181765130903899</v>
      </c>
      <c r="AR179" s="19">
        <v>1.0448546361835327</v>
      </c>
      <c r="AS179" s="19">
        <v>0.92137431061164066</v>
      </c>
      <c r="AT179" s="19">
        <v>1.1101819930997898</v>
      </c>
      <c r="AU179" s="19">
        <v>0.90601541141537933</v>
      </c>
      <c r="AV179" s="19">
        <v>0.14029305445519982</v>
      </c>
      <c r="AW179" s="19">
        <v>0.54256700437203376</v>
      </c>
      <c r="AX179" s="19">
        <v>0.97214488531637977</v>
      </c>
      <c r="AY179" s="19">
        <v>0.25523398093393079</v>
      </c>
      <c r="AZ179" s="19">
        <v>0.26275036298846777</v>
      </c>
      <c r="BA179" s="19">
        <v>0.65151170790740132</v>
      </c>
      <c r="BB179" s="19">
        <v>0.30205794581607809</v>
      </c>
      <c r="BC179" s="19">
        <v>0.86313161461360721</v>
      </c>
      <c r="BD179" s="19">
        <v>0.7347343915225415</v>
      </c>
      <c r="BE179" s="19">
        <v>0.67975116507884226</v>
      </c>
      <c r="BF179" s="19">
        <v>0.62775415152850988</v>
      </c>
      <c r="BG179" s="19">
        <v>0.95950286210966107</v>
      </c>
      <c r="BH179" s="19">
        <v>0.34249000859922951</v>
      </c>
      <c r="BI179" s="19">
        <v>0.68340476003031225</v>
      </c>
    </row>
    <row r="180" spans="1:61" x14ac:dyDescent="0.55000000000000004">
      <c r="A180" s="19" t="s">
        <v>896</v>
      </c>
      <c r="B180" s="19" t="s">
        <v>897</v>
      </c>
      <c r="C180" s="19" t="s">
        <v>8</v>
      </c>
      <c r="D180" s="19" t="s">
        <v>9</v>
      </c>
      <c r="E180" s="19">
        <v>2510</v>
      </c>
      <c r="F180" s="19">
        <v>68.445549392451355</v>
      </c>
      <c r="G180" s="19">
        <v>24.27665254098315</v>
      </c>
      <c r="H180" s="19">
        <v>60934.397877867705</v>
      </c>
      <c r="I180" s="19">
        <v>29.01535436097193</v>
      </c>
      <c r="J180" s="19">
        <v>7.3528238646350195</v>
      </c>
      <c r="K180" s="19">
        <v>22.205146173133006</v>
      </c>
      <c r="L180" s="19">
        <v>35.507461848514289</v>
      </c>
      <c r="M180" s="19">
        <v>28.840140963780634</v>
      </c>
      <c r="N180" s="19">
        <v>8.4747036693833628</v>
      </c>
      <c r="O180" s="19">
        <v>8.5953846464759369</v>
      </c>
      <c r="P180" s="19">
        <v>30.095738913985265</v>
      </c>
      <c r="Q180" s="19">
        <v>617.3893763008798</v>
      </c>
      <c r="R180" s="19">
        <v>42.79728788552795</v>
      </c>
      <c r="S180" s="19">
        <v>881.02916233622238</v>
      </c>
      <c r="T180" s="19">
        <v>883.08597332365071</v>
      </c>
      <c r="U180" s="19">
        <v>17.543912095831622</v>
      </c>
      <c r="V180" s="19">
        <v>19.74008739480362</v>
      </c>
      <c r="W180" s="19">
        <v>29.451785350649686</v>
      </c>
      <c r="X180" s="19">
        <v>33.333869346858812</v>
      </c>
      <c r="Y180" s="19">
        <v>20.417714466786382</v>
      </c>
      <c r="Z180" s="19">
        <v>12.92060827079532</v>
      </c>
      <c r="AA180" s="19">
        <v>17.28012289748191</v>
      </c>
      <c r="AB180" s="19">
        <v>27.542885690680247</v>
      </c>
      <c r="AC180" s="19">
        <v>29.682542636432455</v>
      </c>
      <c r="AD180" s="19">
        <v>13.502913718347882</v>
      </c>
      <c r="AE180" s="19">
        <v>22.489410570389062</v>
      </c>
      <c r="AF180" s="19">
        <v>38.379248828058302</v>
      </c>
      <c r="AG180" s="19">
        <v>570.08448414545614</v>
      </c>
      <c r="AH180" s="19">
        <v>67.531329879174763</v>
      </c>
      <c r="AI180" s="19">
        <v>1040.8946301153735</v>
      </c>
      <c r="AJ180" s="19">
        <v>1153.4650665233587</v>
      </c>
      <c r="AK180" s="19">
        <v>1159.0327500885369</v>
      </c>
      <c r="AL180" s="19">
        <v>3017.9989489472882</v>
      </c>
      <c r="AM180" s="19">
        <v>807.00252520848926</v>
      </c>
      <c r="AN180" s="19">
        <v>3033.2329563072535</v>
      </c>
      <c r="AO180" s="19"/>
      <c r="AP180" s="19">
        <v>1.4626177059860954</v>
      </c>
      <c r="AQ180" s="19">
        <v>1.239698877890125</v>
      </c>
      <c r="AR180" s="19">
        <v>1.3730834302870021</v>
      </c>
      <c r="AS180" s="19">
        <v>1.134542155026651</v>
      </c>
      <c r="AT180" s="19">
        <v>1.5809118972752751</v>
      </c>
      <c r="AU180" s="19">
        <v>0.8171621639631782</v>
      </c>
      <c r="AV180" s="19">
        <v>0.20707827261786321</v>
      </c>
      <c r="AW180" s="19">
        <v>0.62536562787469752</v>
      </c>
      <c r="AX180" s="19">
        <v>0.95827987630431088</v>
      </c>
      <c r="AY180" s="19">
        <v>0.28159148022929026</v>
      </c>
      <c r="AZ180" s="19">
        <v>0.2856013826755297</v>
      </c>
      <c r="BA180" s="19">
        <v>0.52630889961428551</v>
      </c>
      <c r="BB180" s="19">
        <v>0.5921930991387836</v>
      </c>
      <c r="BC180" s="19">
        <v>0.88353935284818796</v>
      </c>
      <c r="BD180" s="19">
        <v>0.74130629216150623</v>
      </c>
      <c r="BE180" s="19">
        <v>0.46910873522476615</v>
      </c>
      <c r="BF180" s="19">
        <v>0.62738970388019388</v>
      </c>
      <c r="BG180" s="19">
        <v>0.77340082317432279</v>
      </c>
      <c r="BH180" s="19">
        <v>0.3518285044827707</v>
      </c>
      <c r="BI180" s="19">
        <v>0.58597839345796432</v>
      </c>
    </row>
    <row r="181" spans="1:61" x14ac:dyDescent="0.55000000000000004">
      <c r="A181" s="19" t="s">
        <v>898</v>
      </c>
      <c r="B181" s="19" t="s">
        <v>899</v>
      </c>
      <c r="C181" s="19" t="s">
        <v>8</v>
      </c>
      <c r="D181" s="19" t="s">
        <v>9</v>
      </c>
      <c r="E181" s="19">
        <v>2519</v>
      </c>
      <c r="F181" s="19">
        <v>71.55629823453468</v>
      </c>
      <c r="G181" s="19">
        <v>47.772279888160064</v>
      </c>
      <c r="H181" s="19">
        <v>120338.3730382752</v>
      </c>
      <c r="I181" s="19">
        <v>49.528672781487252</v>
      </c>
      <c r="J181" s="19">
        <v>5.6780717133950684</v>
      </c>
      <c r="K181" s="19">
        <v>39.464722661751487</v>
      </c>
      <c r="L181" s="19">
        <v>56.645535849227493</v>
      </c>
      <c r="M181" s="19">
        <v>39.731191628360421</v>
      </c>
      <c r="N181" s="19">
        <v>16.844929536220572</v>
      </c>
      <c r="O181" s="19">
        <v>25.87387018220403</v>
      </c>
      <c r="P181" s="19">
        <v>47.101036987515542</v>
      </c>
      <c r="Q181" s="19">
        <v>783.37103737979214</v>
      </c>
      <c r="R181" s="19">
        <v>423.66906967247502</v>
      </c>
      <c r="S181" s="19">
        <v>1297.9891668060905</v>
      </c>
      <c r="T181" s="19">
        <v>1491.4177128179854</v>
      </c>
      <c r="U181" s="19">
        <v>38.973510936372136</v>
      </c>
      <c r="V181" s="19">
        <v>11.960769086780594</v>
      </c>
      <c r="W181" s="19">
        <v>36.305584838492415</v>
      </c>
      <c r="X181" s="19">
        <v>42.595899188458709</v>
      </c>
      <c r="Y181" s="19">
        <v>24.191892401059377</v>
      </c>
      <c r="Z181" s="19">
        <v>23.272809841782806</v>
      </c>
      <c r="AA181" s="19">
        <v>25.739128138724805</v>
      </c>
      <c r="AB181" s="19">
        <v>35.780064690519367</v>
      </c>
      <c r="AC181" s="19">
        <v>32.188775677748829</v>
      </c>
      <c r="AD181" s="19">
        <v>9.3779314065225385</v>
      </c>
      <c r="AE181" s="19">
        <v>35.229816794758072</v>
      </c>
      <c r="AF181" s="19">
        <v>41.141600682716856</v>
      </c>
      <c r="AG181" s="19">
        <v>806.87955004855303</v>
      </c>
      <c r="AH181" s="19">
        <v>378.41263151662838</v>
      </c>
      <c r="AI181" s="19">
        <v>1291.219566885452</v>
      </c>
      <c r="AJ181" s="19">
        <v>1401.2017105793054</v>
      </c>
      <c r="AK181" s="19">
        <v>3538.8198864390342</v>
      </c>
      <c r="AL181" s="19">
        <v>4224.0642225068932</v>
      </c>
      <c r="AM181" s="19">
        <v>1394.5200113576871</v>
      </c>
      <c r="AN181" s="19">
        <v>5064.114407197646</v>
      </c>
      <c r="AO181" s="19"/>
      <c r="AP181" s="19">
        <v>1.1857406843851843</v>
      </c>
      <c r="AQ181" s="19">
        <v>0.98594911312133371</v>
      </c>
      <c r="AR181" s="19">
        <v>0.89164467947060921</v>
      </c>
      <c r="AS181" s="19">
        <v>0.7489712606198462</v>
      </c>
      <c r="AT181" s="19">
        <v>0.8612023704758005</v>
      </c>
      <c r="AU181" s="19">
        <v>0.87436144859352938</v>
      </c>
      <c r="AV181" s="19">
        <v>0.10023864419798764</v>
      </c>
      <c r="AW181" s="19">
        <v>0.69669607798916589</v>
      </c>
      <c r="AX181" s="19">
        <v>0.8435311443119915</v>
      </c>
      <c r="AY181" s="19">
        <v>0.35763394212924521</v>
      </c>
      <c r="AZ181" s="19">
        <v>0.54932697530761543</v>
      </c>
      <c r="BA181" s="19">
        <v>0.91495922562733334</v>
      </c>
      <c r="BB181" s="19">
        <v>0.28079625773040012</v>
      </c>
      <c r="BC181" s="19">
        <v>0.85232582314706373</v>
      </c>
      <c r="BD181" s="19">
        <v>0.67612768759105946</v>
      </c>
      <c r="BE181" s="19">
        <v>0.65044068654099985</v>
      </c>
      <c r="BF181" s="19">
        <v>0.71937064288050023</v>
      </c>
      <c r="BG181" s="19">
        <v>0.78238996887816736</v>
      </c>
      <c r="BH181" s="19">
        <v>0.22794279393368636</v>
      </c>
      <c r="BI181" s="19">
        <v>0.85630642002603796</v>
      </c>
    </row>
    <row r="182" spans="1:61" x14ac:dyDescent="0.55000000000000004">
      <c r="A182" s="19" t="s">
        <v>908</v>
      </c>
      <c r="B182" s="19" t="s">
        <v>909</v>
      </c>
      <c r="C182" s="19" t="s">
        <v>134</v>
      </c>
      <c r="D182" s="19" t="s">
        <v>9</v>
      </c>
      <c r="E182" s="19">
        <v>1705</v>
      </c>
      <c r="F182" s="19">
        <v>70.161189612007362</v>
      </c>
      <c r="G182" s="19">
        <v>50.955420518900475</v>
      </c>
      <c r="H182" s="19">
        <v>86878.991984725304</v>
      </c>
      <c r="I182" s="19">
        <v>41.736259265607032</v>
      </c>
      <c r="J182" s="19">
        <v>15.952726893450423</v>
      </c>
      <c r="K182" s="19">
        <v>27.413230152025811</v>
      </c>
      <c r="L182" s="19">
        <v>44.690870283809886</v>
      </c>
      <c r="M182" s="19">
        <v>33.845669466209934</v>
      </c>
      <c r="N182" s="19">
        <v>12.938958939513313</v>
      </c>
      <c r="O182" s="19">
        <v>14.841334665707995</v>
      </c>
      <c r="P182" s="19">
        <v>37.702127723550241</v>
      </c>
      <c r="Q182" s="19">
        <v>417.64756550402672</v>
      </c>
      <c r="R182" s="19">
        <v>51.360193352357989</v>
      </c>
      <c r="S182" s="19">
        <v>1343.7459453656654</v>
      </c>
      <c r="T182" s="19">
        <v>1349.5595183109428</v>
      </c>
      <c r="U182" s="19">
        <v>24.486146697878876</v>
      </c>
      <c r="V182" s="19">
        <v>13.36631551613247</v>
      </c>
      <c r="W182" s="19">
        <v>35.192098250109709</v>
      </c>
      <c r="X182" s="19">
        <v>40.781700411609613</v>
      </c>
      <c r="Y182" s="19">
        <v>31.585219225108325</v>
      </c>
      <c r="Z182" s="19">
        <v>24.49420350406227</v>
      </c>
      <c r="AA182" s="19">
        <v>28.26547161210236</v>
      </c>
      <c r="AB182" s="19">
        <v>47.692096242300615</v>
      </c>
      <c r="AC182" s="19">
        <v>38.619635012764832</v>
      </c>
      <c r="AD182" s="19">
        <v>20.458274648531507</v>
      </c>
      <c r="AE182" s="19">
        <v>34.438276013866563</v>
      </c>
      <c r="AF182" s="19">
        <v>45.996074806985938</v>
      </c>
      <c r="AG182" s="19">
        <v>800.39183550559665</v>
      </c>
      <c r="AH182" s="19">
        <v>320.79723415502224</v>
      </c>
      <c r="AI182" s="19">
        <v>1232.5447827456737</v>
      </c>
      <c r="AJ182" s="19">
        <v>1376.1689533399638</v>
      </c>
      <c r="AK182" s="19">
        <v>3252.6108749020764</v>
      </c>
      <c r="AL182" s="19">
        <v>2647.6462012239822</v>
      </c>
      <c r="AM182" s="19">
        <v>1018.9788876825355</v>
      </c>
      <c r="AN182" s="19">
        <v>3711.2304499423744</v>
      </c>
      <c r="AO182" s="19"/>
      <c r="AP182" s="19">
        <v>0.87705821733397471</v>
      </c>
      <c r="AQ182" s="19">
        <v>0.73990416210117826</v>
      </c>
      <c r="AR182" s="19">
        <v>0.80034076838759072</v>
      </c>
      <c r="AS182" s="19">
        <v>0.93595726924892275</v>
      </c>
      <c r="AT182" s="19">
        <v>0.90267285283074039</v>
      </c>
      <c r="AU182" s="19">
        <v>0.93388781647259134</v>
      </c>
      <c r="AV182" s="19">
        <v>0.35695717698363105</v>
      </c>
      <c r="AW182" s="19">
        <v>0.61339665076866434</v>
      </c>
      <c r="AX182" s="19">
        <v>0.89771245045856096</v>
      </c>
      <c r="AY182" s="19">
        <v>0.34318909092844452</v>
      </c>
      <c r="AZ182" s="19">
        <v>0.39364713775656512</v>
      </c>
      <c r="BA182" s="19">
        <v>0.60041995431137618</v>
      </c>
      <c r="BB182" s="19">
        <v>0.32775277590748492</v>
      </c>
      <c r="BC182" s="19">
        <v>0.86293847227839782</v>
      </c>
      <c r="BD182" s="19">
        <v>0.6622736619635885</v>
      </c>
      <c r="BE182" s="19">
        <v>0.51359041505785352</v>
      </c>
      <c r="BF182" s="19">
        <v>0.59266574210743617</v>
      </c>
      <c r="BG182" s="19">
        <v>0.83962892866021765</v>
      </c>
      <c r="BH182" s="19">
        <v>0.44478305451891037</v>
      </c>
      <c r="BI182" s="19">
        <v>0.74872206287994025</v>
      </c>
    </row>
    <row r="183" spans="1:61" x14ac:dyDescent="0.55000000000000004">
      <c r="A183" s="19" t="s">
        <v>910</v>
      </c>
      <c r="B183" s="19" t="s">
        <v>911</v>
      </c>
      <c r="C183" s="19" t="s">
        <v>134</v>
      </c>
      <c r="D183" s="19" t="s">
        <v>9</v>
      </c>
      <c r="E183" s="19">
        <v>1700</v>
      </c>
      <c r="F183" s="19">
        <v>69.023756286136489</v>
      </c>
      <c r="G183" s="19">
        <v>46.449851612461273</v>
      </c>
      <c r="H183" s="19">
        <v>78964.747741184168</v>
      </c>
      <c r="I183" s="19">
        <v>47.193808848416559</v>
      </c>
      <c r="J183" s="19">
        <v>40.858884479301047</v>
      </c>
      <c r="K183" s="19">
        <v>26.410217309724697</v>
      </c>
      <c r="L183" s="19">
        <v>62.519052607645925</v>
      </c>
      <c r="M183" s="19">
        <v>39.946900888601817</v>
      </c>
      <c r="N183" s="19">
        <v>14.3489825410687</v>
      </c>
      <c r="O183" s="19">
        <v>12.881188015068785</v>
      </c>
      <c r="P183" s="19">
        <v>42.287254564002176</v>
      </c>
      <c r="Q183" s="19">
        <v>648.02274176774858</v>
      </c>
      <c r="R183" s="19">
        <v>294.07723711515348</v>
      </c>
      <c r="S183" s="19">
        <v>1198.1919673790344</v>
      </c>
      <c r="T183" s="19">
        <v>1200.0624943536588</v>
      </c>
      <c r="U183" s="19">
        <v>29.920176258068704</v>
      </c>
      <c r="V183" s="19">
        <v>14.50135382741332</v>
      </c>
      <c r="W183" s="19">
        <v>40.090968399722371</v>
      </c>
      <c r="X183" s="19">
        <v>45.098062069854244</v>
      </c>
      <c r="Y183" s="19">
        <v>34.65210876773434</v>
      </c>
      <c r="Z183" s="19">
        <v>28.421214041756162</v>
      </c>
      <c r="AA183" s="19">
        <v>30.606628235122393</v>
      </c>
      <c r="AB183" s="19">
        <v>42.34224280808774</v>
      </c>
      <c r="AC183" s="19">
        <v>40.700043865532919</v>
      </c>
      <c r="AD183" s="19">
        <v>23.672276152981105</v>
      </c>
      <c r="AE183" s="19">
        <v>34.27601682471176</v>
      </c>
      <c r="AF183" s="19">
        <v>53.056670237313284</v>
      </c>
      <c r="AG183" s="19">
        <v>943.17257560017583</v>
      </c>
      <c r="AH183" s="19">
        <v>198.60806269107326</v>
      </c>
      <c r="AI183" s="19">
        <v>1458.4949903270667</v>
      </c>
      <c r="AJ183" s="19">
        <v>1580.8189429883757</v>
      </c>
      <c r="AK183" s="19">
        <v>3116.7538431453377</v>
      </c>
      <c r="AL183" s="19">
        <v>2766.7636067294748</v>
      </c>
      <c r="AM183" s="19">
        <v>1295.8325555334395</v>
      </c>
      <c r="AN183" s="19">
        <v>3742.0277807456855</v>
      </c>
      <c r="AO183" s="19"/>
      <c r="AP183" s="19">
        <v>1.34594730526273</v>
      </c>
      <c r="AQ183" s="19">
        <v>0.91038513786463027</v>
      </c>
      <c r="AR183" s="19">
        <v>0.97089787166845587</v>
      </c>
      <c r="AS183" s="19">
        <v>0.91156895745019839</v>
      </c>
      <c r="AT183" s="19">
        <v>1.1422355162719093</v>
      </c>
      <c r="AU183" s="19">
        <v>0.75487082545209383</v>
      </c>
      <c r="AV183" s="19">
        <v>0.65354292451808693</v>
      </c>
      <c r="AW183" s="19">
        <v>0.42243470123369709</v>
      </c>
      <c r="AX183" s="19">
        <v>0.94465581415652766</v>
      </c>
      <c r="AY183" s="19">
        <v>0.33932168661721407</v>
      </c>
      <c r="AZ183" s="19">
        <v>0.30461159391591575</v>
      </c>
      <c r="BA183" s="19">
        <v>0.66344705037932916</v>
      </c>
      <c r="BB183" s="19">
        <v>0.32155159583025045</v>
      </c>
      <c r="BC183" s="19">
        <v>0.88897319662259144</v>
      </c>
      <c r="BD183" s="19">
        <v>0.81838151381805135</v>
      </c>
      <c r="BE183" s="19">
        <v>0.67122599458353349</v>
      </c>
      <c r="BF183" s="19">
        <v>0.72283908941347474</v>
      </c>
      <c r="BG183" s="19">
        <v>0.76710512897791516</v>
      </c>
      <c r="BH183" s="19">
        <v>0.44616965307282042</v>
      </c>
      <c r="BI183" s="19">
        <v>0.64602653486170691</v>
      </c>
    </row>
    <row r="184" spans="1:61" x14ac:dyDescent="0.55000000000000004">
      <c r="A184" s="19" t="s">
        <v>936</v>
      </c>
      <c r="B184" s="19" t="s">
        <v>937</v>
      </c>
      <c r="C184" s="19" t="s">
        <v>8</v>
      </c>
      <c r="D184" s="19" t="s">
        <v>9</v>
      </c>
      <c r="E184" s="19">
        <v>1805</v>
      </c>
      <c r="F184" s="19">
        <v>67.763189279571165</v>
      </c>
      <c r="G184" s="19">
        <v>52.51098695740594</v>
      </c>
      <c r="H184" s="19">
        <v>94782.331458117726</v>
      </c>
      <c r="I184" s="19">
        <v>25.406651769675587</v>
      </c>
      <c r="J184" s="19">
        <v>45.402525811303441</v>
      </c>
      <c r="K184" s="19">
        <v>30.317892468499103</v>
      </c>
      <c r="L184" s="19">
        <v>59.32566343392601</v>
      </c>
      <c r="M184" s="19">
        <v>34.590262807520695</v>
      </c>
      <c r="N184" s="19">
        <v>16.404942217944186</v>
      </c>
      <c r="O184" s="19">
        <v>15.379167170566495</v>
      </c>
      <c r="P184" s="19">
        <v>38.186350766147115</v>
      </c>
      <c r="Q184" s="19">
        <v>328.65901705139339</v>
      </c>
      <c r="R184" s="19">
        <v>140.81379139819316</v>
      </c>
      <c r="S184" s="19">
        <v>933.12151649600173</v>
      </c>
      <c r="T184" s="19">
        <v>953.38444344379798</v>
      </c>
      <c r="U184" s="19">
        <v>20.87664423974811</v>
      </c>
      <c r="V184" s="19">
        <v>10.794764549385437</v>
      </c>
      <c r="W184" s="19">
        <v>50.45085217454438</v>
      </c>
      <c r="X184" s="19">
        <v>54.783433802536813</v>
      </c>
      <c r="Y184" s="19">
        <v>30.909021640668833</v>
      </c>
      <c r="Z184" s="19">
        <v>18.514186937400741</v>
      </c>
      <c r="AA184" s="19">
        <v>13.915342788595542</v>
      </c>
      <c r="AB184" s="19">
        <v>35.742844624283592</v>
      </c>
      <c r="AC184" s="19">
        <v>43.833841590796773</v>
      </c>
      <c r="AD184" s="19">
        <v>15.904218866064957</v>
      </c>
      <c r="AE184" s="19">
        <v>31.064419904776791</v>
      </c>
      <c r="AF184" s="19">
        <v>53.790612692820034</v>
      </c>
      <c r="AG184" s="19">
        <v>702.86378609227427</v>
      </c>
      <c r="AH184" s="19">
        <v>246.61814586097216</v>
      </c>
      <c r="AI184" s="19">
        <v>1810.7532132098104</v>
      </c>
      <c r="AJ184" s="19">
        <v>1939.5971625423483</v>
      </c>
      <c r="AK184" s="19">
        <v>1613.390855125225</v>
      </c>
      <c r="AL184" s="19">
        <v>1557.8209604417725</v>
      </c>
      <c r="AM184" s="19">
        <v>1931.4223496678255</v>
      </c>
      <c r="AN184" s="19">
        <v>2478.2127710421205</v>
      </c>
      <c r="AO184" s="19"/>
      <c r="AP184" s="19">
        <v>1.1297762024935423</v>
      </c>
      <c r="AQ184" s="19">
        <v>0.72720687571768183</v>
      </c>
      <c r="AR184" s="19">
        <v>1.0432756452849412</v>
      </c>
      <c r="AS184" s="19">
        <v>0.68067363984752838</v>
      </c>
      <c r="AT184" s="19">
        <v>1.024368723757793</v>
      </c>
      <c r="AU184" s="19">
        <v>0.42825735607613152</v>
      </c>
      <c r="AV184" s="19">
        <v>0.76531003925258301</v>
      </c>
      <c r="AW184" s="19">
        <v>0.5110417770930733</v>
      </c>
      <c r="AX184" s="19">
        <v>0.90582792315901484</v>
      </c>
      <c r="AY184" s="19">
        <v>0.42960225024925558</v>
      </c>
      <c r="AZ184" s="19">
        <v>0.40273990213802791</v>
      </c>
      <c r="BA184" s="19">
        <v>0.38107586163723445</v>
      </c>
      <c r="BB184" s="19">
        <v>0.19704432161544377</v>
      </c>
      <c r="BC184" s="19">
        <v>0.92091438365092393</v>
      </c>
      <c r="BD184" s="19">
        <v>0.86476110017469976</v>
      </c>
      <c r="BE184" s="19">
        <v>0.51798302938715324</v>
      </c>
      <c r="BF184" s="19">
        <v>0.3893182799206053</v>
      </c>
      <c r="BG184" s="19">
        <v>0.81489760752711615</v>
      </c>
      <c r="BH184" s="19">
        <v>0.29566904093263563</v>
      </c>
      <c r="BI184" s="19">
        <v>0.5775063407843144</v>
      </c>
    </row>
    <row r="185" spans="1:61" x14ac:dyDescent="0.55000000000000004">
      <c r="A185" s="19" t="s">
        <v>940</v>
      </c>
      <c r="B185" s="19" t="s">
        <v>941</v>
      </c>
      <c r="C185" s="19" t="s">
        <v>8</v>
      </c>
      <c r="D185" s="19" t="s">
        <v>9</v>
      </c>
      <c r="E185" s="19">
        <v>1808</v>
      </c>
      <c r="F185" s="19">
        <v>70.200391078896516</v>
      </c>
      <c r="G185" s="19">
        <v>66.573415895968779</v>
      </c>
      <c r="H185" s="19">
        <v>120364.73593991155</v>
      </c>
      <c r="I185" s="19">
        <v>43.273338822095937</v>
      </c>
      <c r="J185" s="19">
        <v>14.533816975304688</v>
      </c>
      <c r="K185" s="19">
        <v>26.724479491806434</v>
      </c>
      <c r="L185" s="19">
        <v>47.961269556341804</v>
      </c>
      <c r="M185" s="19">
        <v>38.553634975520509</v>
      </c>
      <c r="N185" s="19">
        <v>17.703711809868572</v>
      </c>
      <c r="O185" s="19">
        <v>13.712041579628076</v>
      </c>
      <c r="P185" s="19">
        <v>40.72848443113962</v>
      </c>
      <c r="Q185" s="19">
        <v>643.33484559336932</v>
      </c>
      <c r="R185" s="19">
        <v>101.00899108763485</v>
      </c>
      <c r="S185" s="19">
        <v>1467.454534792721</v>
      </c>
      <c r="T185" s="19">
        <v>1468.3216233246826</v>
      </c>
      <c r="U185" s="19">
        <v>29.076383016857029</v>
      </c>
      <c r="V185" s="19">
        <v>21.523505677668133</v>
      </c>
      <c r="W185" s="19">
        <v>62.168724336886768</v>
      </c>
      <c r="X185" s="19">
        <v>67.806224058806066</v>
      </c>
      <c r="Y185" s="19">
        <v>37.780885329956931</v>
      </c>
      <c r="Z185" s="19">
        <v>28.590963186613198</v>
      </c>
      <c r="AA185" s="19">
        <v>21.78378979436668</v>
      </c>
      <c r="AB185" s="19">
        <v>44.079957549815376</v>
      </c>
      <c r="AC185" s="19">
        <v>48.675142088875504</v>
      </c>
      <c r="AD185" s="19">
        <v>30.458375723363314</v>
      </c>
      <c r="AE185" s="19">
        <v>41.678591539487343</v>
      </c>
      <c r="AF185" s="19">
        <v>54.158323866429228</v>
      </c>
      <c r="AG185" s="19">
        <v>968.05130312752271</v>
      </c>
      <c r="AH185" s="19">
        <v>845.65961905241375</v>
      </c>
      <c r="AI185" s="19">
        <v>2210.869602740001</v>
      </c>
      <c r="AJ185" s="19">
        <v>2369.6485259801157</v>
      </c>
      <c r="AK185" s="19">
        <v>2424.4135463328785</v>
      </c>
      <c r="AL185" s="19">
        <v>3018.8116951014936</v>
      </c>
      <c r="AM185" s="19">
        <v>2492.1201044621662</v>
      </c>
      <c r="AN185" s="19">
        <v>3351.7443640087977</v>
      </c>
      <c r="AO185" s="19"/>
      <c r="AP185" s="19">
        <v>0.72042674858818534</v>
      </c>
      <c r="AQ185" s="19">
        <v>0.61178300501786109</v>
      </c>
      <c r="AR185" s="19">
        <v>1.0185180247437466</v>
      </c>
      <c r="AS185" s="19">
        <v>0.66212551897137295</v>
      </c>
      <c r="AT185" s="19">
        <v>0.81351276838580666</v>
      </c>
      <c r="AU185" s="19">
        <v>0.90225590820237178</v>
      </c>
      <c r="AV185" s="19">
        <v>0.30303236569314118</v>
      </c>
      <c r="AW185" s="19">
        <v>0.5572095930532498</v>
      </c>
      <c r="AX185" s="19">
        <v>0.94660126724587146</v>
      </c>
      <c r="AY185" s="19">
        <v>0.43467642013049995</v>
      </c>
      <c r="AZ185" s="19">
        <v>0.33666957587904534</v>
      </c>
      <c r="BA185" s="19">
        <v>0.42881584132512757</v>
      </c>
      <c r="BB185" s="19">
        <v>0.3174266960950593</v>
      </c>
      <c r="BC185" s="19">
        <v>0.91685866894711487</v>
      </c>
      <c r="BD185" s="19">
        <v>0.8570989499538475</v>
      </c>
      <c r="BE185" s="19">
        <v>0.6486159419346571</v>
      </c>
      <c r="BF185" s="19">
        <v>0.49418808468108244</v>
      </c>
      <c r="BG185" s="19">
        <v>0.89875643509431891</v>
      </c>
      <c r="BH185" s="19">
        <v>0.56239509550707034</v>
      </c>
      <c r="BI185" s="19">
        <v>0.76956945052951287</v>
      </c>
    </row>
    <row r="186" spans="1:61" x14ac:dyDescent="0.55000000000000004">
      <c r="A186" s="19" t="s">
        <v>942</v>
      </c>
      <c r="B186" s="19" t="s">
        <v>943</v>
      </c>
      <c r="C186" s="19" t="s">
        <v>8</v>
      </c>
      <c r="D186" s="19" t="s">
        <v>9</v>
      </c>
      <c r="E186" s="19">
        <v>2120</v>
      </c>
      <c r="F186" s="19">
        <v>70.329474406928796</v>
      </c>
      <c r="G186" s="19">
        <v>45.46075747283416</v>
      </c>
      <c r="H186" s="19">
        <v>96376.805842408416</v>
      </c>
      <c r="I186" s="19">
        <v>32.219444956430692</v>
      </c>
      <c r="J186" s="19">
        <v>38.15477932987811</v>
      </c>
      <c r="K186" s="19">
        <v>23.012987492618688</v>
      </c>
      <c r="L186" s="19">
        <v>41.016772083257877</v>
      </c>
      <c r="M186" s="19">
        <v>34.578352683588299</v>
      </c>
      <c r="N186" s="19">
        <v>16.645160422790138</v>
      </c>
      <c r="O186" s="19">
        <v>17.022942803284252</v>
      </c>
      <c r="P186" s="19">
        <v>39.066445800456393</v>
      </c>
      <c r="Q186" s="19">
        <v>627.32945297099445</v>
      </c>
      <c r="R186" s="19">
        <v>81.704542371545926</v>
      </c>
      <c r="S186" s="19">
        <v>894.6765599676653</v>
      </c>
      <c r="T186" s="19">
        <v>1087.4752172191327</v>
      </c>
      <c r="U186" s="19">
        <v>57.050281602458384</v>
      </c>
      <c r="V186" s="19">
        <v>14.892236416058539</v>
      </c>
      <c r="W186" s="19">
        <v>61.235617489911149</v>
      </c>
      <c r="X186" s="19">
        <v>65.365157763822097</v>
      </c>
      <c r="Y186" s="19">
        <v>28.976645110543828</v>
      </c>
      <c r="Z186" s="19">
        <v>29.059839876660298</v>
      </c>
      <c r="AA186" s="19">
        <v>21.208992233846349</v>
      </c>
      <c r="AB186" s="19">
        <v>40.616187805808586</v>
      </c>
      <c r="AC186" s="19">
        <v>33.845765915647128</v>
      </c>
      <c r="AD186" s="19">
        <v>25.757925115936651</v>
      </c>
      <c r="AE186" s="19">
        <v>38.898072793379221</v>
      </c>
      <c r="AF186" s="19">
        <v>49.617202219826574</v>
      </c>
      <c r="AG186" s="19">
        <v>738.58010868777092</v>
      </c>
      <c r="AH186" s="19">
        <v>821.95892177977009</v>
      </c>
      <c r="AI186" s="19">
        <v>2167.1275917045259</v>
      </c>
      <c r="AJ186" s="19">
        <v>2254.5662656584536</v>
      </c>
      <c r="AK186" s="19">
        <v>1422.8349579393798</v>
      </c>
      <c r="AL186" s="19">
        <v>2847.7687555749521</v>
      </c>
      <c r="AM186" s="19">
        <v>1577.1678605244372</v>
      </c>
      <c r="AN186" s="19">
        <v>3067.2405329898374</v>
      </c>
      <c r="AO186" s="19"/>
      <c r="AP186" s="19">
        <v>0.90224568096490998</v>
      </c>
      <c r="AQ186" s="19">
        <v>0.85934436582587093</v>
      </c>
      <c r="AR186" s="19">
        <v>1.4378369696739468</v>
      </c>
      <c r="AS186" s="19">
        <v>0.89343403109988806</v>
      </c>
      <c r="AT186" s="19">
        <v>1.0914292893046529</v>
      </c>
      <c r="AU186" s="19">
        <v>0.78551878463351688</v>
      </c>
      <c r="AV186" s="19">
        <v>0.93022384239378098</v>
      </c>
      <c r="AW186" s="19">
        <v>0.56106286096589431</v>
      </c>
      <c r="AX186" s="19">
        <v>0.88511642088475684</v>
      </c>
      <c r="AY186" s="19">
        <v>0.42607306812117729</v>
      </c>
      <c r="AZ186" s="19">
        <v>0.43574332024556434</v>
      </c>
      <c r="BA186" s="19">
        <v>0.87279345073399672</v>
      </c>
      <c r="BB186" s="19">
        <v>0.2278314154746981</v>
      </c>
      <c r="BC186" s="19">
        <v>0.93682352471584573</v>
      </c>
      <c r="BD186" s="19">
        <v>0.71342601745602108</v>
      </c>
      <c r="BE186" s="19">
        <v>0.71547433293344198</v>
      </c>
      <c r="BF186" s="19">
        <v>0.5221807702694643</v>
      </c>
      <c r="BG186" s="19">
        <v>0.68213773452390825</v>
      </c>
      <c r="BH186" s="19">
        <v>0.51913296122214692</v>
      </c>
      <c r="BI186" s="19">
        <v>0.78396344519876837</v>
      </c>
    </row>
    <row r="187" spans="1:61" x14ac:dyDescent="0.55000000000000004">
      <c r="A187" s="19" t="s">
        <v>954</v>
      </c>
      <c r="B187" s="19" t="s">
        <v>955</v>
      </c>
      <c r="C187" s="19" t="s">
        <v>8</v>
      </c>
      <c r="D187" s="19" t="s">
        <v>9</v>
      </c>
      <c r="E187" s="19">
        <v>1704</v>
      </c>
      <c r="F187" s="19">
        <v>68.975625885919186</v>
      </c>
      <c r="G187" s="19">
        <v>40.70620694562912</v>
      </c>
      <c r="H187" s="19">
        <v>69363.376635352019</v>
      </c>
      <c r="I187" s="19">
        <v>32.496686751941539</v>
      </c>
      <c r="J187" s="19">
        <v>19.509410772830812</v>
      </c>
      <c r="K187" s="19">
        <v>25.303299749506074</v>
      </c>
      <c r="L187" s="19">
        <v>38.153497642386085</v>
      </c>
      <c r="M187" s="19">
        <v>30.355562882555255</v>
      </c>
      <c r="N187" s="19">
        <v>13.586924587735322</v>
      </c>
      <c r="O187" s="19">
        <v>10.726409917722275</v>
      </c>
      <c r="P187" s="19">
        <v>32.779935453360878</v>
      </c>
      <c r="Q187" s="19">
        <v>294.47342980669896</v>
      </c>
      <c r="R187" s="19">
        <v>83.797457296059477</v>
      </c>
      <c r="S187" s="19">
        <v>1027.4356850027903</v>
      </c>
      <c r="T187" s="19">
        <v>1032.1592646896881</v>
      </c>
      <c r="U187" s="19">
        <v>37.557321739881154</v>
      </c>
      <c r="V187" s="19">
        <v>20.219634146389392</v>
      </c>
      <c r="W187" s="19">
        <v>31.896117634570682</v>
      </c>
      <c r="X187" s="19">
        <v>48.86988355477596</v>
      </c>
      <c r="Y187" s="19">
        <v>22.248364775325456</v>
      </c>
      <c r="Z187" s="19">
        <v>21.4972337976711</v>
      </c>
      <c r="AA187" s="19">
        <v>65.89519200006994</v>
      </c>
      <c r="AB187" s="19">
        <v>69.650042673246844</v>
      </c>
      <c r="AC187" s="19">
        <v>22.800295567127989</v>
      </c>
      <c r="AD187" s="19">
        <v>16.645516107588165</v>
      </c>
      <c r="AE187" s="19">
        <v>25.199946421016673</v>
      </c>
      <c r="AF187" s="19">
        <v>30.778242325220031</v>
      </c>
      <c r="AG187" s="19">
        <v>1096.1856795536162</v>
      </c>
      <c r="AH187" s="19">
        <v>439.9964182394873</v>
      </c>
      <c r="AI187" s="19">
        <v>1383.1244109211534</v>
      </c>
      <c r="AJ187" s="19">
        <v>1675.3544947668411</v>
      </c>
      <c r="AK187" s="19">
        <v>3137.2250180740321</v>
      </c>
      <c r="AL187" s="19">
        <v>2728.5391002480428</v>
      </c>
      <c r="AM187" s="19">
        <v>624.81624252019901</v>
      </c>
      <c r="AN187" s="19">
        <v>3202.8450266365021</v>
      </c>
      <c r="AO187" s="19"/>
      <c r="AP187" s="19">
        <v>0.93728943336202597</v>
      </c>
      <c r="AQ187" s="19">
        <v>0.80528101026815679</v>
      </c>
      <c r="AR187" s="19">
        <v>1.2005511498541483</v>
      </c>
      <c r="AS187" s="19">
        <v>1.7110423176071827</v>
      </c>
      <c r="AT187" s="19">
        <v>0.75610686022232987</v>
      </c>
      <c r="AU187" s="19">
        <v>0.851735457035525</v>
      </c>
      <c r="AV187" s="19">
        <v>0.51134003376815207</v>
      </c>
      <c r="AW187" s="19">
        <v>0.66319738197201961</v>
      </c>
      <c r="AX187" s="19">
        <v>0.92604095959081412</v>
      </c>
      <c r="AY187" s="19">
        <v>0.41448905862144625</v>
      </c>
      <c r="AZ187" s="19">
        <v>0.32722486391053929</v>
      </c>
      <c r="BA187" s="19">
        <v>0.76851670206631273</v>
      </c>
      <c r="BB187" s="19">
        <v>0.41374426693131267</v>
      </c>
      <c r="BC187" s="19">
        <v>0.65267431216241434</v>
      </c>
      <c r="BD187" s="19">
        <v>0.31943074148138656</v>
      </c>
      <c r="BE187" s="19">
        <v>0.30864638372904207</v>
      </c>
      <c r="BF187" s="19">
        <v>0.94608975775087112</v>
      </c>
      <c r="BG187" s="19">
        <v>0.74079264586350912</v>
      </c>
      <c r="BH187" s="19">
        <v>0.54082088027322617</v>
      </c>
      <c r="BI187" s="19">
        <v>0.81875846433139421</v>
      </c>
    </row>
    <row r="188" spans="1:61" x14ac:dyDescent="0.55000000000000004">
      <c r="A188" s="19" t="s">
        <v>956</v>
      </c>
      <c r="B188" s="19" t="s">
        <v>957</v>
      </c>
      <c r="C188" s="19" t="s">
        <v>8</v>
      </c>
      <c r="D188" s="19" t="s">
        <v>9</v>
      </c>
      <c r="E188" s="19">
        <v>1966</v>
      </c>
      <c r="F188" s="19">
        <v>70.432651319413381</v>
      </c>
      <c r="G188" s="19">
        <v>44.670370589782969</v>
      </c>
      <c r="H188" s="19">
        <v>87821.948579513322</v>
      </c>
      <c r="I188" s="19">
        <v>33.21836654513676</v>
      </c>
      <c r="J188" s="19">
        <v>550.51363099735829</v>
      </c>
      <c r="K188" s="19">
        <v>25.204061013302042</v>
      </c>
      <c r="L188" s="19">
        <v>550.91612267245614</v>
      </c>
      <c r="M188" s="19">
        <v>31.012406093736701</v>
      </c>
      <c r="N188" s="19">
        <v>9.6076874568211217</v>
      </c>
      <c r="O188" s="19">
        <v>15.206376903664497</v>
      </c>
      <c r="P188" s="19">
        <v>35.647230900790809</v>
      </c>
      <c r="Q188" s="19">
        <v>609.22528976907529</v>
      </c>
      <c r="R188" s="19">
        <v>106.22738721466519</v>
      </c>
      <c r="S188" s="19">
        <v>895.16526919485432</v>
      </c>
      <c r="T188" s="19">
        <v>1056.9877804057942</v>
      </c>
      <c r="U188" s="19">
        <v>43.818909149510496</v>
      </c>
      <c r="V188" s="19">
        <v>8.3388678321233112</v>
      </c>
      <c r="W188" s="19">
        <v>61.765300641559193</v>
      </c>
      <c r="X188" s="19">
        <v>65.20390304578757</v>
      </c>
      <c r="Y188" s="19">
        <v>34.533885468733246</v>
      </c>
      <c r="Z188" s="19">
        <v>24.441489340895998</v>
      </c>
      <c r="AA188" s="19">
        <v>33.668450908995929</v>
      </c>
      <c r="AB188" s="19">
        <v>42.623216442825886</v>
      </c>
      <c r="AC188" s="19">
        <v>34.726839260418743</v>
      </c>
      <c r="AD188" s="19">
        <v>18.126498443478123</v>
      </c>
      <c r="AE188" s="19">
        <v>33.928053076164375</v>
      </c>
      <c r="AF188" s="19">
        <v>49.106040304616378</v>
      </c>
      <c r="AG188" s="19">
        <v>970.78541541779111</v>
      </c>
      <c r="AH188" s="19">
        <v>915.29911229379366</v>
      </c>
      <c r="AI188" s="19">
        <v>2262.5030846279224</v>
      </c>
      <c r="AJ188" s="19">
        <v>2381.9757739763595</v>
      </c>
      <c r="AK188" s="19">
        <v>964.00055696302627</v>
      </c>
      <c r="AL188" s="19">
        <v>1693.9728487171594</v>
      </c>
      <c r="AM188" s="19">
        <v>1326.6491981264721</v>
      </c>
      <c r="AN188" s="19">
        <v>1728.9657281184902</v>
      </c>
      <c r="AO188" s="19"/>
      <c r="AP188" s="19">
        <v>12.332920354111904</v>
      </c>
      <c r="AQ188" s="19">
        <v>0.79800616001480107</v>
      </c>
      <c r="AR188" s="19">
        <v>1.4596678331721975</v>
      </c>
      <c r="AS188" s="19">
        <v>0.95417199096563332</v>
      </c>
      <c r="AT188" s="19">
        <v>1.0992978042552424</v>
      </c>
      <c r="AU188" s="19">
        <v>6.0296595394588842E-2</v>
      </c>
      <c r="AV188" s="19">
        <v>0.99926941387530033</v>
      </c>
      <c r="AW188" s="19">
        <v>4.5749361792206913E-2</v>
      </c>
      <c r="AX188" s="19">
        <v>0.86998078981357041</v>
      </c>
      <c r="AY188" s="19">
        <v>0.26952128437577971</v>
      </c>
      <c r="AZ188" s="19">
        <v>0.42657947109510697</v>
      </c>
      <c r="BA188" s="19">
        <v>0.67202892929185432</v>
      </c>
      <c r="BB188" s="19">
        <v>0.12788909010964544</v>
      </c>
      <c r="BC188" s="19">
        <v>0.94726385624778142</v>
      </c>
      <c r="BD188" s="19">
        <v>0.81021303296189429</v>
      </c>
      <c r="BE188" s="19">
        <v>0.57343136864580435</v>
      </c>
      <c r="BF188" s="19">
        <v>0.78990873328760303</v>
      </c>
      <c r="BG188" s="19">
        <v>0.7071806043614991</v>
      </c>
      <c r="BH188" s="19">
        <v>0.36912971054141541</v>
      </c>
      <c r="BI188" s="19">
        <v>0.69091404775666376</v>
      </c>
    </row>
    <row r="189" spans="1:61" x14ac:dyDescent="0.55000000000000004">
      <c r="A189" s="19" t="s">
        <v>996</v>
      </c>
      <c r="B189" s="19" t="s">
        <v>997</v>
      </c>
      <c r="C189" s="19" t="s">
        <v>8</v>
      </c>
      <c r="D189" s="19" t="s">
        <v>9</v>
      </c>
      <c r="E189" s="19">
        <v>2250</v>
      </c>
      <c r="F189" s="19">
        <v>67.861063938273233</v>
      </c>
      <c r="G189" s="19">
        <v>41.291217179430831</v>
      </c>
      <c r="H189" s="19">
        <v>92905.238653719367</v>
      </c>
      <c r="I189" s="19">
        <v>38.89745230139826</v>
      </c>
      <c r="J189" s="19">
        <v>9.303175583915209</v>
      </c>
      <c r="K189" s="19">
        <v>17.744409084680484</v>
      </c>
      <c r="L189" s="19">
        <v>41.96091301964988</v>
      </c>
      <c r="M189" s="19">
        <v>36.202895564035884</v>
      </c>
      <c r="N189" s="19">
        <v>10.922612423774137</v>
      </c>
      <c r="O189" s="19">
        <v>5.6383274710032749</v>
      </c>
      <c r="P189" s="19">
        <v>37.362936715060137</v>
      </c>
      <c r="Q189" s="19">
        <v>545.29124526863802</v>
      </c>
      <c r="R189" s="19">
        <v>194.04872149714544</v>
      </c>
      <c r="S189" s="19">
        <v>744.38597833672191</v>
      </c>
      <c r="T189" s="19">
        <v>785.73529679987394</v>
      </c>
      <c r="U189" s="19">
        <v>29.314902251882117</v>
      </c>
      <c r="V189" s="19">
        <v>18.023413318685815</v>
      </c>
      <c r="W189" s="19">
        <v>68.909999391010672</v>
      </c>
      <c r="X189" s="19">
        <v>73.164017834429615</v>
      </c>
      <c r="Y189" s="19">
        <v>34.574459048797671</v>
      </c>
      <c r="Z189" s="19">
        <v>24.689704690211084</v>
      </c>
      <c r="AA189" s="19">
        <v>80.341851544601724</v>
      </c>
      <c r="AB189" s="19">
        <v>89.823768966565595</v>
      </c>
      <c r="AC189" s="19">
        <v>32.497964070528198</v>
      </c>
      <c r="AD189" s="19">
        <v>10.540654985627011</v>
      </c>
      <c r="AE189" s="19">
        <v>39.172904758994093</v>
      </c>
      <c r="AF189" s="19">
        <v>46.635659550405975</v>
      </c>
      <c r="AG189" s="19">
        <v>970.99617161354308</v>
      </c>
      <c r="AH189" s="19">
        <v>97.311773226509899</v>
      </c>
      <c r="AI189" s="19">
        <v>2562.4797822517207</v>
      </c>
      <c r="AJ189" s="19">
        <v>2707.3145333122629</v>
      </c>
      <c r="AK189" s="19">
        <v>2311.5293573149352</v>
      </c>
      <c r="AL189" s="19">
        <v>3115.0277209431561</v>
      </c>
      <c r="AM189" s="19">
        <v>2151.2518329623863</v>
      </c>
      <c r="AN189" s="19">
        <v>3151.6499674649049</v>
      </c>
      <c r="AO189" s="19"/>
      <c r="AP189" s="19">
        <v>1.0162188447317717</v>
      </c>
      <c r="AQ189" s="19">
        <v>0.90486401872581368</v>
      </c>
      <c r="AR189" s="19">
        <v>1.771902666770409</v>
      </c>
      <c r="AS189" s="19">
        <v>2.1753722729033815</v>
      </c>
      <c r="AT189" s="19">
        <v>1.1294329093703122</v>
      </c>
      <c r="AU189" s="19">
        <v>0.92699251522918413</v>
      </c>
      <c r="AV189" s="19">
        <v>0.22171051377167661</v>
      </c>
      <c r="AW189" s="19">
        <v>0.42287948015742538</v>
      </c>
      <c r="AX189" s="19">
        <v>0.96895208853974624</v>
      </c>
      <c r="AY189" s="19">
        <v>0.29233816675260121</v>
      </c>
      <c r="AZ189" s="19">
        <v>0.15090696735116635</v>
      </c>
      <c r="BA189" s="19">
        <v>0.40067376176936903</v>
      </c>
      <c r="BB189" s="19">
        <v>0.24634258549705201</v>
      </c>
      <c r="BC189" s="19">
        <v>0.94185641290168343</v>
      </c>
      <c r="BD189" s="19">
        <v>0.38491436561370579</v>
      </c>
      <c r="BE189" s="19">
        <v>0.27486827789870566</v>
      </c>
      <c r="BF189" s="19">
        <v>0.89443865993317151</v>
      </c>
      <c r="BG189" s="19">
        <v>0.69684795677442701</v>
      </c>
      <c r="BH189" s="19">
        <v>0.2260213554873001</v>
      </c>
      <c r="BI189" s="19">
        <v>0.83997750083611888</v>
      </c>
    </row>
    <row r="190" spans="1:61" x14ac:dyDescent="0.55000000000000004">
      <c r="A190" s="19" t="s">
        <v>998</v>
      </c>
      <c r="B190" s="19" t="s">
        <v>999</v>
      </c>
      <c r="C190" s="19" t="s">
        <v>8</v>
      </c>
      <c r="D190" s="19" t="s">
        <v>9</v>
      </c>
      <c r="E190" s="19">
        <v>1547</v>
      </c>
      <c r="F190" s="19">
        <v>66.089671534151151</v>
      </c>
      <c r="G190" s="19">
        <v>34.478030418411031</v>
      </c>
      <c r="H190" s="19">
        <v>53337.513057281867</v>
      </c>
      <c r="I190" s="19">
        <v>35.140065344533497</v>
      </c>
      <c r="J190" s="19">
        <v>6.6559490080588173</v>
      </c>
      <c r="K190" s="19">
        <v>26.226337346705851</v>
      </c>
      <c r="L190" s="19">
        <v>40.256307219933632</v>
      </c>
      <c r="M190" s="19">
        <v>39.262828774281815</v>
      </c>
      <c r="N190" s="19">
        <v>17.430442667633379</v>
      </c>
      <c r="O190" s="19">
        <v>8.2398286651550183</v>
      </c>
      <c r="P190" s="19">
        <v>42.572861058725913</v>
      </c>
      <c r="Q190" s="19">
        <v>648.06771750993971</v>
      </c>
      <c r="R190" s="19">
        <v>74.904144443825814</v>
      </c>
      <c r="S190" s="19">
        <v>1104.77432762126</v>
      </c>
      <c r="T190" s="19">
        <v>1160.4813693270244</v>
      </c>
      <c r="U190" s="19">
        <v>57.441109260187055</v>
      </c>
      <c r="V190" s="19">
        <v>20.756835429420754</v>
      </c>
      <c r="W190" s="19">
        <v>33.850996854718815</v>
      </c>
      <c r="X190" s="19">
        <v>59.564853038233586</v>
      </c>
      <c r="Y190" s="19">
        <v>25.109199782310128</v>
      </c>
      <c r="Z190" s="19">
        <v>31.934399840733235</v>
      </c>
      <c r="AA190" s="19">
        <v>110.1134104157525</v>
      </c>
      <c r="AB190" s="19">
        <v>111.34990163484477</v>
      </c>
      <c r="AC190" s="19">
        <v>36.703582926304193</v>
      </c>
      <c r="AD190" s="19">
        <v>21.863385585166995</v>
      </c>
      <c r="AE190" s="19">
        <v>43.077023566136084</v>
      </c>
      <c r="AF190" s="19">
        <v>48.354746067974524</v>
      </c>
      <c r="AG190" s="19">
        <v>1056.1504120956315</v>
      </c>
      <c r="AH190" s="19">
        <v>718.97562005716475</v>
      </c>
      <c r="AI190" s="19">
        <v>1555.1994169163604</v>
      </c>
      <c r="AJ190" s="19">
        <v>1806.9305464087195</v>
      </c>
      <c r="AK190" s="19">
        <v>4135.2294588723908</v>
      </c>
      <c r="AL190" s="19">
        <v>5330.5709106848944</v>
      </c>
      <c r="AM190" s="19">
        <v>1245.4054826518463</v>
      </c>
      <c r="AN190" s="19">
        <v>5658.9337571203841</v>
      </c>
      <c r="AO190" s="19"/>
      <c r="AP190" s="19">
        <v>1.1675930072396781</v>
      </c>
      <c r="AQ190" s="19">
        <v>1.2347822814145526</v>
      </c>
      <c r="AR190" s="19">
        <v>1.7276176253509645</v>
      </c>
      <c r="AS190" s="19">
        <v>3.2295899818971296</v>
      </c>
      <c r="AT190" s="19">
        <v>1.4024799410279951</v>
      </c>
      <c r="AU190" s="19">
        <v>0.87290831601993701</v>
      </c>
      <c r="AV190" s="19">
        <v>0.16533928389643759</v>
      </c>
      <c r="AW190" s="19">
        <v>0.65148393277661121</v>
      </c>
      <c r="AX190" s="19">
        <v>0.9222501799942886</v>
      </c>
      <c r="AY190" s="19">
        <v>0.40942615164128748</v>
      </c>
      <c r="AZ190" s="19">
        <v>0.19354650968345358</v>
      </c>
      <c r="BA190" s="19">
        <v>0.96434568928285047</v>
      </c>
      <c r="BB190" s="19">
        <v>0.34847455119376053</v>
      </c>
      <c r="BC190" s="19">
        <v>0.56830488330073581</v>
      </c>
      <c r="BD190" s="19">
        <v>0.22549817659158755</v>
      </c>
      <c r="BE190" s="19">
        <v>0.28679324697975295</v>
      </c>
      <c r="BF190" s="19">
        <v>0.98889544399287255</v>
      </c>
      <c r="BG190" s="19">
        <v>0.75904819921312905</v>
      </c>
      <c r="BH190" s="19">
        <v>0.45214559816801875</v>
      </c>
      <c r="BI190" s="19">
        <v>0.89085409538870708</v>
      </c>
    </row>
    <row r="191" spans="1:61" x14ac:dyDescent="0.55000000000000004">
      <c r="A191" s="19" t="s">
        <v>1001</v>
      </c>
      <c r="B191" s="19" t="s">
        <v>1002</v>
      </c>
      <c r="C191" s="19" t="s">
        <v>51</v>
      </c>
      <c r="D191" s="19" t="s">
        <v>9</v>
      </c>
      <c r="E191" s="19">
        <v>1591</v>
      </c>
      <c r="F191" s="19">
        <v>70.630670098381685</v>
      </c>
      <c r="G191" s="19">
        <v>44.668795342756788</v>
      </c>
      <c r="H191" s="19">
        <v>71068.053390326051</v>
      </c>
      <c r="I191" s="19">
        <v>42.188019433990462</v>
      </c>
      <c r="J191" s="19">
        <v>41.553101144735358</v>
      </c>
      <c r="K191" s="19">
        <v>23.921027686388044</v>
      </c>
      <c r="L191" s="19">
        <v>58.869576716171828</v>
      </c>
      <c r="M191" s="19">
        <v>36.383659229888508</v>
      </c>
      <c r="N191" s="19">
        <v>16.555480311441755</v>
      </c>
      <c r="O191" s="19">
        <v>27.228737394159634</v>
      </c>
      <c r="P191" s="19">
        <v>46.212513751496537</v>
      </c>
      <c r="Q191" s="19">
        <v>561.72581148661652</v>
      </c>
      <c r="R191" s="19">
        <v>340.70636405569496</v>
      </c>
      <c r="S191" s="19">
        <v>1065.8317655467361</v>
      </c>
      <c r="T191" s="19">
        <v>1164.0522243784021</v>
      </c>
      <c r="U191" s="19">
        <v>92.743535523462882</v>
      </c>
      <c r="V191" s="19">
        <v>34.463143699497479</v>
      </c>
      <c r="W191" s="19">
        <v>54.602244931642375</v>
      </c>
      <c r="X191" s="19">
        <v>104.4704216378319</v>
      </c>
      <c r="Y191" s="19">
        <v>29.414604844844025</v>
      </c>
      <c r="Z191" s="19">
        <v>20.695054806450322</v>
      </c>
      <c r="AA191" s="19">
        <v>63.784481907055408</v>
      </c>
      <c r="AB191" s="19">
        <v>70.37407476643321</v>
      </c>
      <c r="AC191" s="19">
        <v>33.695273104849889</v>
      </c>
      <c r="AD191" s="19">
        <v>18.376695726521451</v>
      </c>
      <c r="AE191" s="19">
        <v>28.306168023149333</v>
      </c>
      <c r="AF191" s="19">
        <v>45.401272742351672</v>
      </c>
      <c r="AG191" s="19">
        <v>679.55231414971536</v>
      </c>
      <c r="AH191" s="19">
        <v>1883.0041918654731</v>
      </c>
      <c r="AI191" s="19">
        <v>2004.9418642629007</v>
      </c>
      <c r="AJ191" s="19">
        <v>2099.396112818341</v>
      </c>
      <c r="AK191" s="19">
        <v>3406.0860022778315</v>
      </c>
      <c r="AL191" s="19">
        <v>1529.5043397125826</v>
      </c>
      <c r="AM191" s="19">
        <v>4121.0577479444291</v>
      </c>
      <c r="AN191" s="19">
        <v>5343.439417703813</v>
      </c>
      <c r="AO191" s="19"/>
      <c r="AP191" s="19">
        <v>1.3179127904490882</v>
      </c>
      <c r="AQ191" s="19">
        <v>1.0345592129112582</v>
      </c>
      <c r="AR191" s="19">
        <v>2.3387785776670196</v>
      </c>
      <c r="AS191" s="19">
        <v>1.5754639055392532</v>
      </c>
      <c r="AT191" s="19">
        <v>1.0163979662754361</v>
      </c>
      <c r="AU191" s="19">
        <v>0.71663534523768979</v>
      </c>
      <c r="AV191" s="19">
        <v>0.70585017699508057</v>
      </c>
      <c r="AW191" s="19">
        <v>0.40633938650040935</v>
      </c>
      <c r="AX191" s="19">
        <v>0.78731183993881459</v>
      </c>
      <c r="AY191" s="19">
        <v>0.35824669483394256</v>
      </c>
      <c r="AZ191" s="19">
        <v>0.58920701740181491</v>
      </c>
      <c r="BA191" s="19">
        <v>0.88774922192788042</v>
      </c>
      <c r="BB191" s="19">
        <v>0.32988422138249829</v>
      </c>
      <c r="BC191" s="19">
        <v>0.52265745725553048</v>
      </c>
      <c r="BD191" s="19">
        <v>0.41797501341892035</v>
      </c>
      <c r="BE191" s="19">
        <v>0.29407214055937231</v>
      </c>
      <c r="BF191" s="19">
        <v>0.90636334642766936</v>
      </c>
      <c r="BG191" s="19">
        <v>0.74216582640904527</v>
      </c>
      <c r="BH191" s="19">
        <v>0.40476168654582928</v>
      </c>
      <c r="BI191" s="19">
        <v>0.62346639892199518</v>
      </c>
    </row>
    <row r="192" spans="1:61" x14ac:dyDescent="0.55000000000000004">
      <c r="A192" s="19" t="s">
        <v>1005</v>
      </c>
      <c r="B192" s="19" t="s">
        <v>1006</v>
      </c>
      <c r="C192" s="19" t="s">
        <v>8</v>
      </c>
      <c r="D192" s="19" t="s">
        <v>9</v>
      </c>
      <c r="E192" s="19">
        <v>1625</v>
      </c>
      <c r="F192" s="19">
        <v>74.753180273682617</v>
      </c>
      <c r="G192" s="19">
        <v>66.584728036936255</v>
      </c>
      <c r="H192" s="19">
        <v>108200.18306002142</v>
      </c>
      <c r="I192" s="19">
        <v>79.752662043655505</v>
      </c>
      <c r="J192" s="19">
        <v>43.077272083752568</v>
      </c>
      <c r="K192" s="19">
        <v>29.175883552753596</v>
      </c>
      <c r="L192" s="19">
        <v>87.953057776308881</v>
      </c>
      <c r="M192" s="19">
        <v>32.822160823839852</v>
      </c>
      <c r="N192" s="19">
        <v>12.323216596830969</v>
      </c>
      <c r="O192" s="19">
        <v>13.510884076385823</v>
      </c>
      <c r="P192" s="19">
        <v>35.645755092491704</v>
      </c>
      <c r="Q192" s="19">
        <v>439.01345789604977</v>
      </c>
      <c r="R192" s="19">
        <v>955.08633493470006</v>
      </c>
      <c r="S192" s="19">
        <v>1026.2125098595193</v>
      </c>
      <c r="T192" s="19">
        <v>1027.2796162146919</v>
      </c>
      <c r="U192" s="19">
        <v>46.079735955399137</v>
      </c>
      <c r="V192" s="19">
        <v>17.040825781546776</v>
      </c>
      <c r="W192" s="19">
        <v>45.912957971671624</v>
      </c>
      <c r="X192" s="19">
        <v>52.891247596169407</v>
      </c>
      <c r="Y192" s="19">
        <v>32.252351489557185</v>
      </c>
      <c r="Z192" s="19">
        <v>29.367667657320002</v>
      </c>
      <c r="AA192" s="19">
        <v>35.345279265862992</v>
      </c>
      <c r="AB192" s="19">
        <v>47.246808303052468</v>
      </c>
      <c r="AC192" s="19">
        <v>34.838585059120689</v>
      </c>
      <c r="AD192" s="19">
        <v>20.829802156340914</v>
      </c>
      <c r="AE192" s="19">
        <v>41.963568774572025</v>
      </c>
      <c r="AF192" s="19">
        <v>53.039718174716313</v>
      </c>
      <c r="AG192" s="19">
        <v>955.77750128780895</v>
      </c>
      <c r="AH192" s="19">
        <v>1172.1217702327308</v>
      </c>
      <c r="AI192" s="19">
        <v>1821.1257709017912</v>
      </c>
      <c r="AJ192" s="19">
        <v>1979.6463654839843</v>
      </c>
      <c r="AK192" s="19">
        <v>3349.7127467728205</v>
      </c>
      <c r="AL192" s="19">
        <v>4116.4670794109743</v>
      </c>
      <c r="AM192" s="19">
        <v>1834.8476631433307</v>
      </c>
      <c r="AN192" s="19">
        <v>5153.0878022890156</v>
      </c>
      <c r="AO192" s="19"/>
      <c r="AP192" s="19">
        <v>1.3209193815062077</v>
      </c>
      <c r="AQ192" s="19">
        <v>0.5353443070717071</v>
      </c>
      <c r="AR192" s="19">
        <v>0.79434502708833288</v>
      </c>
      <c r="AS192" s="19">
        <v>0.70957424766897681</v>
      </c>
      <c r="AT192" s="19">
        <v>0.7965748263669985</v>
      </c>
      <c r="AU192" s="19">
        <v>0.90676394954329553</v>
      </c>
      <c r="AV192" s="19">
        <v>0.48977571869429537</v>
      </c>
      <c r="AW192" s="19">
        <v>0.3317210827047839</v>
      </c>
      <c r="AX192" s="19">
        <v>0.92078736272172268</v>
      </c>
      <c r="AY192" s="19">
        <v>0.34571343950648104</v>
      </c>
      <c r="AZ192" s="19">
        <v>0.37903206262087874</v>
      </c>
      <c r="BA192" s="19">
        <v>0.87121665775825663</v>
      </c>
      <c r="BB192" s="19">
        <v>0.32218611880089099</v>
      </c>
      <c r="BC192" s="19">
        <v>0.86806343314535128</v>
      </c>
      <c r="BD192" s="19">
        <v>0.68263556096070643</v>
      </c>
      <c r="BE192" s="19">
        <v>0.62157992702805809</v>
      </c>
      <c r="BF192" s="19">
        <v>0.74809877186094376</v>
      </c>
      <c r="BG192" s="19">
        <v>0.65683955831665819</v>
      </c>
      <c r="BH192" s="19">
        <v>0.39272083022247928</v>
      </c>
      <c r="BI192" s="19">
        <v>0.79117254424959937</v>
      </c>
    </row>
    <row r="193" spans="1:61" x14ac:dyDescent="0.55000000000000004">
      <c r="A193" s="19" t="s">
        <v>1019</v>
      </c>
      <c r="B193" s="19" t="s">
        <v>999</v>
      </c>
      <c r="C193" s="19" t="s">
        <v>8</v>
      </c>
      <c r="D193" s="19" t="s">
        <v>9</v>
      </c>
      <c r="E193" s="19">
        <v>1551</v>
      </c>
      <c r="F193" s="19">
        <v>70.686372126508004</v>
      </c>
      <c r="G193" s="19">
        <v>38.530860128809579</v>
      </c>
      <c r="H193" s="19">
        <v>59761.364059783657</v>
      </c>
      <c r="I193" s="19">
        <v>32.170284894957391</v>
      </c>
      <c r="J193" s="19">
        <v>15.760265469436728</v>
      </c>
      <c r="K193" s="19">
        <v>26.958017996599274</v>
      </c>
      <c r="L193" s="19">
        <v>41.852390196557273</v>
      </c>
      <c r="M193" s="19">
        <v>40.908523380441906</v>
      </c>
      <c r="N193" s="19">
        <v>16.490632678442658</v>
      </c>
      <c r="O193" s="19">
        <v>8.3839049200935065</v>
      </c>
      <c r="P193" s="19">
        <v>42.894741216695365</v>
      </c>
      <c r="Q193" s="19">
        <v>617.08164090252467</v>
      </c>
      <c r="R193" s="19">
        <v>39.836527777593929</v>
      </c>
      <c r="S193" s="19">
        <v>991.36373896002613</v>
      </c>
      <c r="T193" s="19">
        <v>998.90195536332328</v>
      </c>
      <c r="U193" s="19">
        <v>41.105574062846969</v>
      </c>
      <c r="V193" s="19">
        <v>12.68827257778306</v>
      </c>
      <c r="W193" s="19">
        <v>41.994068193200462</v>
      </c>
      <c r="X193" s="19">
        <v>46.871041995352257</v>
      </c>
      <c r="Y193" s="19">
        <v>24.130702391131408</v>
      </c>
      <c r="Z193" s="19">
        <v>24.102309419438711</v>
      </c>
      <c r="AA193" s="19">
        <v>88.436971427446537</v>
      </c>
      <c r="AB193" s="19">
        <v>92.367072891830347</v>
      </c>
      <c r="AC193" s="19">
        <v>36.391969767698058</v>
      </c>
      <c r="AD193" s="19">
        <v>24.979257940510067</v>
      </c>
      <c r="AE193" s="19">
        <v>37.186152503788264</v>
      </c>
      <c r="AF193" s="19">
        <v>56.958812721588053</v>
      </c>
      <c r="AG193" s="19">
        <v>780.84314638830108</v>
      </c>
      <c r="AH193" s="19">
        <v>123.92050347649072</v>
      </c>
      <c r="AI193" s="19">
        <v>1537.3461545123491</v>
      </c>
      <c r="AJ193" s="19">
        <v>1630.3346594748275</v>
      </c>
      <c r="AK193" s="19">
        <v>1471.041691503292</v>
      </c>
      <c r="AL193" s="19">
        <v>5100.1454763425854</v>
      </c>
      <c r="AM193" s="19">
        <v>1630.1373723447639</v>
      </c>
      <c r="AN193" s="19">
        <v>5284.8320163430308</v>
      </c>
      <c r="AO193" s="19"/>
      <c r="AP193" s="19">
        <v>1.0862044100921635</v>
      </c>
      <c r="AQ193" s="19">
        <v>1.1132567784185774</v>
      </c>
      <c r="AR193" s="19">
        <v>1.2164545986946893</v>
      </c>
      <c r="AS193" s="19">
        <v>2.3972232279021291</v>
      </c>
      <c r="AT193" s="19">
        <v>1.4782647605367072</v>
      </c>
      <c r="AU193" s="19">
        <v>0.7686606366774168</v>
      </c>
      <c r="AV193" s="19">
        <v>0.37656787092492389</v>
      </c>
      <c r="AW193" s="19">
        <v>0.64412134814744249</v>
      </c>
      <c r="AX193" s="19">
        <v>0.95369553982807598</v>
      </c>
      <c r="AY193" s="19">
        <v>0.38444415820427474</v>
      </c>
      <c r="AZ193" s="19">
        <v>0.19545297820401228</v>
      </c>
      <c r="BA193" s="19">
        <v>0.87699296437495478</v>
      </c>
      <c r="BB193" s="19">
        <v>0.27070600604614747</v>
      </c>
      <c r="BC193" s="19">
        <v>0.89594910643046088</v>
      </c>
      <c r="BD193" s="19">
        <v>0.26124788450739911</v>
      </c>
      <c r="BE193" s="19">
        <v>0.26094049172332823</v>
      </c>
      <c r="BF193" s="19">
        <v>0.95745127195936708</v>
      </c>
      <c r="BG193" s="19">
        <v>0.63891728125690161</v>
      </c>
      <c r="BH193" s="19">
        <v>0.43854948421427747</v>
      </c>
      <c r="BI193" s="19">
        <v>0.65286038677723846</v>
      </c>
    </row>
    <row r="194" spans="1:61" x14ac:dyDescent="0.55000000000000004">
      <c r="A194" s="19" t="s">
        <v>1020</v>
      </c>
      <c r="B194" s="19" t="s">
        <v>1000</v>
      </c>
      <c r="C194" s="19" t="s">
        <v>8</v>
      </c>
      <c r="D194" s="19" t="s">
        <v>9</v>
      </c>
      <c r="E194" s="19">
        <v>1577</v>
      </c>
      <c r="F194" s="19">
        <v>71.586907987449521</v>
      </c>
      <c r="G194" s="19">
        <v>41.179991011468047</v>
      </c>
      <c r="H194" s="19">
        <v>64940.845825085111</v>
      </c>
      <c r="I194" s="19">
        <v>38.335434398905647</v>
      </c>
      <c r="J194" s="19">
        <v>13.975040213978309</v>
      </c>
      <c r="K194" s="19">
        <v>22.781638173289146</v>
      </c>
      <c r="L194" s="19">
        <v>43.993660203723287</v>
      </c>
      <c r="M194" s="19">
        <v>44.982358431578206</v>
      </c>
      <c r="N194" s="19">
        <v>11.567807112931881</v>
      </c>
      <c r="O194" s="19">
        <v>7.2632643158099723</v>
      </c>
      <c r="P194" s="19">
        <v>46.52560579654866</v>
      </c>
      <c r="Q194" s="19">
        <v>485.42350928266058</v>
      </c>
      <c r="R194" s="19">
        <v>91.257768862477775</v>
      </c>
      <c r="S194" s="19">
        <v>1010.9447880731941</v>
      </c>
      <c r="T194" s="19">
        <v>1035.9398072367044</v>
      </c>
      <c r="U194" s="19">
        <v>24.528920951477073</v>
      </c>
      <c r="V194" s="19">
        <v>7.3211049857940829</v>
      </c>
      <c r="W194" s="19">
        <v>36.233528242814721</v>
      </c>
      <c r="X194" s="19">
        <v>37.608273925338437</v>
      </c>
      <c r="Y194" s="19">
        <v>23.789864247896862</v>
      </c>
      <c r="Z194" s="19">
        <v>17.175198546852322</v>
      </c>
      <c r="AA194" s="19">
        <v>22.819550571619494</v>
      </c>
      <c r="AB194" s="19">
        <v>33.80900819441802</v>
      </c>
      <c r="AC194" s="19">
        <v>35.389557023369449</v>
      </c>
      <c r="AD194" s="19">
        <v>17.708462903306899</v>
      </c>
      <c r="AE194" s="19">
        <v>29.137985540568096</v>
      </c>
      <c r="AF194" s="19">
        <v>46.538220201179683</v>
      </c>
      <c r="AG194" s="19">
        <v>775.75829136764446</v>
      </c>
      <c r="AH194" s="19">
        <v>59.732526337012267</v>
      </c>
      <c r="AI194" s="19">
        <v>1284.553229569264</v>
      </c>
      <c r="AJ194" s="19">
        <v>1342.4910865961062</v>
      </c>
      <c r="AK194" s="19">
        <v>1359.2557237946487</v>
      </c>
      <c r="AL194" s="19">
        <v>3563.6680907660207</v>
      </c>
      <c r="AM194" s="19">
        <v>1614.8461998679177</v>
      </c>
      <c r="AN194" s="19">
        <v>3807.13166451897</v>
      </c>
      <c r="AO194" s="19"/>
      <c r="AP194" s="19">
        <v>1.0683261244877804</v>
      </c>
      <c r="AQ194" s="19">
        <v>1.1298109750337715</v>
      </c>
      <c r="AR194" s="19">
        <v>0.91326571477067742</v>
      </c>
      <c r="AS194" s="19">
        <v>0.82100572059383614</v>
      </c>
      <c r="AT194" s="19">
        <v>1.1301172986710815</v>
      </c>
      <c r="AU194" s="19">
        <v>0.87138542738622204</v>
      </c>
      <c r="AV194" s="19">
        <v>0.31766032081130563</v>
      </c>
      <c r="AW194" s="19">
        <v>0.51783911744995204</v>
      </c>
      <c r="AX194" s="19">
        <v>0.96683015000989125</v>
      </c>
      <c r="AY194" s="19">
        <v>0.24863313254891564</v>
      </c>
      <c r="AZ194" s="19">
        <v>0.15611326690879482</v>
      </c>
      <c r="BA194" s="19">
        <v>0.65222139681743818</v>
      </c>
      <c r="BB194" s="19">
        <v>0.19466740218730205</v>
      </c>
      <c r="BC194" s="19">
        <v>0.96344565865338783</v>
      </c>
      <c r="BD194" s="19">
        <v>0.70365460326708573</v>
      </c>
      <c r="BE194" s="19">
        <v>0.50800657765784463</v>
      </c>
      <c r="BF194" s="19">
        <v>0.67495474698329305</v>
      </c>
      <c r="BG194" s="19">
        <v>0.76044070594844904</v>
      </c>
      <c r="BH194" s="19">
        <v>0.38051439927773628</v>
      </c>
      <c r="BI194" s="19">
        <v>0.62610872127485195</v>
      </c>
    </row>
    <row r="195" spans="1:61" x14ac:dyDescent="0.55000000000000004">
      <c r="A195" s="19" t="s">
        <v>1021</v>
      </c>
      <c r="B195" s="19" t="s">
        <v>1022</v>
      </c>
      <c r="C195" s="19" t="s">
        <v>51</v>
      </c>
      <c r="D195" s="19" t="s">
        <v>9</v>
      </c>
      <c r="E195" s="19">
        <v>1643</v>
      </c>
      <c r="F195" s="19">
        <v>71.674588313898283</v>
      </c>
      <c r="G195" s="19">
        <v>61.662801684793777</v>
      </c>
      <c r="H195" s="19">
        <v>101311.98316811617</v>
      </c>
      <c r="I195" s="19">
        <v>37.328875344861487</v>
      </c>
      <c r="J195" s="19">
        <v>20.793913110680716</v>
      </c>
      <c r="K195" s="19">
        <v>24.556320945185121</v>
      </c>
      <c r="L195" s="19">
        <v>38.720180513983067</v>
      </c>
      <c r="M195" s="19">
        <v>35.723628638076804</v>
      </c>
      <c r="N195" s="19">
        <v>15.556119725652534</v>
      </c>
      <c r="O195" s="19">
        <v>7.6855791213687423</v>
      </c>
      <c r="P195" s="19">
        <v>38.692606067568036</v>
      </c>
      <c r="Q195" s="19">
        <v>379.68457874923922</v>
      </c>
      <c r="R195" s="19">
        <v>184.11871013621723</v>
      </c>
      <c r="S195" s="19">
        <v>972.15842877470141</v>
      </c>
      <c r="T195" s="19">
        <v>983.91840306162385</v>
      </c>
      <c r="U195" s="19">
        <v>28.169635734362487</v>
      </c>
      <c r="V195" s="19">
        <v>8.908593613620825</v>
      </c>
      <c r="W195" s="19">
        <v>48.191852564409515</v>
      </c>
      <c r="X195" s="19">
        <v>50.73076701387189</v>
      </c>
      <c r="Y195" s="19">
        <v>28.520506144574583</v>
      </c>
      <c r="Z195" s="19">
        <v>18.69557972080473</v>
      </c>
      <c r="AA195" s="19">
        <v>11.778367340942566</v>
      </c>
      <c r="AB195" s="19">
        <v>34.764012410290867</v>
      </c>
      <c r="AC195" s="19">
        <v>30.15786751425032</v>
      </c>
      <c r="AD195" s="19">
        <v>16.862024068217611</v>
      </c>
      <c r="AE195" s="19">
        <v>27.455948500996641</v>
      </c>
      <c r="AF195" s="19">
        <v>41.888834627788285</v>
      </c>
      <c r="AG195" s="19">
        <v>662.45648219359043</v>
      </c>
      <c r="AH195" s="19">
        <v>127.33589225862625</v>
      </c>
      <c r="AI195" s="19">
        <v>1722.0283547652864</v>
      </c>
      <c r="AJ195" s="19">
        <v>1787.7938969540498</v>
      </c>
      <c r="AK195" s="19">
        <v>1756.9801062572437</v>
      </c>
      <c r="AL195" s="19">
        <v>1102.9201865190744</v>
      </c>
      <c r="AM195" s="19">
        <v>2509.4065171947586</v>
      </c>
      <c r="AN195" s="19">
        <v>3050.814462778495</v>
      </c>
      <c r="AO195" s="19"/>
      <c r="AP195" s="19">
        <v>0.6279341751597961</v>
      </c>
      <c r="AQ195" s="19">
        <v>0.62748699394743435</v>
      </c>
      <c r="AR195" s="19">
        <v>0.82271265054085663</v>
      </c>
      <c r="AS195" s="19">
        <v>0.56377607666931184</v>
      </c>
      <c r="AT195" s="19">
        <v>0.67932097607102715</v>
      </c>
      <c r="AU195" s="19">
        <v>0.96406769930684755</v>
      </c>
      <c r="AV195" s="19">
        <v>0.53703037627036332</v>
      </c>
      <c r="AW195" s="19">
        <v>0.63419954708932891</v>
      </c>
      <c r="AX195" s="19">
        <v>0.92326757664483561</v>
      </c>
      <c r="AY195" s="19">
        <v>0.4020437315203641</v>
      </c>
      <c r="AZ195" s="19">
        <v>0.19863172586378872</v>
      </c>
      <c r="BA195" s="19">
        <v>0.5552771501889523</v>
      </c>
      <c r="BB195" s="19">
        <v>0.17560534046695661</v>
      </c>
      <c r="BC195" s="19">
        <v>0.94995316256960727</v>
      </c>
      <c r="BD195" s="19">
        <v>0.82040317463849266</v>
      </c>
      <c r="BE195" s="19">
        <v>0.53778544030407871</v>
      </c>
      <c r="BF195" s="19">
        <v>0.3388092030900301</v>
      </c>
      <c r="BG195" s="19">
        <v>0.71995002444503775</v>
      </c>
      <c r="BH195" s="19">
        <v>0.40254221006739715</v>
      </c>
      <c r="BI195" s="19">
        <v>0.6554478954824603</v>
      </c>
    </row>
    <row r="196" spans="1:61" x14ac:dyDescent="0.55000000000000004">
      <c r="A196" s="19" t="s">
        <v>1023</v>
      </c>
      <c r="B196" s="19" t="s">
        <v>1024</v>
      </c>
      <c r="C196" s="19" t="s">
        <v>8</v>
      </c>
      <c r="D196" s="19" t="s">
        <v>9</v>
      </c>
      <c r="E196" s="19">
        <v>1716</v>
      </c>
      <c r="F196" s="19">
        <v>72.293328635144718</v>
      </c>
      <c r="G196" s="19">
        <v>40.678628966989692</v>
      </c>
      <c r="H196" s="19">
        <v>69804.527307354307</v>
      </c>
      <c r="I196" s="19">
        <v>45.796172273549132</v>
      </c>
      <c r="J196" s="19">
        <v>16.831157264240119</v>
      </c>
      <c r="K196" s="19">
        <v>17.636942126402008</v>
      </c>
      <c r="L196" s="19">
        <v>49.723478343272774</v>
      </c>
      <c r="M196" s="19">
        <v>33.873289073298302</v>
      </c>
      <c r="N196" s="19">
        <v>11.344390762870681</v>
      </c>
      <c r="O196" s="19">
        <v>6.7875571888448487</v>
      </c>
      <c r="P196" s="19">
        <v>35.922125954945152</v>
      </c>
      <c r="Q196" s="19">
        <v>544.71944844997017</v>
      </c>
      <c r="R196" s="19">
        <v>114.69011042750003</v>
      </c>
      <c r="S196" s="19">
        <v>775.48585480722352</v>
      </c>
      <c r="T196" s="19">
        <v>777.5677553675738</v>
      </c>
      <c r="U196" s="19">
        <v>30.367167488171845</v>
      </c>
      <c r="V196" s="19">
        <v>9.4303627263855336</v>
      </c>
      <c r="W196" s="19">
        <v>35.074431533636343</v>
      </c>
      <c r="X196" s="19">
        <v>43.310007017405368</v>
      </c>
      <c r="Y196" s="19">
        <v>23.028733135407887</v>
      </c>
      <c r="Z196" s="19">
        <v>20.553834072358246</v>
      </c>
      <c r="AA196" s="19">
        <v>15.845881792919727</v>
      </c>
      <c r="AB196" s="19">
        <v>30.866527807279798</v>
      </c>
      <c r="AC196" s="19">
        <v>27.861154747231076</v>
      </c>
      <c r="AD196" s="19">
        <v>13.357319847466972</v>
      </c>
      <c r="AE196" s="19">
        <v>22.699769758765406</v>
      </c>
      <c r="AF196" s="19">
        <v>35.51920758179876</v>
      </c>
      <c r="AG196" s="19">
        <v>815.62147753225088</v>
      </c>
      <c r="AH196" s="19">
        <v>76.402139923335312</v>
      </c>
      <c r="AI196" s="19">
        <v>1499.3506884191529</v>
      </c>
      <c r="AJ196" s="19">
        <v>1685.7593907739997</v>
      </c>
      <c r="AK196" s="19">
        <v>907.97315394775796</v>
      </c>
      <c r="AL196" s="19">
        <v>2739.0968317703505</v>
      </c>
      <c r="AM196" s="19">
        <v>641.13278200028242</v>
      </c>
      <c r="AN196" s="19">
        <v>2846.9705810797514</v>
      </c>
      <c r="AO196" s="19"/>
      <c r="AP196" s="19">
        <v>1.2223489238937451</v>
      </c>
      <c r="AQ196" s="19">
        <v>0.88307120635987035</v>
      </c>
      <c r="AR196" s="19">
        <v>1.0646869896365243</v>
      </c>
      <c r="AS196" s="19">
        <v>0.75878977711681683</v>
      </c>
      <c r="AT196" s="19">
        <v>0.87316629109162569</v>
      </c>
      <c r="AU196" s="19">
        <v>0.92101706878567602</v>
      </c>
      <c r="AV196" s="19">
        <v>0.33849517018990388</v>
      </c>
      <c r="AW196" s="19">
        <v>0.3547004898700567</v>
      </c>
      <c r="AX196" s="19">
        <v>0.94296448700679425</v>
      </c>
      <c r="AY196" s="19">
        <v>0.315805105107065</v>
      </c>
      <c r="AZ196" s="19">
        <v>0.18895199012881508</v>
      </c>
      <c r="BA196" s="19">
        <v>0.70115822137751971</v>
      </c>
      <c r="BB196" s="19">
        <v>0.21774096509833563</v>
      </c>
      <c r="BC196" s="19">
        <v>0.80984589819024222</v>
      </c>
      <c r="BD196" s="19">
        <v>0.74607462423993842</v>
      </c>
      <c r="BE196" s="19">
        <v>0.66589394831480442</v>
      </c>
      <c r="BF196" s="19">
        <v>0.51336781033020862</v>
      </c>
      <c r="BG196" s="19">
        <v>0.78439685578762941</v>
      </c>
      <c r="BH196" s="19">
        <v>0.37605906090967278</v>
      </c>
      <c r="BI196" s="19">
        <v>0.63908435193800706</v>
      </c>
    </row>
    <row r="197" spans="1:61" x14ac:dyDescent="0.55000000000000004">
      <c r="A197" s="19" t="s">
        <v>1033</v>
      </c>
      <c r="B197" s="19" t="s">
        <v>1034</v>
      </c>
      <c r="C197" s="19" t="s">
        <v>8</v>
      </c>
      <c r="D197" s="19" t="s">
        <v>9</v>
      </c>
      <c r="E197" s="19">
        <v>1986</v>
      </c>
      <c r="F197" s="19">
        <v>69.325664392626848</v>
      </c>
      <c r="G197" s="19">
        <v>30.940021585728431</v>
      </c>
      <c r="H197" s="19">
        <v>61446.88286925666</v>
      </c>
      <c r="I197" s="19">
        <v>45.641596367603881</v>
      </c>
      <c r="J197" s="19">
        <v>10.357147903458815</v>
      </c>
      <c r="K197" s="19">
        <v>19.207573513841233</v>
      </c>
      <c r="L197" s="19">
        <v>49.608777436210502</v>
      </c>
      <c r="M197" s="19">
        <v>35.492428763777419</v>
      </c>
      <c r="N197" s="19">
        <v>12.342345577332466</v>
      </c>
      <c r="O197" s="19">
        <v>12.743933899383915</v>
      </c>
      <c r="P197" s="19">
        <v>37.387893090637476</v>
      </c>
      <c r="Q197" s="19">
        <v>831.56316029467848</v>
      </c>
      <c r="R197" s="19">
        <v>209.98622426777152</v>
      </c>
      <c r="S197" s="19">
        <v>715.93097284617704</v>
      </c>
      <c r="T197" s="19">
        <v>978.31281354985799</v>
      </c>
      <c r="U197" s="19">
        <v>21.602187851745562</v>
      </c>
      <c r="V197" s="19">
        <v>11.081384192942259</v>
      </c>
      <c r="W197" s="19">
        <v>47.526220736937567</v>
      </c>
      <c r="X197" s="19">
        <v>52.091689533037901</v>
      </c>
      <c r="Y197" s="19">
        <v>26.206346353361127</v>
      </c>
      <c r="Z197" s="19">
        <v>28.721319498261185</v>
      </c>
      <c r="AA197" s="19">
        <v>47.074123099432668</v>
      </c>
      <c r="AB197" s="19">
        <v>56.471171467389524</v>
      </c>
      <c r="AC197" s="19">
        <v>29.591448372052042</v>
      </c>
      <c r="AD197" s="19">
        <v>21.380947754390014</v>
      </c>
      <c r="AE197" s="19">
        <v>22.070454798852538</v>
      </c>
      <c r="AF197" s="19">
        <v>37.385151853814712</v>
      </c>
      <c r="AG197" s="19">
        <v>704.24098100807782</v>
      </c>
      <c r="AH197" s="19">
        <v>297.44186586342323</v>
      </c>
      <c r="AI197" s="19">
        <v>1753.1407764337837</v>
      </c>
      <c r="AJ197" s="19">
        <v>1864.8449705460266</v>
      </c>
      <c r="AK197" s="19">
        <v>560.39526034290475</v>
      </c>
      <c r="AL197" s="19">
        <v>1556.6360100255843</v>
      </c>
      <c r="AM197" s="19">
        <v>847.95771003802736</v>
      </c>
      <c r="AN197" s="19">
        <v>1556.823598853679</v>
      </c>
      <c r="AO197" s="19"/>
      <c r="AP197" s="19">
        <v>1.6033853531341209</v>
      </c>
      <c r="AQ197" s="19">
        <v>1.2083990629109072</v>
      </c>
      <c r="AR197" s="19">
        <v>1.6836345569023781</v>
      </c>
      <c r="AS197" s="19">
        <v>1.8251820319814429</v>
      </c>
      <c r="AT197" s="19">
        <v>1.2083104644975167</v>
      </c>
      <c r="AU197" s="19">
        <v>0.92003066244259246</v>
      </c>
      <c r="AV197" s="19">
        <v>0.20877651977569017</v>
      </c>
      <c r="AW197" s="19">
        <v>0.38718094874519554</v>
      </c>
      <c r="AX197" s="19">
        <v>0.94930272421970974</v>
      </c>
      <c r="AY197" s="19">
        <v>0.33011610329075181</v>
      </c>
      <c r="AZ197" s="19">
        <v>0.34085723601727103</v>
      </c>
      <c r="BA197" s="19">
        <v>0.41469547341222046</v>
      </c>
      <c r="BB197" s="19">
        <v>0.21272844655795159</v>
      </c>
      <c r="BC197" s="19">
        <v>0.91235706046345844</v>
      </c>
      <c r="BD197" s="19">
        <v>0.46406592376952083</v>
      </c>
      <c r="BE197" s="19">
        <v>0.50860144657786888</v>
      </c>
      <c r="BF197" s="19">
        <v>0.83359565378622646</v>
      </c>
      <c r="BG197" s="19">
        <v>0.79152944162864447</v>
      </c>
      <c r="BH197" s="19">
        <v>0.57191014865995105</v>
      </c>
      <c r="BI197" s="19">
        <v>0.59035348806803123</v>
      </c>
    </row>
    <row r="198" spans="1:61" x14ac:dyDescent="0.55000000000000004">
      <c r="A198" s="19" t="s">
        <v>1037</v>
      </c>
      <c r="B198" s="19" t="s">
        <v>1038</v>
      </c>
      <c r="C198" s="19" t="s">
        <v>8</v>
      </c>
      <c r="D198" s="19" t="s">
        <v>9</v>
      </c>
      <c r="E198" s="19">
        <v>2540</v>
      </c>
      <c r="F198" s="19">
        <v>73.141916946263905</v>
      </c>
      <c r="G198" s="19">
        <v>44.935643621343409</v>
      </c>
      <c r="H198" s="19">
        <v>114136.53479821226</v>
      </c>
      <c r="I198" s="19">
        <v>46.15663242015215</v>
      </c>
      <c r="J198" s="19">
        <v>12.712616583444873</v>
      </c>
      <c r="K198" s="19">
        <v>32.067829110031248</v>
      </c>
      <c r="L198" s="19">
        <v>55.360465014583617</v>
      </c>
      <c r="M198" s="19">
        <v>51.672434624932549</v>
      </c>
      <c r="N198" s="19">
        <v>12.973206062930256</v>
      </c>
      <c r="O198" s="19">
        <v>20.097735849164049</v>
      </c>
      <c r="P198" s="19">
        <v>54.290008144759163</v>
      </c>
      <c r="Q198" s="19">
        <v>1015.7892491812254</v>
      </c>
      <c r="R198" s="19">
        <v>274.43954142035091</v>
      </c>
      <c r="S198" s="19">
        <v>1541.7498129544324</v>
      </c>
      <c r="T198" s="19">
        <v>1565.3025019111606</v>
      </c>
      <c r="U198" s="19">
        <v>30.169348212894675</v>
      </c>
      <c r="V198" s="19">
        <v>13.657031960852713</v>
      </c>
      <c r="W198" s="19">
        <v>38.336693589537319</v>
      </c>
      <c r="X198" s="19">
        <v>39.737831546231305</v>
      </c>
      <c r="Y198" s="19">
        <v>23.630372160961638</v>
      </c>
      <c r="Z198" s="19">
        <v>14.068589401630174</v>
      </c>
      <c r="AA198" s="19">
        <v>23.085691748226022</v>
      </c>
      <c r="AB198" s="19">
        <v>34.091216112105066</v>
      </c>
      <c r="AC198" s="19">
        <v>29.226002617775986</v>
      </c>
      <c r="AD198" s="19">
        <v>10.288562649296971</v>
      </c>
      <c r="AE198" s="19">
        <v>32.232633713924713</v>
      </c>
      <c r="AF198" s="19">
        <v>41.11996891315335</v>
      </c>
      <c r="AG198" s="19">
        <v>605.9463097464884</v>
      </c>
      <c r="AH198" s="19">
        <v>99.018524263907224</v>
      </c>
      <c r="AI198" s="19">
        <v>1334.8625392240897</v>
      </c>
      <c r="AJ198" s="19">
        <v>1378.3523277755953</v>
      </c>
      <c r="AK198" s="19">
        <v>1236.716846169199</v>
      </c>
      <c r="AL198" s="19">
        <v>3718.9557535025642</v>
      </c>
      <c r="AM198" s="19">
        <v>2038.7158960029599</v>
      </c>
      <c r="AN198" s="19">
        <v>3846.107901262053</v>
      </c>
      <c r="AO198" s="19"/>
      <c r="AP198" s="19">
        <v>1.2319944826224467</v>
      </c>
      <c r="AQ198" s="19">
        <v>1.2081724833462193</v>
      </c>
      <c r="AR198" s="19">
        <v>0.88432763712227636</v>
      </c>
      <c r="AS198" s="19">
        <v>0.75866758245146204</v>
      </c>
      <c r="AT198" s="19">
        <v>0.91508578934924389</v>
      </c>
      <c r="AU198" s="19">
        <v>0.8337471950062757</v>
      </c>
      <c r="AV198" s="19">
        <v>0.22963348628115726</v>
      </c>
      <c r="AW198" s="19">
        <v>0.57925505325115334</v>
      </c>
      <c r="AX198" s="19">
        <v>0.95178535407754772</v>
      </c>
      <c r="AY198" s="19">
        <v>0.23896121047428159</v>
      </c>
      <c r="AZ198" s="19">
        <v>0.37019216861370402</v>
      </c>
      <c r="BA198" s="19">
        <v>0.7592097263232751</v>
      </c>
      <c r="BB198" s="19">
        <v>0.3436783394927832</v>
      </c>
      <c r="BC198" s="19">
        <v>0.96474045255680618</v>
      </c>
      <c r="BD198" s="19">
        <v>0.69315134089836694</v>
      </c>
      <c r="BE198" s="19">
        <v>0.4126749059161523</v>
      </c>
      <c r="BF198" s="19">
        <v>0.67717419268093471</v>
      </c>
      <c r="BG198" s="19">
        <v>0.71074962822812948</v>
      </c>
      <c r="BH198" s="19">
        <v>0.25020842479299377</v>
      </c>
      <c r="BI198" s="19">
        <v>0.78386814401540617</v>
      </c>
    </row>
    <row r="199" spans="1:61" x14ac:dyDescent="0.55000000000000004">
      <c r="A199" s="19" t="s">
        <v>1051</v>
      </c>
      <c r="B199" s="19" t="s">
        <v>1052</v>
      </c>
      <c r="C199" s="19" t="s">
        <v>8</v>
      </c>
      <c r="D199" s="19" t="s">
        <v>9</v>
      </c>
      <c r="E199" s="19">
        <v>2378</v>
      </c>
      <c r="F199" s="19">
        <v>68.259774857934389</v>
      </c>
      <c r="G199" s="19">
        <v>36.617210147771971</v>
      </c>
      <c r="H199" s="19">
        <v>87075.725731401748</v>
      </c>
      <c r="I199" s="19">
        <v>28.582117611766684</v>
      </c>
      <c r="J199" s="19">
        <v>23.131195241062141</v>
      </c>
      <c r="K199" s="19">
        <v>11.731892976493583</v>
      </c>
      <c r="L199" s="19">
        <v>33.7128859004684</v>
      </c>
      <c r="M199" s="19">
        <v>34.728187408060016</v>
      </c>
      <c r="N199" s="19">
        <v>11.995159626096513</v>
      </c>
      <c r="O199" s="19">
        <v>8.8979093762111905</v>
      </c>
      <c r="P199" s="19">
        <v>36.429517928510194</v>
      </c>
      <c r="Q199" s="19">
        <v>585.29253642148342</v>
      </c>
      <c r="R199" s="19">
        <v>76.797536976202238</v>
      </c>
      <c r="S199" s="19">
        <v>900.73100380332221</v>
      </c>
      <c r="T199" s="19">
        <v>1053.6904297016683</v>
      </c>
      <c r="U199" s="19">
        <v>35.050663080285155</v>
      </c>
      <c r="V199" s="19">
        <v>11.110936171770771</v>
      </c>
      <c r="W199" s="19">
        <v>56.318088766328998</v>
      </c>
      <c r="X199" s="19">
        <v>59.610886528332145</v>
      </c>
      <c r="Y199" s="19">
        <v>26.667459735892649</v>
      </c>
      <c r="Z199" s="19">
        <v>26.435797118823906</v>
      </c>
      <c r="AA199" s="19">
        <v>37.97593207904761</v>
      </c>
      <c r="AB199" s="19">
        <v>50.275823727549991</v>
      </c>
      <c r="AC199" s="19">
        <v>31.932020531538154</v>
      </c>
      <c r="AD199" s="19">
        <v>18.448923788489616</v>
      </c>
      <c r="AE199" s="19">
        <v>29.227313381629216</v>
      </c>
      <c r="AF199" s="19">
        <v>44.840159400183836</v>
      </c>
      <c r="AG199" s="19">
        <v>766.98829203423281</v>
      </c>
      <c r="AH199" s="19">
        <v>573.34130171380139</v>
      </c>
      <c r="AI199" s="19">
        <v>2052.0369066629382</v>
      </c>
      <c r="AJ199" s="19">
        <v>2136.0900963411768</v>
      </c>
      <c r="AK199" s="19">
        <v>2038.1601238637948</v>
      </c>
      <c r="AL199" s="19">
        <v>1394.0105864202192</v>
      </c>
      <c r="AM199" s="19">
        <v>2515.6648971338941</v>
      </c>
      <c r="AN199" s="19">
        <v>3129.7145771786677</v>
      </c>
      <c r="AO199" s="19"/>
      <c r="AP199" s="19">
        <v>0.92068417458394802</v>
      </c>
      <c r="AQ199" s="19">
        <v>0.99487420755146749</v>
      </c>
      <c r="AR199" s="19">
        <v>1.6279472490604054</v>
      </c>
      <c r="AS199" s="19">
        <v>1.3730107652837964</v>
      </c>
      <c r="AT199" s="19">
        <v>1.2245651489894351</v>
      </c>
      <c r="AU199" s="19">
        <v>0.84780987590770351</v>
      </c>
      <c r="AV199" s="19">
        <v>0.68612326186945505</v>
      </c>
      <c r="AW199" s="19">
        <v>0.34799432511147266</v>
      </c>
      <c r="AX199" s="19">
        <v>0.95329802266972363</v>
      </c>
      <c r="AY199" s="19">
        <v>0.32927033647922505</v>
      </c>
      <c r="AZ199" s="19">
        <v>0.24424998962853625</v>
      </c>
      <c r="BA199" s="19">
        <v>0.58799097147508639</v>
      </c>
      <c r="BB199" s="19">
        <v>0.1863910573866388</v>
      </c>
      <c r="BC199" s="19">
        <v>0.94476180520418651</v>
      </c>
      <c r="BD199" s="19">
        <v>0.53042312902532307</v>
      </c>
      <c r="BE199" s="19">
        <v>0.5258152956793366</v>
      </c>
      <c r="BF199" s="19">
        <v>0.75535176280438898</v>
      </c>
      <c r="BG199" s="19">
        <v>0.71212995133570467</v>
      </c>
      <c r="BH199" s="19">
        <v>0.41143751572867909</v>
      </c>
      <c r="BI199" s="19">
        <v>0.65181109462134046</v>
      </c>
    </row>
    <row r="200" spans="1:61" x14ac:dyDescent="0.55000000000000004">
      <c r="A200" s="19" t="s">
        <v>1065</v>
      </c>
      <c r="B200" s="19" t="s">
        <v>1066</v>
      </c>
      <c r="C200" s="19" t="s">
        <v>8</v>
      </c>
      <c r="D200" s="19" t="s">
        <v>9</v>
      </c>
      <c r="E200" s="19">
        <v>2041</v>
      </c>
      <c r="F200" s="19">
        <v>69.830029129887265</v>
      </c>
      <c r="G200" s="19">
        <v>33.872166842639395</v>
      </c>
      <c r="H200" s="19">
        <v>69133.092525827</v>
      </c>
      <c r="I200" s="19">
        <v>31.543817476780447</v>
      </c>
      <c r="J200" s="19">
        <v>15.504857466258931</v>
      </c>
      <c r="K200" s="19">
        <v>25.960621005884363</v>
      </c>
      <c r="L200" s="19">
        <v>41.720711852793642</v>
      </c>
      <c r="M200" s="19">
        <v>33.988539170064776</v>
      </c>
      <c r="N200" s="19">
        <v>15.659220601390173</v>
      </c>
      <c r="O200" s="19">
        <v>10.211006545844608</v>
      </c>
      <c r="P200" s="19">
        <v>37.775416315837525</v>
      </c>
      <c r="Q200" s="19">
        <v>409.29647696971432</v>
      </c>
      <c r="R200" s="19">
        <v>58.752363462111482</v>
      </c>
      <c r="S200" s="19">
        <v>928.46902105589209</v>
      </c>
      <c r="T200" s="19">
        <v>954.00818370352317</v>
      </c>
      <c r="U200" s="19">
        <v>21.253245485880946</v>
      </c>
      <c r="V200" s="19">
        <v>7.3961848075324781</v>
      </c>
      <c r="W200" s="19">
        <v>48.177708272881119</v>
      </c>
      <c r="X200" s="19">
        <v>51.481957751245261</v>
      </c>
      <c r="Y200" s="19">
        <v>28.096965208189197</v>
      </c>
      <c r="Z200" s="19">
        <v>18.639075414995816</v>
      </c>
      <c r="AA200" s="19">
        <v>11.947255848458934</v>
      </c>
      <c r="AB200" s="19">
        <v>33.576080639596583</v>
      </c>
      <c r="AC200" s="19">
        <v>36.757363422434914</v>
      </c>
      <c r="AD200" s="19">
        <v>18.900760341402535</v>
      </c>
      <c r="AE200" s="19">
        <v>30.847728741315287</v>
      </c>
      <c r="AF200" s="19">
        <v>49.732065780969599</v>
      </c>
      <c r="AG200" s="19">
        <v>666.87814347134986</v>
      </c>
      <c r="AH200" s="19">
        <v>67.441234027573302</v>
      </c>
      <c r="AI200" s="19">
        <v>1733.8806849757168</v>
      </c>
      <c r="AJ200" s="19">
        <v>1828.6991421383218</v>
      </c>
      <c r="AK200" s="19">
        <v>1098.8317761326919</v>
      </c>
      <c r="AL200" s="19">
        <v>1840.2604108800499</v>
      </c>
      <c r="AM200" s="19">
        <v>2085.6290695356402</v>
      </c>
      <c r="AN200" s="19">
        <v>2356.392971756075</v>
      </c>
      <c r="AO200" s="19"/>
      <c r="AP200" s="19">
        <v>1.2317107448902336</v>
      </c>
      <c r="AQ200" s="19">
        <v>1.1152347144288564</v>
      </c>
      <c r="AR200" s="19">
        <v>1.5198897073935667</v>
      </c>
      <c r="AS200" s="19">
        <v>0.99125871679782562</v>
      </c>
      <c r="AT200" s="19">
        <v>1.4682280591026506</v>
      </c>
      <c r="AU200" s="19">
        <v>0.75607093158139049</v>
      </c>
      <c r="AV200" s="19">
        <v>0.37163453780381067</v>
      </c>
      <c r="AW200" s="19">
        <v>0.62224779619013204</v>
      </c>
      <c r="AX200" s="19">
        <v>0.89975286799989329</v>
      </c>
      <c r="AY200" s="19">
        <v>0.41453469289297995</v>
      </c>
      <c r="AZ200" s="19">
        <v>0.27030824651861202</v>
      </c>
      <c r="BA200" s="19">
        <v>0.41282900678669054</v>
      </c>
      <c r="BB200" s="19">
        <v>0.14366557004824815</v>
      </c>
      <c r="BC200" s="19">
        <v>0.93581733052325078</v>
      </c>
      <c r="BD200" s="19">
        <v>0.83681491922122042</v>
      </c>
      <c r="BE200" s="19">
        <v>0.55512957617258585</v>
      </c>
      <c r="BF200" s="19">
        <v>0.35582639846204756</v>
      </c>
      <c r="BG200" s="19">
        <v>0.73910791448563617</v>
      </c>
      <c r="BH200" s="19">
        <v>0.3800517843888776</v>
      </c>
      <c r="BI200" s="19">
        <v>0.62027845127477965</v>
      </c>
    </row>
    <row r="201" spans="1:61" x14ac:dyDescent="0.55000000000000004">
      <c r="A201" s="19" t="s">
        <v>1151</v>
      </c>
      <c r="B201" s="19" t="s">
        <v>1152</v>
      </c>
      <c r="C201" s="19" t="s">
        <v>8</v>
      </c>
      <c r="D201" s="19" t="s">
        <v>9</v>
      </c>
      <c r="E201" s="19">
        <v>2169</v>
      </c>
      <c r="F201" s="19">
        <v>73.262272947304595</v>
      </c>
      <c r="G201" s="19">
        <v>41.886308199166294</v>
      </c>
      <c r="H201" s="19">
        <v>90851.402483991696</v>
      </c>
      <c r="I201" s="19">
        <v>39.114097286922089</v>
      </c>
      <c r="J201" s="19">
        <v>12.740143434234431</v>
      </c>
      <c r="K201" s="19">
        <v>19.80138268978132</v>
      </c>
      <c r="L201" s="19">
        <v>44.068550186713011</v>
      </c>
      <c r="M201" s="19">
        <v>33.680936846870338</v>
      </c>
      <c r="N201" s="19">
        <v>12.342273820394954</v>
      </c>
      <c r="O201" s="19">
        <v>11.143754319563007</v>
      </c>
      <c r="P201" s="19">
        <v>36.464303403988431</v>
      </c>
      <c r="Q201" s="19">
        <v>607.73207137386544</v>
      </c>
      <c r="R201" s="19">
        <v>55.688776334696627</v>
      </c>
      <c r="S201" s="19">
        <v>686.33567333082556</v>
      </c>
      <c r="T201" s="19">
        <v>732.70473325186549</v>
      </c>
      <c r="U201" s="19">
        <v>26.151360181438022</v>
      </c>
      <c r="V201" s="19">
        <v>15.484139615330189</v>
      </c>
      <c r="W201" s="19">
        <v>34.498960531333964</v>
      </c>
      <c r="X201" s="19">
        <v>37.965270506599268</v>
      </c>
      <c r="Y201" s="19">
        <v>23.076993526299482</v>
      </c>
      <c r="Z201" s="19">
        <v>18.267287547048038</v>
      </c>
      <c r="AA201" s="19">
        <v>18.277885773214969</v>
      </c>
      <c r="AB201" s="19">
        <v>31.155309793253821</v>
      </c>
      <c r="AC201" s="19">
        <v>31.154328843060942</v>
      </c>
      <c r="AD201" s="19">
        <v>12.472932369456943</v>
      </c>
      <c r="AE201" s="19">
        <v>28.514194176224269</v>
      </c>
      <c r="AF201" s="19">
        <v>39.067131884743688</v>
      </c>
      <c r="AG201" s="19">
        <v>680.61759683186506</v>
      </c>
      <c r="AH201" s="19">
        <v>64.936711326256827</v>
      </c>
      <c r="AI201" s="19">
        <v>1219.1512037296654</v>
      </c>
      <c r="AJ201" s="19">
        <v>1326.2452373210103</v>
      </c>
      <c r="AK201" s="19">
        <v>635.22097375064232</v>
      </c>
      <c r="AL201" s="19">
        <v>3150.1484106185881</v>
      </c>
      <c r="AM201" s="19">
        <v>812.27025792501979</v>
      </c>
      <c r="AN201" s="19">
        <v>3168.3508461398583</v>
      </c>
      <c r="AO201" s="19"/>
      <c r="AP201" s="19">
        <v>1.0520991722920607</v>
      </c>
      <c r="AQ201" s="19">
        <v>0.8705542448525988</v>
      </c>
      <c r="AR201" s="19">
        <v>0.9063885584300535</v>
      </c>
      <c r="AS201" s="19">
        <v>0.74380653566107158</v>
      </c>
      <c r="AT201" s="19">
        <v>0.93269456212236157</v>
      </c>
      <c r="AU201" s="19">
        <v>0.88757395288023966</v>
      </c>
      <c r="AV201" s="19">
        <v>0.28909831115968226</v>
      </c>
      <c r="AW201" s="19">
        <v>0.44933138498737318</v>
      </c>
      <c r="AX201" s="19">
        <v>0.92366873086039403</v>
      </c>
      <c r="AY201" s="19">
        <v>0.33847551353593025</v>
      </c>
      <c r="AZ201" s="19">
        <v>0.30560721799896262</v>
      </c>
      <c r="BA201" s="19">
        <v>0.68882322797864148</v>
      </c>
      <c r="BB201" s="19">
        <v>0.40785010639233238</v>
      </c>
      <c r="BC201" s="19">
        <v>0.90869787231826049</v>
      </c>
      <c r="BD201" s="19">
        <v>0.74070820285332017</v>
      </c>
      <c r="BE201" s="19">
        <v>0.58632983168100372</v>
      </c>
      <c r="BF201" s="19">
        <v>0.58667000567501182</v>
      </c>
      <c r="BG201" s="19">
        <v>0.79745625901007555</v>
      </c>
      <c r="BH201" s="19">
        <v>0.3192692109125066</v>
      </c>
      <c r="BI201" s="19">
        <v>0.72987682485489802</v>
      </c>
    </row>
    <row r="202" spans="1:61" x14ac:dyDescent="0.55000000000000004">
      <c r="A202" s="19" t="s">
        <v>1155</v>
      </c>
      <c r="B202" s="19" t="s">
        <v>1156</v>
      </c>
      <c r="C202" s="19" t="s">
        <v>134</v>
      </c>
      <c r="D202" s="19" t="s">
        <v>9</v>
      </c>
      <c r="E202" s="19">
        <v>1736</v>
      </c>
      <c r="F202" s="19">
        <v>70.64839364981593</v>
      </c>
      <c r="G202" s="19">
        <v>49.354982621403494</v>
      </c>
      <c r="H202" s="19">
        <v>85680.249830756467</v>
      </c>
      <c r="I202" s="19">
        <v>32.291792892217643</v>
      </c>
      <c r="J202" s="19">
        <v>46.119675013273067</v>
      </c>
      <c r="K202" s="19">
        <v>29.487018526922387</v>
      </c>
      <c r="L202" s="19">
        <v>56.314034130234646</v>
      </c>
      <c r="M202" s="19">
        <v>36.157410181860755</v>
      </c>
      <c r="N202" s="19">
        <v>13.477833958434996</v>
      </c>
      <c r="O202" s="19">
        <v>16.960473469293209</v>
      </c>
      <c r="P202" s="19">
        <v>39.958120268447054</v>
      </c>
      <c r="Q202" s="19">
        <v>209.09146965766348</v>
      </c>
      <c r="R202" s="19">
        <v>71.656367781305732</v>
      </c>
      <c r="S202" s="19">
        <v>1498.6872404618052</v>
      </c>
      <c r="T202" s="19">
        <v>1498.6907796117878</v>
      </c>
      <c r="U202" s="19">
        <v>20.446724539181773</v>
      </c>
      <c r="V202" s="19">
        <v>10.321455659744794</v>
      </c>
      <c r="W202" s="19">
        <v>44.175046083636254</v>
      </c>
      <c r="X202" s="19">
        <v>48.447370706431983</v>
      </c>
      <c r="Y202" s="19">
        <v>32.950361998697474</v>
      </c>
      <c r="Z202" s="19">
        <v>22.036023384919417</v>
      </c>
      <c r="AA202" s="19">
        <v>16.449588629716796</v>
      </c>
      <c r="AB202" s="19">
        <v>40.330748540132312</v>
      </c>
      <c r="AC202" s="19">
        <v>45.427472280466702</v>
      </c>
      <c r="AD202" s="19">
        <v>28.244186064901587</v>
      </c>
      <c r="AE202" s="19">
        <v>36.961367583230007</v>
      </c>
      <c r="AF202" s="19">
        <v>56.828297181936904</v>
      </c>
      <c r="AG202" s="19">
        <v>679.4340623616639</v>
      </c>
      <c r="AH202" s="19">
        <v>434.6265751388043</v>
      </c>
      <c r="AI202" s="19">
        <v>1569.6458257613965</v>
      </c>
      <c r="AJ202" s="19">
        <v>1678.1826071776306</v>
      </c>
      <c r="AK202" s="19">
        <v>1297.5706913961449</v>
      </c>
      <c r="AL202" s="19">
        <v>2376.6943899710418</v>
      </c>
      <c r="AM202" s="19">
        <v>780.60460974925627</v>
      </c>
      <c r="AN202" s="19">
        <v>2605.8843205712437</v>
      </c>
      <c r="AO202" s="19"/>
      <c r="AP202" s="19">
        <v>1.1409999789122256</v>
      </c>
      <c r="AQ202" s="19">
        <v>0.80960661206106155</v>
      </c>
      <c r="AR202" s="19">
        <v>0.98161053116088193</v>
      </c>
      <c r="AS202" s="19">
        <v>0.81715657463614033</v>
      </c>
      <c r="AT202" s="19">
        <v>1.1514196574206168</v>
      </c>
      <c r="AU202" s="19">
        <v>0.5734235415906811</v>
      </c>
      <c r="AV202" s="19">
        <v>0.81897302733834354</v>
      </c>
      <c r="AW202" s="19">
        <v>0.52361758453903762</v>
      </c>
      <c r="AX202" s="19">
        <v>0.90488266061936018</v>
      </c>
      <c r="AY202" s="19">
        <v>0.33729899874889191</v>
      </c>
      <c r="AZ202" s="19">
        <v>0.42445623956655576</v>
      </c>
      <c r="BA202" s="19">
        <v>0.42203992169315435</v>
      </c>
      <c r="BB202" s="19">
        <v>0.213044702101336</v>
      </c>
      <c r="BC202" s="19">
        <v>0.91181513959376692</v>
      </c>
      <c r="BD202" s="19">
        <v>0.81700348224157648</v>
      </c>
      <c r="BE202" s="19">
        <v>0.54638270259208843</v>
      </c>
      <c r="BF202" s="19">
        <v>0.40786717889324925</v>
      </c>
      <c r="BG202" s="19">
        <v>0.79938119798011475</v>
      </c>
      <c r="BH202" s="19">
        <v>0.49700919199597471</v>
      </c>
      <c r="BI202" s="19">
        <v>0.65040427772976317</v>
      </c>
    </row>
    <row r="203" spans="1:61" x14ac:dyDescent="0.55000000000000004">
      <c r="A203" s="19" t="s">
        <v>1161</v>
      </c>
      <c r="B203" s="19" t="s">
        <v>1162</v>
      </c>
      <c r="C203" s="19" t="s">
        <v>8</v>
      </c>
      <c r="D203" s="19" t="s">
        <v>9</v>
      </c>
      <c r="E203" s="19">
        <v>2159</v>
      </c>
      <c r="F203" s="19">
        <v>70.194231571944314</v>
      </c>
      <c r="G203" s="19">
        <v>43.300810255888997</v>
      </c>
      <c r="H203" s="19">
        <v>93486.449342464344</v>
      </c>
      <c r="I203" s="19">
        <v>33.603287012169673</v>
      </c>
      <c r="J203" s="19">
        <v>29.171703431819097</v>
      </c>
      <c r="K203" s="19">
        <v>22.464576376122608</v>
      </c>
      <c r="L203" s="19">
        <v>39.322818272194141</v>
      </c>
      <c r="M203" s="19">
        <v>36.198253492114169</v>
      </c>
      <c r="N203" s="19">
        <v>17.219968035428586</v>
      </c>
      <c r="O203" s="19">
        <v>17.631368445288153</v>
      </c>
      <c r="P203" s="19">
        <v>42.972862686419489</v>
      </c>
      <c r="Q203" s="19">
        <v>680.62921681809894</v>
      </c>
      <c r="R203" s="19">
        <v>249.57841392377981</v>
      </c>
      <c r="S203" s="19">
        <v>964.90418956146129</v>
      </c>
      <c r="T203" s="19">
        <v>1179.7034577689421</v>
      </c>
      <c r="U203" s="19">
        <v>50.180546599330064</v>
      </c>
      <c r="V203" s="19">
        <v>12.832563945520974</v>
      </c>
      <c r="W203" s="19">
        <v>61.289963134090954</v>
      </c>
      <c r="X203" s="19">
        <v>64.685306704323963</v>
      </c>
      <c r="Y203" s="19">
        <v>28.056553423414414</v>
      </c>
      <c r="Z203" s="19">
        <v>29.473232925617207</v>
      </c>
      <c r="AA203" s="19">
        <v>26.728314158886565</v>
      </c>
      <c r="AB203" s="19">
        <v>44.634236887721102</v>
      </c>
      <c r="AC203" s="19">
        <v>36.994572933411291</v>
      </c>
      <c r="AD203" s="19">
        <v>28.928498663456612</v>
      </c>
      <c r="AE203" s="19">
        <v>51.726792232596026</v>
      </c>
      <c r="AF203" s="19">
        <v>61.151933670136621</v>
      </c>
      <c r="AG203" s="19">
        <v>763.65530896930068</v>
      </c>
      <c r="AH203" s="19">
        <v>970.58550430750086</v>
      </c>
      <c r="AI203" s="19">
        <v>2161.9953424171927</v>
      </c>
      <c r="AJ203" s="19">
        <v>2245.4154037306298</v>
      </c>
      <c r="AK203" s="19">
        <v>1864.5201383252936</v>
      </c>
      <c r="AL203" s="19">
        <v>3858.0898623828375</v>
      </c>
      <c r="AM203" s="19">
        <v>1999.3293982871917</v>
      </c>
      <c r="AN203" s="19">
        <v>4265.3468691089984</v>
      </c>
      <c r="AO203" s="19"/>
      <c r="AP203" s="19">
        <v>0.90813123449222655</v>
      </c>
      <c r="AQ203" s="19">
        <v>0.9924262948538034</v>
      </c>
      <c r="AR203" s="19">
        <v>1.4938590368647116</v>
      </c>
      <c r="AS203" s="19">
        <v>1.0307944960833788</v>
      </c>
      <c r="AT203" s="19">
        <v>1.4122584152295357</v>
      </c>
      <c r="AU203" s="19">
        <v>0.85454930467003554</v>
      </c>
      <c r="AV203" s="19">
        <v>0.74185179785160327</v>
      </c>
      <c r="AW203" s="19">
        <v>0.57128602076844803</v>
      </c>
      <c r="AX203" s="19">
        <v>0.84235145692431912</v>
      </c>
      <c r="AY203" s="19">
        <v>0.40071726570989025</v>
      </c>
      <c r="AZ203" s="19">
        <v>0.41029075893657213</v>
      </c>
      <c r="BA203" s="19">
        <v>0.7757642215210474</v>
      </c>
      <c r="BB203" s="19">
        <v>0.19838452655374311</v>
      </c>
      <c r="BC203" s="19">
        <v>0.94750981724871308</v>
      </c>
      <c r="BD203" s="19">
        <v>0.62858817311006354</v>
      </c>
      <c r="BE203" s="19">
        <v>0.66032792270557017</v>
      </c>
      <c r="BF203" s="19">
        <v>0.59882986744284494</v>
      </c>
      <c r="BG203" s="19">
        <v>0.60496162121325514</v>
      </c>
      <c r="BH203" s="19">
        <v>0.47305942637074394</v>
      </c>
      <c r="BI203" s="19">
        <v>0.84587337027834109</v>
      </c>
    </row>
    <row r="204" spans="1:61" x14ac:dyDescent="0.55000000000000004">
      <c r="A204" s="19" t="s">
        <v>1165</v>
      </c>
      <c r="B204" s="19" t="s">
        <v>1166</v>
      </c>
      <c r="C204" s="19" t="s">
        <v>8</v>
      </c>
      <c r="D204" s="19" t="s">
        <v>9</v>
      </c>
      <c r="E204" s="19">
        <v>1758</v>
      </c>
      <c r="F204" s="19">
        <v>71.660360414689663</v>
      </c>
      <c r="G204" s="19">
        <v>42.127065432617833</v>
      </c>
      <c r="H204" s="19">
        <v>74059.38103054215</v>
      </c>
      <c r="I204" s="19">
        <v>47.124042016867605</v>
      </c>
      <c r="J204" s="19">
        <v>15.279526175927144</v>
      </c>
      <c r="K204" s="19">
        <v>26.379051308078694</v>
      </c>
      <c r="L204" s="19">
        <v>54.315845942779156</v>
      </c>
      <c r="M204" s="19">
        <v>42.402432390783424</v>
      </c>
      <c r="N204" s="19">
        <v>17.387129660933478</v>
      </c>
      <c r="O204" s="19">
        <v>19.202408139857702</v>
      </c>
      <c r="P204" s="19">
        <v>49.051532696879875</v>
      </c>
      <c r="Q204" s="19">
        <v>534.17213187709308</v>
      </c>
      <c r="R204" s="19">
        <v>113.2067861377237</v>
      </c>
      <c r="S204" s="19">
        <v>1377.0330033074551</v>
      </c>
      <c r="T204" s="19">
        <v>1380.2192240551631</v>
      </c>
      <c r="U204" s="19">
        <v>32.895768042041823</v>
      </c>
      <c r="V204" s="19">
        <v>22.883089206436608</v>
      </c>
      <c r="W204" s="19">
        <v>48.148326073261003</v>
      </c>
      <c r="X204" s="19">
        <v>60.322236104846127</v>
      </c>
      <c r="Y204" s="19">
        <v>31.564122698162329</v>
      </c>
      <c r="Z204" s="19">
        <v>30.325854516552482</v>
      </c>
      <c r="AA204" s="19">
        <v>38.590683766582998</v>
      </c>
      <c r="AB204" s="19">
        <v>51.702017761357894</v>
      </c>
      <c r="AC204" s="19">
        <v>35.448854854256084</v>
      </c>
      <c r="AD204" s="19">
        <v>23.069685408148704</v>
      </c>
      <c r="AE204" s="19">
        <v>75.861636008820497</v>
      </c>
      <c r="AF204" s="19">
        <v>77.591132625337039</v>
      </c>
      <c r="AG204" s="19">
        <v>1091.2531735769046</v>
      </c>
      <c r="AH204" s="19">
        <v>82.793791638047423</v>
      </c>
      <c r="AI204" s="19">
        <v>2027.924816072762</v>
      </c>
      <c r="AJ204" s="19">
        <v>2251.4508610453777</v>
      </c>
      <c r="AK204" s="19">
        <v>4153.4522520233013</v>
      </c>
      <c r="AL204" s="19">
        <v>4141.5620172986391</v>
      </c>
      <c r="AM204" s="19">
        <v>895.79522207757464</v>
      </c>
      <c r="AN204" s="19">
        <v>5392.0933238569996</v>
      </c>
      <c r="AO204" s="19"/>
      <c r="AP204" s="19">
        <v>1.2893337189521843</v>
      </c>
      <c r="AQ204" s="19">
        <v>1.1643709855683566</v>
      </c>
      <c r="AR204" s="19">
        <v>1.4319116578706732</v>
      </c>
      <c r="AS204" s="19">
        <v>1.2272874274628784</v>
      </c>
      <c r="AT204" s="19">
        <v>1.8418356899187274</v>
      </c>
      <c r="AU204" s="19">
        <v>0.86759289483426261</v>
      </c>
      <c r="AV204" s="19">
        <v>0.28130881349107351</v>
      </c>
      <c r="AW204" s="19">
        <v>0.48566032343247656</v>
      </c>
      <c r="AX204" s="19">
        <v>0.86444663519108766</v>
      </c>
      <c r="AY204" s="19">
        <v>0.35446659268283087</v>
      </c>
      <c r="AZ204" s="19">
        <v>0.39147417183722683</v>
      </c>
      <c r="BA204" s="19">
        <v>0.54533402881261994</v>
      </c>
      <c r="BB204" s="19">
        <v>0.37934749578353649</v>
      </c>
      <c r="BC204" s="19">
        <v>0.79818536550227281</v>
      </c>
      <c r="BD204" s="19">
        <v>0.6105007901984314</v>
      </c>
      <c r="BE204" s="19">
        <v>0.5865506962712399</v>
      </c>
      <c r="BF204" s="19">
        <v>0.74640575817962929</v>
      </c>
      <c r="BG204" s="19">
        <v>0.45686734623951625</v>
      </c>
      <c r="BH204" s="19">
        <v>0.29732373568439702</v>
      </c>
      <c r="BI204" s="19">
        <v>0.97771012539708979</v>
      </c>
    </row>
    <row r="205" spans="1:61" x14ac:dyDescent="0.55000000000000004">
      <c r="A205" s="19" t="s">
        <v>1179</v>
      </c>
      <c r="B205" s="19" t="s">
        <v>1180</v>
      </c>
      <c r="C205" s="19" t="s">
        <v>8</v>
      </c>
      <c r="D205" s="19" t="s">
        <v>9</v>
      </c>
      <c r="E205" s="19">
        <v>1590</v>
      </c>
      <c r="F205" s="19">
        <v>71.34522547701954</v>
      </c>
      <c r="G205" s="19">
        <v>40.172903501369234</v>
      </c>
      <c r="H205" s="19">
        <v>63874.916567177082</v>
      </c>
      <c r="I205" s="19">
        <v>37.047280944340102</v>
      </c>
      <c r="J205" s="19">
        <v>26.407420478151671</v>
      </c>
      <c r="K205" s="19">
        <v>28.548766991907367</v>
      </c>
      <c r="L205" s="19">
        <v>49.966629715891251</v>
      </c>
      <c r="M205" s="19">
        <v>41.711340192253033</v>
      </c>
      <c r="N205" s="19">
        <v>14.646884874252788</v>
      </c>
      <c r="O205" s="19">
        <v>10.216916590731024</v>
      </c>
      <c r="P205" s="19">
        <v>44.27396809068231</v>
      </c>
      <c r="Q205" s="19">
        <v>537.6316501016704</v>
      </c>
      <c r="R205" s="19">
        <v>636.82617342931951</v>
      </c>
      <c r="S205" s="19">
        <v>712.91918206678417</v>
      </c>
      <c r="T205" s="19">
        <v>863.80062051490086</v>
      </c>
      <c r="U205" s="19">
        <v>21.554588310684718</v>
      </c>
      <c r="V205" s="19">
        <v>10.585722014301535</v>
      </c>
      <c r="W205" s="19">
        <v>53.966222269874919</v>
      </c>
      <c r="X205" s="19">
        <v>57.88205261023338</v>
      </c>
      <c r="Y205" s="19">
        <v>35.547460068016555</v>
      </c>
      <c r="Z205" s="19">
        <v>28.512068849536316</v>
      </c>
      <c r="AA205" s="19">
        <v>12.32729578941062</v>
      </c>
      <c r="AB205" s="19">
        <v>45.373237138521034</v>
      </c>
      <c r="AC205" s="19">
        <v>46.353485627597458</v>
      </c>
      <c r="AD205" s="19">
        <v>23.645655469503026</v>
      </c>
      <c r="AE205" s="19">
        <v>31.1299524843458</v>
      </c>
      <c r="AF205" s="19">
        <v>53.50842021965633</v>
      </c>
      <c r="AG205" s="19">
        <v>711.96970048952949</v>
      </c>
      <c r="AH205" s="19">
        <v>107.78321622422112</v>
      </c>
      <c r="AI205" s="19">
        <v>1915.8459745093392</v>
      </c>
      <c r="AJ205" s="19">
        <v>2011.9166822117763</v>
      </c>
      <c r="AK205" s="19">
        <v>1535.563298563166</v>
      </c>
      <c r="AL205" s="19">
        <v>1957.9638977449654</v>
      </c>
      <c r="AM205" s="19">
        <v>2581.8345267317636</v>
      </c>
      <c r="AN205" s="19">
        <v>2610.1309195105341</v>
      </c>
      <c r="AO205" s="19"/>
      <c r="AP205" s="19">
        <v>1.2437893545381458</v>
      </c>
      <c r="AQ205" s="19">
        <v>1.1020853419064742</v>
      </c>
      <c r="AR205" s="19">
        <v>1.4408232307196953</v>
      </c>
      <c r="AS205" s="19">
        <v>1.1294487872148589</v>
      </c>
      <c r="AT205" s="19">
        <v>1.331953021962492</v>
      </c>
      <c r="AU205" s="19">
        <v>0.74144046046310952</v>
      </c>
      <c r="AV205" s="19">
        <v>0.52850113422304978</v>
      </c>
      <c r="AW205" s="19">
        <v>0.57135666652393402</v>
      </c>
      <c r="AX205" s="19">
        <v>0.94211885654386163</v>
      </c>
      <c r="AY205" s="19">
        <v>0.33082385667923225</v>
      </c>
      <c r="AZ205" s="19">
        <v>0.2307657757218565</v>
      </c>
      <c r="BA205" s="19">
        <v>0.3723881123537407</v>
      </c>
      <c r="BB205" s="19">
        <v>0.18288435770555259</v>
      </c>
      <c r="BC205" s="19">
        <v>0.93234810854537398</v>
      </c>
      <c r="BD205" s="19">
        <v>0.783445535514534</v>
      </c>
      <c r="BE205" s="19">
        <v>0.62838956723522155</v>
      </c>
      <c r="BF205" s="19">
        <v>0.27168649553868784</v>
      </c>
      <c r="BG205" s="19">
        <v>0.86628395002716774</v>
      </c>
      <c r="BH205" s="19">
        <v>0.44190531831131857</v>
      </c>
      <c r="BI205" s="19">
        <v>0.58177670648011781</v>
      </c>
    </row>
    <row r="206" spans="1:61" x14ac:dyDescent="0.55000000000000004">
      <c r="A206" s="19" t="s">
        <v>1183</v>
      </c>
      <c r="B206" s="19" t="s">
        <v>1184</v>
      </c>
      <c r="C206" s="19" t="s">
        <v>51</v>
      </c>
      <c r="D206" s="19" t="s">
        <v>9</v>
      </c>
      <c r="E206" s="19">
        <v>2139</v>
      </c>
      <c r="F206" s="19">
        <v>71.05287299317267</v>
      </c>
      <c r="G206" s="19">
        <v>28.772330079354255</v>
      </c>
      <c r="H206" s="19">
        <v>61544.014039738751</v>
      </c>
      <c r="I206" s="19">
        <v>56.794346843529077</v>
      </c>
      <c r="J206" s="19">
        <v>26.505302161023437</v>
      </c>
      <c r="K206" s="19">
        <v>25.583725359553668</v>
      </c>
      <c r="L206" s="19">
        <v>66.023047976444161</v>
      </c>
      <c r="M206" s="19">
        <v>37.842273433348474</v>
      </c>
      <c r="N206" s="19">
        <v>16.37523011182822</v>
      </c>
      <c r="O206" s="19">
        <v>10.547492306294592</v>
      </c>
      <c r="P206" s="19">
        <v>39.698845378123522</v>
      </c>
      <c r="Q206" s="19">
        <v>595.73791828360231</v>
      </c>
      <c r="R206" s="19">
        <v>37.413595933315889</v>
      </c>
      <c r="S206" s="19">
        <v>1427.8590324914335</v>
      </c>
      <c r="T206" s="19">
        <v>1434.1314817408106</v>
      </c>
      <c r="U206" s="19">
        <v>34.077253008928089</v>
      </c>
      <c r="V206" s="19">
        <v>13.927029578188188</v>
      </c>
      <c r="W206" s="19">
        <v>59.229895144708287</v>
      </c>
      <c r="X206" s="19">
        <v>64.413815674876105</v>
      </c>
      <c r="Y206" s="19">
        <v>37.565910924451835</v>
      </c>
      <c r="Z206" s="19">
        <v>24.879305952603037</v>
      </c>
      <c r="AA206" s="19">
        <v>15.222225225722179</v>
      </c>
      <c r="AB206" s="19">
        <v>40.296078053542217</v>
      </c>
      <c r="AC206" s="19">
        <v>59.267663060924818</v>
      </c>
      <c r="AD206" s="19">
        <v>19.653508659026414</v>
      </c>
      <c r="AE206" s="19">
        <v>33.70444014871692</v>
      </c>
      <c r="AF206" s="19">
        <v>68.328510883938847</v>
      </c>
      <c r="AG206" s="19">
        <v>1040.1465318846463</v>
      </c>
      <c r="AH206" s="19">
        <v>121.07924181602311</v>
      </c>
      <c r="AI206" s="19">
        <v>2145.9831334181245</v>
      </c>
      <c r="AJ206" s="19">
        <v>2288.5671390256371</v>
      </c>
      <c r="AK206" s="19">
        <v>1457.7882002275865</v>
      </c>
      <c r="AL206" s="19">
        <v>1863.252919809592</v>
      </c>
      <c r="AM206" s="19">
        <v>1990.0628628822758</v>
      </c>
      <c r="AN206" s="19">
        <v>2135.4139115273888</v>
      </c>
      <c r="AO206" s="19"/>
      <c r="AP206" s="19">
        <v>2.29467157488991</v>
      </c>
      <c r="AQ206" s="19">
        <v>1.3797577488035857</v>
      </c>
      <c r="AR206" s="19">
        <v>2.2387417180750542</v>
      </c>
      <c r="AS206" s="19">
        <v>1.4005149371776773</v>
      </c>
      <c r="AT206" s="19">
        <v>2.3747993539448635</v>
      </c>
      <c r="AU206" s="19">
        <v>0.86022000777353202</v>
      </c>
      <c r="AV206" s="19">
        <v>0.40145529437659488</v>
      </c>
      <c r="AW206" s="19">
        <v>0.38749688394697385</v>
      </c>
      <c r="AX206" s="19">
        <v>0.95323360346902852</v>
      </c>
      <c r="AY206" s="19">
        <v>0.41248630673908637</v>
      </c>
      <c r="AZ206" s="19">
        <v>0.2656876341322234</v>
      </c>
      <c r="BA206" s="19">
        <v>0.52903639773384115</v>
      </c>
      <c r="BB206" s="19">
        <v>0.21621183952964101</v>
      </c>
      <c r="BC206" s="19">
        <v>0.91952160455245713</v>
      </c>
      <c r="BD206" s="19">
        <v>0.93224732378513975</v>
      </c>
      <c r="BE206" s="19">
        <v>0.61741259086170619</v>
      </c>
      <c r="BF206" s="19">
        <v>0.37775947340324534</v>
      </c>
      <c r="BG206" s="19">
        <v>0.86739286857276066</v>
      </c>
      <c r="BH206" s="19">
        <v>0.28763262077245305</v>
      </c>
      <c r="BI206" s="19">
        <v>0.49327052079279854</v>
      </c>
    </row>
    <row r="207" spans="1:61" x14ac:dyDescent="0.55000000000000004">
      <c r="A207" s="19" t="s">
        <v>1185</v>
      </c>
      <c r="B207" s="19" t="s">
        <v>1186</v>
      </c>
      <c r="C207" s="19" t="s">
        <v>8</v>
      </c>
      <c r="D207" s="19" t="s">
        <v>9</v>
      </c>
      <c r="E207" s="19">
        <v>1660</v>
      </c>
      <c r="F207" s="19">
        <v>75.263007265204166</v>
      </c>
      <c r="G207" s="19">
        <v>63.326150765551532</v>
      </c>
      <c r="H207" s="19">
        <v>105121.41027081554</v>
      </c>
      <c r="I207" s="19">
        <v>39.726044815971292</v>
      </c>
      <c r="J207" s="19">
        <v>22.848695830719052</v>
      </c>
      <c r="K207" s="19">
        <v>26.04913119801499</v>
      </c>
      <c r="L207" s="19">
        <v>48.224285705337088</v>
      </c>
      <c r="M207" s="19">
        <v>39.224582038300539</v>
      </c>
      <c r="N207" s="19">
        <v>11.298930362823038</v>
      </c>
      <c r="O207" s="19">
        <v>9.5613543970284525</v>
      </c>
      <c r="P207" s="19">
        <v>41.59370572488757</v>
      </c>
      <c r="Q207" s="19">
        <v>391.68751683265157</v>
      </c>
      <c r="R207" s="19">
        <v>107.57887638289583</v>
      </c>
      <c r="S207" s="19">
        <v>1090.7277044602993</v>
      </c>
      <c r="T207" s="19">
        <v>1096.7609804479787</v>
      </c>
      <c r="U207" s="19">
        <v>22.300005279102376</v>
      </c>
      <c r="V207" s="19">
        <v>11.933010063052739</v>
      </c>
      <c r="W207" s="19">
        <v>59.362691251423861</v>
      </c>
      <c r="X207" s="19">
        <v>63.257388334288372</v>
      </c>
      <c r="Y207" s="19">
        <v>28.979059808586143</v>
      </c>
      <c r="Z207" s="19">
        <v>23.583648948516441</v>
      </c>
      <c r="AA207" s="19">
        <v>17.277610341718191</v>
      </c>
      <c r="AB207" s="19">
        <v>37.240545853580848</v>
      </c>
      <c r="AC207" s="19">
        <v>47.873489180267057</v>
      </c>
      <c r="AD207" s="19">
        <v>22.028712415093281</v>
      </c>
      <c r="AE207" s="19">
        <v>36.154576419721323</v>
      </c>
      <c r="AF207" s="19">
        <v>53.417419232466564</v>
      </c>
      <c r="AG207" s="19">
        <v>779.38893536624755</v>
      </c>
      <c r="AH207" s="19">
        <v>346.22284607523676</v>
      </c>
      <c r="AI207" s="19">
        <v>2146.596050414998</v>
      </c>
      <c r="AJ207" s="19">
        <v>2255.8305747702643</v>
      </c>
      <c r="AK207" s="19">
        <v>2199.2670370565743</v>
      </c>
      <c r="AL207" s="19">
        <v>2899.8529450887427</v>
      </c>
      <c r="AM207" s="19">
        <v>2717.6788800143331</v>
      </c>
      <c r="AN207" s="19">
        <v>3495.4992409991755</v>
      </c>
      <c r="AO207" s="19"/>
      <c r="AP207" s="19">
        <v>0.76152245355753367</v>
      </c>
      <c r="AQ207" s="19">
        <v>0.65681721093197909</v>
      </c>
      <c r="AR207" s="19">
        <v>0.99891415425646612</v>
      </c>
      <c r="AS207" s="19">
        <v>0.58807531175318395</v>
      </c>
      <c r="AT207" s="19">
        <v>0.84352859895480703</v>
      </c>
      <c r="AU207" s="19">
        <v>0.8237767389382965</v>
      </c>
      <c r="AV207" s="19">
        <v>0.47380060682143676</v>
      </c>
      <c r="AW207" s="19">
        <v>0.54016624231993704</v>
      </c>
      <c r="AX207" s="19">
        <v>0.9430412932606419</v>
      </c>
      <c r="AY207" s="19">
        <v>0.27165000487230762</v>
      </c>
      <c r="AZ207" s="19">
        <v>0.22987503109893431</v>
      </c>
      <c r="BA207" s="19">
        <v>0.35252807405288911</v>
      </c>
      <c r="BB207" s="19">
        <v>0.18864215512647883</v>
      </c>
      <c r="BC207" s="19">
        <v>0.93843095351514205</v>
      </c>
      <c r="BD207" s="19">
        <v>0.77815883587000845</v>
      </c>
      <c r="BE207" s="19">
        <v>0.63327882038143557</v>
      </c>
      <c r="BF207" s="19">
        <v>0.46394621630007254</v>
      </c>
      <c r="BG207" s="19">
        <v>0.89621494014765202</v>
      </c>
      <c r="BH207" s="19">
        <v>0.41238818220002016</v>
      </c>
      <c r="BI207" s="19">
        <v>0.67683120860595491</v>
      </c>
    </row>
    <row r="208" spans="1:61" x14ac:dyDescent="0.55000000000000004">
      <c r="A208" s="19" t="s">
        <v>1189</v>
      </c>
      <c r="B208" s="19" t="s">
        <v>1190</v>
      </c>
      <c r="C208" s="19" t="s">
        <v>8</v>
      </c>
      <c r="D208" s="19" t="s">
        <v>9</v>
      </c>
      <c r="E208" s="19">
        <v>1765</v>
      </c>
      <c r="F208" s="19">
        <v>70.199998078735987</v>
      </c>
      <c r="G208" s="19">
        <v>38.644634027151668</v>
      </c>
      <c r="H208" s="19">
        <v>68207.7790579227</v>
      </c>
      <c r="I208" s="19">
        <v>38.33345959211141</v>
      </c>
      <c r="J208" s="19">
        <v>13.673275167172729</v>
      </c>
      <c r="K208" s="19">
        <v>22.48074385651686</v>
      </c>
      <c r="L208" s="19">
        <v>44.356908200864986</v>
      </c>
      <c r="M208" s="19">
        <v>34.965522002177934</v>
      </c>
      <c r="N208" s="19">
        <v>10.692975555407809</v>
      </c>
      <c r="O208" s="19">
        <v>7.1423886932111289</v>
      </c>
      <c r="P208" s="19">
        <v>36.749906213153913</v>
      </c>
      <c r="Q208" s="19">
        <v>349.0390992451305</v>
      </c>
      <c r="R208" s="19">
        <v>552.33026173611688</v>
      </c>
      <c r="S208" s="19">
        <v>1025.7323376529914</v>
      </c>
      <c r="T208" s="19">
        <v>1038.2236103535954</v>
      </c>
      <c r="U208" s="19">
        <v>23.616960291258856</v>
      </c>
      <c r="V208" s="19">
        <v>9.9892432721659006</v>
      </c>
      <c r="W208" s="19">
        <v>37.299942283342872</v>
      </c>
      <c r="X208" s="19">
        <v>43.88809234864371</v>
      </c>
      <c r="Y208" s="19">
        <v>26.977245428839488</v>
      </c>
      <c r="Z208" s="19">
        <v>21.667747857391795</v>
      </c>
      <c r="AA208" s="19">
        <v>13.936657908811867</v>
      </c>
      <c r="AB208" s="19">
        <v>32.149529922887041</v>
      </c>
      <c r="AC208" s="19">
        <v>37.517772517513315</v>
      </c>
      <c r="AD208" s="19">
        <v>28.042321935427882</v>
      </c>
      <c r="AE208" s="19">
        <v>22.184050640475338</v>
      </c>
      <c r="AF208" s="19">
        <v>42.961863380254826</v>
      </c>
      <c r="AG208" s="19">
        <v>771.12203509927895</v>
      </c>
      <c r="AH208" s="19">
        <v>135.05183699176251</v>
      </c>
      <c r="AI208" s="19">
        <v>1327.5548284451379</v>
      </c>
      <c r="AJ208" s="19">
        <v>1499.1616110341033</v>
      </c>
      <c r="AK208" s="19">
        <v>750.44877371835162</v>
      </c>
      <c r="AL208" s="19">
        <v>2497.7407616661908</v>
      </c>
      <c r="AM208" s="19">
        <v>613.05859698018037</v>
      </c>
      <c r="AN208" s="19">
        <v>2506.6358740604664</v>
      </c>
      <c r="AO208" s="19"/>
      <c r="AP208" s="19">
        <v>1.1478154553022777</v>
      </c>
      <c r="AQ208" s="19">
        <v>0.9509704811108699</v>
      </c>
      <c r="AR208" s="19">
        <v>1.1356839947768167</v>
      </c>
      <c r="AS208" s="19">
        <v>0.83192740032933998</v>
      </c>
      <c r="AT208" s="19">
        <v>1.1117161402038347</v>
      </c>
      <c r="AU208" s="19">
        <v>0.86420494905828182</v>
      </c>
      <c r="AV208" s="19">
        <v>0.30825582128616646</v>
      </c>
      <c r="AW208" s="19">
        <v>0.50681494198638655</v>
      </c>
      <c r="AX208" s="19">
        <v>0.95144520367953234</v>
      </c>
      <c r="AY208" s="19">
        <v>0.29096606378768025</v>
      </c>
      <c r="AZ208" s="19">
        <v>0.19435120872919806</v>
      </c>
      <c r="BA208" s="19">
        <v>0.53811772231172628</v>
      </c>
      <c r="BB208" s="19">
        <v>0.22760714211071428</v>
      </c>
      <c r="BC208" s="19">
        <v>0.84988752728268369</v>
      </c>
      <c r="BD208" s="19">
        <v>0.8391178811493154</v>
      </c>
      <c r="BE208" s="19">
        <v>0.67396779702109011</v>
      </c>
      <c r="BF208" s="19">
        <v>0.43349492021313973</v>
      </c>
      <c r="BG208" s="19">
        <v>0.87328084877148038</v>
      </c>
      <c r="BH208" s="19">
        <v>0.65272592315714284</v>
      </c>
      <c r="BI208" s="19">
        <v>0.51636611857648329</v>
      </c>
    </row>
    <row r="209" spans="1:61" x14ac:dyDescent="0.55000000000000004">
      <c r="A209" s="19" t="s">
        <v>1191</v>
      </c>
      <c r="B209" s="19" t="s">
        <v>1192</v>
      </c>
      <c r="C209" s="19" t="s">
        <v>8</v>
      </c>
      <c r="D209" s="19" t="s">
        <v>9</v>
      </c>
      <c r="E209" s="19">
        <v>1930</v>
      </c>
      <c r="F209" s="19">
        <v>69.38971240304879</v>
      </c>
      <c r="G209" s="19">
        <v>42.675706921495298</v>
      </c>
      <c r="H209" s="19">
        <v>82364.114358485924</v>
      </c>
      <c r="I209" s="19">
        <v>31.84695575626246</v>
      </c>
      <c r="J209" s="19">
        <v>29.391610973202067</v>
      </c>
      <c r="K209" s="19">
        <v>15.958394241729756</v>
      </c>
      <c r="L209" s="19">
        <v>34.858775733796733</v>
      </c>
      <c r="M209" s="19">
        <v>33.005400803780361</v>
      </c>
      <c r="N209" s="19">
        <v>14.283956817971056</v>
      </c>
      <c r="O209" s="19">
        <v>9.931017295020224</v>
      </c>
      <c r="P209" s="19">
        <v>35.727022738919864</v>
      </c>
      <c r="Q209" s="19">
        <v>730.19472305310023</v>
      </c>
      <c r="R209" s="19">
        <v>58.92722255652167</v>
      </c>
      <c r="S209" s="19">
        <v>1129.1007514986763</v>
      </c>
      <c r="T209" s="19">
        <v>1305.4600158847531</v>
      </c>
      <c r="U209" s="19">
        <v>45.786788406515186</v>
      </c>
      <c r="V209" s="19">
        <v>11.193147956651032</v>
      </c>
      <c r="W209" s="19">
        <v>52.968781730800877</v>
      </c>
      <c r="X209" s="19">
        <v>58.335463471293089</v>
      </c>
      <c r="Y209" s="19">
        <v>28.485948288956479</v>
      </c>
      <c r="Z209" s="19">
        <v>29.135512222493553</v>
      </c>
      <c r="AA209" s="19">
        <v>14.479947482316909</v>
      </c>
      <c r="AB209" s="19">
        <v>40.610046553094975</v>
      </c>
      <c r="AC209" s="19">
        <v>29.452813647246778</v>
      </c>
      <c r="AD209" s="19">
        <v>16.038946146189161</v>
      </c>
      <c r="AE209" s="19">
        <v>30.886762290801745</v>
      </c>
      <c r="AF209" s="19">
        <v>39.796444875329357</v>
      </c>
      <c r="AG209" s="19">
        <v>844.68922480725087</v>
      </c>
      <c r="AH209" s="19">
        <v>77.436346872197063</v>
      </c>
      <c r="AI209" s="19">
        <v>1932.1057328099794</v>
      </c>
      <c r="AJ209" s="19">
        <v>2059.564501426571</v>
      </c>
      <c r="AK209" s="19">
        <v>1039.9713978271188</v>
      </c>
      <c r="AL209" s="19">
        <v>2621.9735472672187</v>
      </c>
      <c r="AM209" s="19">
        <v>1660.9814942560258</v>
      </c>
      <c r="AN209" s="19">
        <v>2623.2499656919795</v>
      </c>
      <c r="AO209" s="19"/>
      <c r="AP209" s="19">
        <v>0.81682948563504032</v>
      </c>
      <c r="AQ209" s="19">
        <v>0.83717471405083022</v>
      </c>
      <c r="AR209" s="19">
        <v>1.3669477948802329</v>
      </c>
      <c r="AS209" s="19">
        <v>0.95159634092997603</v>
      </c>
      <c r="AT209" s="19">
        <v>0.93253159106508698</v>
      </c>
      <c r="AU209" s="19">
        <v>0.91359937593521923</v>
      </c>
      <c r="AV209" s="19">
        <v>0.84316245635402309</v>
      </c>
      <c r="AW209" s="19">
        <v>0.45780134000109379</v>
      </c>
      <c r="AX209" s="19">
        <v>0.92382175377365949</v>
      </c>
      <c r="AY209" s="19">
        <v>0.39980820462855349</v>
      </c>
      <c r="AZ209" s="19">
        <v>0.27796935019166025</v>
      </c>
      <c r="BA209" s="19">
        <v>0.78488771121269807</v>
      </c>
      <c r="BB209" s="19">
        <v>0.19187552974802688</v>
      </c>
      <c r="BC209" s="19">
        <v>0.90800310101019155</v>
      </c>
      <c r="BD209" s="19">
        <v>0.70145076666467165</v>
      </c>
      <c r="BE209" s="19">
        <v>0.71744592029464382</v>
      </c>
      <c r="BF209" s="19">
        <v>0.35656072108622988</v>
      </c>
      <c r="BG209" s="19">
        <v>0.74008655143729152</v>
      </c>
      <c r="BH209" s="19">
        <v>0.40302459670542173</v>
      </c>
      <c r="BI209" s="19">
        <v>0.77611863038422035</v>
      </c>
    </row>
    <row r="210" spans="1:61" x14ac:dyDescent="0.55000000000000004">
      <c r="A210" s="19" t="s">
        <v>1193</v>
      </c>
      <c r="B210" s="19" t="s">
        <v>1194</v>
      </c>
      <c r="C210" s="19" t="s">
        <v>51</v>
      </c>
      <c r="D210" s="19" t="s">
        <v>9</v>
      </c>
      <c r="E210" s="19">
        <v>1716</v>
      </c>
      <c r="F210" s="19">
        <v>71.955989400431022</v>
      </c>
      <c r="G210" s="19">
        <v>48.96914239679522</v>
      </c>
      <c r="H210" s="19">
        <v>84031.048352900601</v>
      </c>
      <c r="I210" s="19">
        <v>55.040255850654773</v>
      </c>
      <c r="J210" s="19">
        <v>11.891002420190805</v>
      </c>
      <c r="K210" s="19">
        <v>26.505363409602484</v>
      </c>
      <c r="L210" s="19">
        <v>58.148047752390987</v>
      </c>
      <c r="M210" s="19">
        <v>43.523933412826224</v>
      </c>
      <c r="N210" s="19">
        <v>7.2895782804808604</v>
      </c>
      <c r="O210" s="19">
        <v>12.154382835102277</v>
      </c>
      <c r="P210" s="19">
        <v>44.385805336877986</v>
      </c>
      <c r="Q210" s="19">
        <v>488.05687553804438</v>
      </c>
      <c r="R210" s="19">
        <v>224.85040967220581</v>
      </c>
      <c r="S210" s="19">
        <v>826.71919619501523</v>
      </c>
      <c r="T210" s="19">
        <v>861.11259293512569</v>
      </c>
      <c r="U210" s="19">
        <v>29.99990909082193</v>
      </c>
      <c r="V210" s="19">
        <v>16.448819471861569</v>
      </c>
      <c r="W210" s="19">
        <v>38.033480776193997</v>
      </c>
      <c r="X210" s="19">
        <v>42.930896159880902</v>
      </c>
      <c r="Y210" s="19">
        <v>22.028925271315565</v>
      </c>
      <c r="Z210" s="19">
        <v>24.988627224980426</v>
      </c>
      <c r="AA210" s="19">
        <v>29.918379940238115</v>
      </c>
      <c r="AB210" s="19">
        <v>40.460208876049514</v>
      </c>
      <c r="AC210" s="19">
        <v>34.328586168814738</v>
      </c>
      <c r="AD210" s="19">
        <v>27.319082949924152</v>
      </c>
      <c r="AE210" s="19">
        <v>47.713077473969847</v>
      </c>
      <c r="AF210" s="19">
        <v>54.791697118415357</v>
      </c>
      <c r="AG210" s="19">
        <v>839.02040085974397</v>
      </c>
      <c r="AH210" s="19">
        <v>73.095487282630401</v>
      </c>
      <c r="AI210" s="19">
        <v>1345.040923861774</v>
      </c>
      <c r="AJ210" s="19">
        <v>1561.1852998387071</v>
      </c>
      <c r="AK210" s="19">
        <v>2258.6036375119133</v>
      </c>
      <c r="AL210" s="19">
        <v>5248.0152695978632</v>
      </c>
      <c r="AM210" s="19">
        <v>833.45175422799525</v>
      </c>
      <c r="AN210" s="19">
        <v>5623.9589716471673</v>
      </c>
      <c r="AO210" s="19"/>
      <c r="AP210" s="19">
        <v>1.1874426405351235</v>
      </c>
      <c r="AQ210" s="19">
        <v>0.90640356690793933</v>
      </c>
      <c r="AR210" s="19">
        <v>0.87669283264169462</v>
      </c>
      <c r="AS210" s="19">
        <v>0.82623886994388995</v>
      </c>
      <c r="AT210" s="19">
        <v>1.1189025258894709</v>
      </c>
      <c r="AU210" s="19">
        <v>0.94655380495369379</v>
      </c>
      <c r="AV210" s="19">
        <v>0.20449529915132636</v>
      </c>
      <c r="AW210" s="19">
        <v>0.45582550806295319</v>
      </c>
      <c r="AX210" s="19">
        <v>0.98058226233566448</v>
      </c>
      <c r="AY210" s="19">
        <v>0.16423219597244321</v>
      </c>
      <c r="AZ210" s="19">
        <v>0.27383490606632743</v>
      </c>
      <c r="BA210" s="19">
        <v>0.69879531466331157</v>
      </c>
      <c r="BB210" s="19">
        <v>0.38314642700687573</v>
      </c>
      <c r="BC210" s="19">
        <v>0.88592329017665461</v>
      </c>
      <c r="BD210" s="19">
        <v>0.54445901005606578</v>
      </c>
      <c r="BE210" s="19">
        <v>0.61760994120256474</v>
      </c>
      <c r="BF210" s="19">
        <v>0.73945193985264734</v>
      </c>
      <c r="BG210" s="19">
        <v>0.62652898110865385</v>
      </c>
      <c r="BH210" s="19">
        <v>0.49859895543812738</v>
      </c>
      <c r="BI210" s="19">
        <v>0.87080853456414653</v>
      </c>
    </row>
    <row r="211" spans="1:61" x14ac:dyDescent="0.55000000000000004">
      <c r="A211" s="19" t="s">
        <v>1198</v>
      </c>
      <c r="B211" s="19" t="s">
        <v>1199</v>
      </c>
      <c r="C211" s="19" t="s">
        <v>8</v>
      </c>
      <c r="D211" s="19" t="s">
        <v>9</v>
      </c>
      <c r="E211" s="19">
        <v>2174</v>
      </c>
      <c r="F211" s="19">
        <v>72.401729642482408</v>
      </c>
      <c r="G211" s="19">
        <v>64.092929341235731</v>
      </c>
      <c r="H211" s="19">
        <v>139338.02838784648</v>
      </c>
      <c r="I211" s="19">
        <v>34.602244095887656</v>
      </c>
      <c r="J211" s="19">
        <v>18.476004193902323</v>
      </c>
      <c r="K211" s="19">
        <v>33.164523265024592</v>
      </c>
      <c r="L211" s="19">
        <v>47.522000171093083</v>
      </c>
      <c r="M211" s="19">
        <v>43.855907260439324</v>
      </c>
      <c r="N211" s="19">
        <v>16.697745259922527</v>
      </c>
      <c r="O211" s="19">
        <v>13.596347441441129</v>
      </c>
      <c r="P211" s="19">
        <v>47.545224787256267</v>
      </c>
      <c r="Q211" s="19">
        <v>474.28132644890866</v>
      </c>
      <c r="R211" s="19">
        <v>61.148809808581746</v>
      </c>
      <c r="S211" s="19">
        <v>1089.5485310192887</v>
      </c>
      <c r="T211" s="19">
        <v>1144.3221821779789</v>
      </c>
      <c r="U211" s="19">
        <v>33.544986272914201</v>
      </c>
      <c r="V211" s="19">
        <v>9.7246181448658611</v>
      </c>
      <c r="W211" s="19">
        <v>57.1811057266303</v>
      </c>
      <c r="X211" s="19">
        <v>62.11134203859249</v>
      </c>
      <c r="Y211" s="19">
        <v>32.479679538949895</v>
      </c>
      <c r="Z211" s="19">
        <v>21.795707261887927</v>
      </c>
      <c r="AA211" s="19">
        <v>13.611640695277096</v>
      </c>
      <c r="AB211" s="19">
        <v>38.196746888630422</v>
      </c>
      <c r="AC211" s="19">
        <v>47.635019021002861</v>
      </c>
      <c r="AD211" s="19">
        <v>20.555249592289822</v>
      </c>
      <c r="AE211" s="19">
        <v>30.096564166550639</v>
      </c>
      <c r="AF211" s="19">
        <v>57.296194067226054</v>
      </c>
      <c r="AG211" s="19">
        <v>811.23294541830467</v>
      </c>
      <c r="AH211" s="19">
        <v>965.65971940109978</v>
      </c>
      <c r="AI211" s="19">
        <v>2060.5904651697133</v>
      </c>
      <c r="AJ211" s="19">
        <v>2210.4596179751597</v>
      </c>
      <c r="AK211" s="19">
        <v>1938.7324446600087</v>
      </c>
      <c r="AL211" s="19">
        <v>1971.4034038862048</v>
      </c>
      <c r="AM211" s="19">
        <v>2941.6098706625189</v>
      </c>
      <c r="AN211" s="19">
        <v>3495.5832179890608</v>
      </c>
      <c r="AO211" s="19"/>
      <c r="AP211" s="19">
        <v>0.74145464499028069</v>
      </c>
      <c r="AQ211" s="19">
        <v>0.74181700346573021</v>
      </c>
      <c r="AR211" s="19">
        <v>0.96908259112182071</v>
      </c>
      <c r="AS211" s="19">
        <v>0.59595882543092982</v>
      </c>
      <c r="AT211" s="19">
        <v>0.8939549909191491</v>
      </c>
      <c r="AU211" s="19">
        <v>0.72813105448654247</v>
      </c>
      <c r="AV211" s="19">
        <v>0.38878843751069631</v>
      </c>
      <c r="AW211" s="19">
        <v>0.69787725991377925</v>
      </c>
      <c r="AX211" s="19">
        <v>0.92240403650787228</v>
      </c>
      <c r="AY211" s="19">
        <v>0.35119710411797422</v>
      </c>
      <c r="AZ211" s="19">
        <v>0.28596662445658289</v>
      </c>
      <c r="BA211" s="19">
        <v>0.54007827188907365</v>
      </c>
      <c r="BB211" s="19">
        <v>0.15656750966391181</v>
      </c>
      <c r="BC211" s="19">
        <v>0.92062260852617195</v>
      </c>
      <c r="BD211" s="19">
        <v>0.85032580480349074</v>
      </c>
      <c r="BE211" s="19">
        <v>0.57061684665024703</v>
      </c>
      <c r="BF211" s="19">
        <v>0.35635601992400862</v>
      </c>
      <c r="BG211" s="19">
        <v>0.83138190584024374</v>
      </c>
      <c r="BH211" s="19">
        <v>0.35875418824803956</v>
      </c>
      <c r="BI211" s="19">
        <v>0.5252803376649785</v>
      </c>
    </row>
    <row r="212" spans="1:61" x14ac:dyDescent="0.55000000000000004">
      <c r="A212" s="19" t="s">
        <v>1200</v>
      </c>
      <c r="B212" s="19" t="s">
        <v>1201</v>
      </c>
      <c r="C212" s="19" t="s">
        <v>8</v>
      </c>
      <c r="D212" s="19" t="s">
        <v>9</v>
      </c>
      <c r="E212" s="19">
        <v>1914</v>
      </c>
      <c r="F212" s="19">
        <v>69.523737429712583</v>
      </c>
      <c r="G212" s="19">
        <v>36.485780045561029</v>
      </c>
      <c r="H212" s="19">
        <v>69833.783007203805</v>
      </c>
      <c r="I212" s="19">
        <v>33.031084271042637</v>
      </c>
      <c r="J212" s="19">
        <v>11.801401027036718</v>
      </c>
      <c r="K212" s="19">
        <v>24.352459143743324</v>
      </c>
      <c r="L212" s="19">
        <v>40.297000657430509</v>
      </c>
      <c r="M212" s="19">
        <v>30.895408924936397</v>
      </c>
      <c r="N212" s="19">
        <v>6.7918884247912805</v>
      </c>
      <c r="O212" s="19">
        <v>17.172183630677026</v>
      </c>
      <c r="P212" s="19">
        <v>34.002412575296376</v>
      </c>
      <c r="Q212" s="19">
        <v>419.01347652824478</v>
      </c>
      <c r="R212" s="19">
        <v>48.868749821425347</v>
      </c>
      <c r="S212" s="19">
        <v>935.12543353116553</v>
      </c>
      <c r="T212" s="19">
        <v>990.68928655005834</v>
      </c>
      <c r="U212" s="19">
        <v>73.667632216996054</v>
      </c>
      <c r="V212" s="19">
        <v>11.380834544059262</v>
      </c>
      <c r="W212" s="19">
        <v>85.764442151350607</v>
      </c>
      <c r="X212" s="19">
        <v>96.849809036864528</v>
      </c>
      <c r="Y212" s="19">
        <v>54.995886760564836</v>
      </c>
      <c r="Z212" s="19">
        <v>19.355179250356805</v>
      </c>
      <c r="AA212" s="19">
        <v>14.511610375811253</v>
      </c>
      <c r="AB212" s="19">
        <v>56.691597486738104</v>
      </c>
      <c r="AC212" s="19">
        <v>57.27261781822434</v>
      </c>
      <c r="AD212" s="19">
        <v>17.987682002411642</v>
      </c>
      <c r="AE212" s="19">
        <v>22.060814450032201</v>
      </c>
      <c r="AF212" s="19">
        <v>60.571073630039244</v>
      </c>
      <c r="AG212" s="19">
        <v>1577.8896527330733</v>
      </c>
      <c r="AH212" s="19">
        <v>384.53136413230089</v>
      </c>
      <c r="AI212" s="19">
        <v>3144.0428816881426</v>
      </c>
      <c r="AJ212" s="19">
        <v>3480.7386993925534</v>
      </c>
      <c r="AK212" s="19">
        <v>2294.6762041321681</v>
      </c>
      <c r="AL212" s="19">
        <v>1352.6474111525415</v>
      </c>
      <c r="AM212" s="19">
        <v>1866.3275976905281</v>
      </c>
      <c r="AN212" s="19">
        <v>2522.3011126246647</v>
      </c>
      <c r="AO212" s="19"/>
      <c r="AP212" s="19">
        <v>1.1044576985091255</v>
      </c>
      <c r="AQ212" s="19">
        <v>0.93193601816478666</v>
      </c>
      <c r="AR212" s="19">
        <v>2.6544535683744432</v>
      </c>
      <c r="AS212" s="19">
        <v>1.5537997931233862</v>
      </c>
      <c r="AT212" s="19">
        <v>1.6601282350110671</v>
      </c>
      <c r="AU212" s="19">
        <v>0.81969088845702753</v>
      </c>
      <c r="AV212" s="19">
        <v>0.29286053141676227</v>
      </c>
      <c r="AW212" s="19">
        <v>0.60432436028592829</v>
      </c>
      <c r="AX212" s="19">
        <v>0.90862402356069005</v>
      </c>
      <c r="AY212" s="19">
        <v>0.19974725057379492</v>
      </c>
      <c r="AZ212" s="19">
        <v>0.50502838857831689</v>
      </c>
      <c r="BA212" s="19">
        <v>0.7606378675352421</v>
      </c>
      <c r="BB212" s="19">
        <v>0.1175101392272989</v>
      </c>
      <c r="BC212" s="19">
        <v>0.88554064281846512</v>
      </c>
      <c r="BD212" s="19">
        <v>0.97008885264575684</v>
      </c>
      <c r="BE212" s="19">
        <v>0.3414117807296676</v>
      </c>
      <c r="BF212" s="19">
        <v>0.25597462444423025</v>
      </c>
      <c r="BG212" s="19">
        <v>0.94554404249194146</v>
      </c>
      <c r="BH212" s="19">
        <v>0.29696818835139388</v>
      </c>
      <c r="BI212" s="19">
        <v>0.36421369356562794</v>
      </c>
    </row>
    <row r="213" spans="1:61" x14ac:dyDescent="0.55000000000000004">
      <c r="A213" s="19" t="s">
        <v>1204</v>
      </c>
      <c r="B213" s="19" t="s">
        <v>1205</v>
      </c>
      <c r="C213" s="19" t="s">
        <v>8</v>
      </c>
      <c r="D213" s="19" t="s">
        <v>9</v>
      </c>
      <c r="E213" s="19">
        <v>1924</v>
      </c>
      <c r="F213" s="19">
        <v>70.786827581495942</v>
      </c>
      <c r="G213" s="19">
        <v>38.75644901298903</v>
      </c>
      <c r="H213" s="19">
        <v>74567.407900990889</v>
      </c>
      <c r="I213" s="19">
        <v>33.000821985059261</v>
      </c>
      <c r="J213" s="19">
        <v>36.925534520358674</v>
      </c>
      <c r="K213" s="19">
        <v>32.829786042781265</v>
      </c>
      <c r="L213" s="19">
        <v>46.725474151010474</v>
      </c>
      <c r="M213" s="19">
        <v>36.16374370668467</v>
      </c>
      <c r="N213" s="19">
        <v>16.287510313271806</v>
      </c>
      <c r="O213" s="19">
        <v>16.330447315865619</v>
      </c>
      <c r="P213" s="19">
        <v>41.449523794638758</v>
      </c>
      <c r="Q213" s="19">
        <v>408.03028500556059</v>
      </c>
      <c r="R213" s="19">
        <v>207.53482876417519</v>
      </c>
      <c r="S213" s="19">
        <v>1564.7836446348551</v>
      </c>
      <c r="T213" s="19">
        <v>1566.2610530855543</v>
      </c>
      <c r="U213" s="19">
        <v>29.961333700680804</v>
      </c>
      <c r="V213" s="19">
        <v>8.6415801056717534</v>
      </c>
      <c r="W213" s="19">
        <v>60.982862613177133</v>
      </c>
      <c r="X213" s="19">
        <v>67.177055791698024</v>
      </c>
      <c r="Y213" s="19">
        <v>36.061025320479786</v>
      </c>
      <c r="Z213" s="19">
        <v>23.314600810514328</v>
      </c>
      <c r="AA213" s="19">
        <v>21.594975384458404</v>
      </c>
      <c r="AB213" s="19">
        <v>44.85271062083045</v>
      </c>
      <c r="AC213" s="19">
        <v>35.272314852219743</v>
      </c>
      <c r="AD213" s="19">
        <v>20.823849289401174</v>
      </c>
      <c r="AE213" s="19">
        <v>22.611883122850884</v>
      </c>
      <c r="AF213" s="19">
        <v>44.568201905011897</v>
      </c>
      <c r="AG213" s="19">
        <v>993.49879169671556</v>
      </c>
      <c r="AH213" s="19">
        <v>337.80532263989755</v>
      </c>
      <c r="AI213" s="19">
        <v>2245.2225679528447</v>
      </c>
      <c r="AJ213" s="19">
        <v>2422.6473295383694</v>
      </c>
      <c r="AK213" s="19">
        <v>1410.9299478004564</v>
      </c>
      <c r="AL213" s="19">
        <v>1122.3327409128926</v>
      </c>
      <c r="AM213" s="19">
        <v>1185.1389041634454</v>
      </c>
      <c r="AN213" s="19">
        <v>1412.6254596533015</v>
      </c>
      <c r="AO213" s="19"/>
      <c r="AP213" s="19">
        <v>1.205618041409074</v>
      </c>
      <c r="AQ213" s="19">
        <v>1.0694871395660412</v>
      </c>
      <c r="AR213" s="19">
        <v>1.7333129711956834</v>
      </c>
      <c r="AS213" s="19">
        <v>1.1572967019191642</v>
      </c>
      <c r="AT213" s="19">
        <v>1.1499557632350448</v>
      </c>
      <c r="AU213" s="19">
        <v>0.70627045706170954</v>
      </c>
      <c r="AV213" s="19">
        <v>0.79026559261914164</v>
      </c>
      <c r="AW213" s="19">
        <v>0.70261001390119215</v>
      </c>
      <c r="AX213" s="19">
        <v>0.87247669927060123</v>
      </c>
      <c r="AY213" s="19">
        <v>0.39294806844990815</v>
      </c>
      <c r="AZ213" s="19">
        <v>0.39398395496109084</v>
      </c>
      <c r="BA213" s="19">
        <v>0.44600546045936612</v>
      </c>
      <c r="BB213" s="19">
        <v>0.12863886343080416</v>
      </c>
      <c r="BC213" s="19">
        <v>0.90779302389006467</v>
      </c>
      <c r="BD213" s="19">
        <v>0.80398764804489564</v>
      </c>
      <c r="BE213" s="19">
        <v>0.51980360802735037</v>
      </c>
      <c r="BF213" s="19">
        <v>0.48146422112623194</v>
      </c>
      <c r="BG213" s="19">
        <v>0.79142333198443915</v>
      </c>
      <c r="BH213" s="19">
        <v>0.46723557153557588</v>
      </c>
      <c r="BI213" s="19">
        <v>0.50735461957930317</v>
      </c>
    </row>
    <row r="214" spans="1:61" x14ac:dyDescent="0.55000000000000004">
      <c r="A214" s="19" t="s">
        <v>1210</v>
      </c>
      <c r="B214" s="19" t="s">
        <v>1211</v>
      </c>
      <c r="C214" s="19" t="s">
        <v>134</v>
      </c>
      <c r="D214" s="19" t="s">
        <v>9</v>
      </c>
      <c r="E214" s="19">
        <v>1929</v>
      </c>
      <c r="F214" s="19">
        <v>71.612812246469247</v>
      </c>
      <c r="G214" s="19">
        <v>51.757493783225414</v>
      </c>
      <c r="H214" s="19">
        <v>99840.20550784182</v>
      </c>
      <c r="I214" s="19">
        <v>31.607285791337201</v>
      </c>
      <c r="J214" s="19">
        <v>46.44155633552964</v>
      </c>
      <c r="K214" s="19">
        <v>31.840726026646241</v>
      </c>
      <c r="L214" s="19">
        <v>48.484456353614995</v>
      </c>
      <c r="M214" s="19">
        <v>38.187707882388466</v>
      </c>
      <c r="N214" s="19">
        <v>13.708585884648027</v>
      </c>
      <c r="O214" s="19">
        <v>17.58574309081223</v>
      </c>
      <c r="P214" s="19">
        <v>42.797605735459769</v>
      </c>
      <c r="Q214" s="19">
        <v>366.96003754390063</v>
      </c>
      <c r="R214" s="19">
        <v>263.70028325423669</v>
      </c>
      <c r="S214" s="19">
        <v>1471.702657795073</v>
      </c>
      <c r="T214" s="19">
        <v>1474.0397212222822</v>
      </c>
      <c r="U214" s="19">
        <v>21.832868324605869</v>
      </c>
      <c r="V214" s="19">
        <v>11.062103223545304</v>
      </c>
      <c r="W214" s="19">
        <v>44.658319683210735</v>
      </c>
      <c r="X214" s="19">
        <v>49.00927716016821</v>
      </c>
      <c r="Y214" s="19">
        <v>31.491913031732889</v>
      </c>
      <c r="Z214" s="19">
        <v>22.96347565805381</v>
      </c>
      <c r="AA214" s="19">
        <v>26.372784672310257</v>
      </c>
      <c r="AB214" s="19">
        <v>37.967823813074524</v>
      </c>
      <c r="AC214" s="19">
        <v>46.04988116287231</v>
      </c>
      <c r="AD214" s="19">
        <v>25.077736937324492</v>
      </c>
      <c r="AE214" s="19">
        <v>31.732190627194775</v>
      </c>
      <c r="AF214" s="19">
        <v>57.217804539835164</v>
      </c>
      <c r="AG214" s="19">
        <v>729.85089051842874</v>
      </c>
      <c r="AH214" s="19">
        <v>194.48663958536801</v>
      </c>
      <c r="AI214" s="19">
        <v>1635.0243151996888</v>
      </c>
      <c r="AJ214" s="19">
        <v>1758.831342745744</v>
      </c>
      <c r="AK214" s="19">
        <v>706.29216449498074</v>
      </c>
      <c r="AL214" s="19">
        <v>1874.0037552736949</v>
      </c>
      <c r="AM214" s="19">
        <v>1344.5569356170624</v>
      </c>
      <c r="AN214" s="19">
        <v>1874.0166995386794</v>
      </c>
      <c r="AO214" s="19"/>
      <c r="AP214" s="19">
        <v>0.93676205723331973</v>
      </c>
      <c r="AQ214" s="19">
        <v>0.82688713473468956</v>
      </c>
      <c r="AR214" s="19">
        <v>0.94690205374766623</v>
      </c>
      <c r="AS214" s="19">
        <v>0.73357152825239547</v>
      </c>
      <c r="AT214" s="19">
        <v>1.1054979744475077</v>
      </c>
      <c r="AU214" s="19">
        <v>0.65190554186714245</v>
      </c>
      <c r="AV214" s="19">
        <v>0.95786484635022551</v>
      </c>
      <c r="AW214" s="19">
        <v>0.65672028566062701</v>
      </c>
      <c r="AX214" s="19">
        <v>0.89228608063810932</v>
      </c>
      <c r="AY214" s="19">
        <v>0.32031198122117938</v>
      </c>
      <c r="AZ214" s="19">
        <v>0.41090483424500635</v>
      </c>
      <c r="BA214" s="19">
        <v>0.44548439784682869</v>
      </c>
      <c r="BB214" s="19">
        <v>0.22571447416767687</v>
      </c>
      <c r="BC214" s="19">
        <v>0.91122175781662673</v>
      </c>
      <c r="BD214" s="19">
        <v>0.82943687230471175</v>
      </c>
      <c r="BE214" s="19">
        <v>0.60481411236811922</v>
      </c>
      <c r="BF214" s="19">
        <v>0.69460880355298571</v>
      </c>
      <c r="BG214" s="19">
        <v>0.80481733847044545</v>
      </c>
      <c r="BH214" s="19">
        <v>0.43828555008372116</v>
      </c>
      <c r="BI214" s="19">
        <v>0.55458595243903064</v>
      </c>
    </row>
    <row r="215" spans="1:61" x14ac:dyDescent="0.55000000000000004">
      <c r="A215" s="19" t="s">
        <v>239</v>
      </c>
      <c r="B215" s="19" t="s">
        <v>240</v>
      </c>
      <c r="C215" s="19" t="s">
        <v>8</v>
      </c>
      <c r="D215" s="19" t="s">
        <v>9</v>
      </c>
      <c r="E215" s="19">
        <v>1528</v>
      </c>
      <c r="F215" s="19">
        <v>70.162099999999995</v>
      </c>
      <c r="G215" s="19">
        <v>34.970100000000002</v>
      </c>
      <c r="H215" s="19">
        <v>53434.3128</v>
      </c>
      <c r="I215" s="19">
        <v>56.650100000000002</v>
      </c>
      <c r="J215" s="19">
        <v>14.6845</v>
      </c>
      <c r="K215" s="19">
        <v>22.9041</v>
      </c>
      <c r="L215" s="19">
        <v>60.834699999999998</v>
      </c>
      <c r="M215" s="19">
        <v>34.8855</v>
      </c>
      <c r="N215" s="19">
        <v>13.9613</v>
      </c>
      <c r="O215" s="19">
        <v>7.3169000000000004</v>
      </c>
      <c r="P215" s="19">
        <v>36.0608</v>
      </c>
      <c r="Q215" s="19">
        <v>352.62810000000002</v>
      </c>
      <c r="R215" s="19">
        <v>265.05110000000002</v>
      </c>
      <c r="S215" s="19">
        <v>1310.6126999999999</v>
      </c>
      <c r="T215" s="19">
        <v>1351.1353224178879</v>
      </c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>
        <v>1.7396204185861635</v>
      </c>
      <c r="AQ215" s="19">
        <v>1.0311895018887562</v>
      </c>
      <c r="AR215" s="19"/>
      <c r="AS215" s="19"/>
      <c r="AT215" s="19"/>
      <c r="AU215" s="19">
        <v>0.93121360013281895</v>
      </c>
      <c r="AV215" s="19">
        <v>0.24138361823104248</v>
      </c>
      <c r="AW215" s="19">
        <v>0.37649729512926011</v>
      </c>
      <c r="AX215" s="19">
        <v>0.96740782234448486</v>
      </c>
      <c r="AY215" s="19">
        <v>0.38716001863519389</v>
      </c>
      <c r="AZ215" s="19">
        <v>0.20290453900079866</v>
      </c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spans="1:61" x14ac:dyDescent="0.55000000000000004">
      <c r="A216" s="19" t="s">
        <v>241</v>
      </c>
      <c r="B216" s="19" t="s">
        <v>242</v>
      </c>
      <c r="C216" s="19" t="s">
        <v>8</v>
      </c>
      <c r="D216" s="19" t="s">
        <v>9</v>
      </c>
      <c r="E216" s="19">
        <v>1574</v>
      </c>
      <c r="F216" s="19">
        <v>65.073700000000002</v>
      </c>
      <c r="G216" s="19">
        <v>31.692699999999999</v>
      </c>
      <c r="H216" s="19">
        <v>49884.309799999995</v>
      </c>
      <c r="I216" s="19">
        <v>75.671300000000002</v>
      </c>
      <c r="J216" s="19">
        <v>24.171500000000002</v>
      </c>
      <c r="K216" s="19">
        <v>26.9391</v>
      </c>
      <c r="L216" s="19">
        <v>81.777900000000002</v>
      </c>
      <c r="M216" s="19">
        <v>40.967599999999997</v>
      </c>
      <c r="N216" s="19">
        <v>20.27</v>
      </c>
      <c r="O216" s="19">
        <v>18.123000000000001</v>
      </c>
      <c r="P216" s="19">
        <v>45.396999999999998</v>
      </c>
      <c r="Q216" s="19">
        <v>728.26850000000002</v>
      </c>
      <c r="R216" s="19">
        <v>27.458200000000001</v>
      </c>
      <c r="S216" s="19">
        <v>2116.2375000000002</v>
      </c>
      <c r="T216" s="19">
        <v>2209.8935055340316</v>
      </c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>
        <v>2.580338689982236</v>
      </c>
      <c r="AQ216" s="19">
        <v>1.4324118803383745</v>
      </c>
      <c r="AR216" s="19"/>
      <c r="AS216" s="19"/>
      <c r="AT216" s="19"/>
      <c r="AU216" s="19">
        <v>0.92532701377756088</v>
      </c>
      <c r="AV216" s="19">
        <v>0.29557496585263254</v>
      </c>
      <c r="AW216" s="19">
        <v>0.32941785005484364</v>
      </c>
      <c r="AX216" s="19">
        <v>0.90242967596977774</v>
      </c>
      <c r="AY216" s="19">
        <v>0.44650527567900961</v>
      </c>
      <c r="AZ216" s="19">
        <v>0.39921140163446928</v>
      </c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spans="1:61" x14ac:dyDescent="0.55000000000000004">
      <c r="A217" s="19" t="s">
        <v>243</v>
      </c>
      <c r="B217" s="19" t="s">
        <v>244</v>
      </c>
      <c r="C217" s="19" t="s">
        <v>8</v>
      </c>
      <c r="D217" s="19" t="s">
        <v>9</v>
      </c>
      <c r="E217" s="19">
        <v>1512</v>
      </c>
      <c r="F217" s="19">
        <v>68.636799999999994</v>
      </c>
      <c r="G217" s="19">
        <v>29.397400000000001</v>
      </c>
      <c r="H217" s="19">
        <v>44448.868800000004</v>
      </c>
      <c r="I217" s="19">
        <v>53.001199999999997</v>
      </c>
      <c r="J217" s="19">
        <v>9.0451999999999995</v>
      </c>
      <c r="K217" s="19">
        <v>22.4314</v>
      </c>
      <c r="L217" s="19">
        <v>56.585700000000003</v>
      </c>
      <c r="M217" s="19">
        <v>36.682400000000001</v>
      </c>
      <c r="N217" s="19">
        <v>13.5219</v>
      </c>
      <c r="O217" s="19">
        <v>10.5776</v>
      </c>
      <c r="P217" s="19">
        <v>37.5105</v>
      </c>
      <c r="Q217" s="19">
        <v>406.46179999999998</v>
      </c>
      <c r="R217" s="19">
        <v>160.0727</v>
      </c>
      <c r="S217" s="19">
        <v>1301.6241</v>
      </c>
      <c r="T217" s="19">
        <v>1309.5710045975857</v>
      </c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>
        <v>1.9248538986440977</v>
      </c>
      <c r="AQ217" s="19">
        <v>1.2759801887241728</v>
      </c>
      <c r="AR217" s="19"/>
      <c r="AS217" s="19"/>
      <c r="AT217" s="19"/>
      <c r="AU217" s="19">
        <v>0.9366536068299941</v>
      </c>
      <c r="AV217" s="19">
        <v>0.15984957330208868</v>
      </c>
      <c r="AW217" s="19">
        <v>0.39641464186181313</v>
      </c>
      <c r="AX217" s="19">
        <v>0.97792351474920358</v>
      </c>
      <c r="AY217" s="19">
        <v>0.36048306474187231</v>
      </c>
      <c r="AZ217" s="19">
        <v>0.2819903760280455</v>
      </c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spans="1:61" x14ac:dyDescent="0.55000000000000004">
      <c r="A218" s="19" t="s">
        <v>245</v>
      </c>
      <c r="B218" s="19" t="s">
        <v>246</v>
      </c>
      <c r="C218" s="19" t="s">
        <v>8</v>
      </c>
      <c r="D218" s="19" t="s">
        <v>9</v>
      </c>
      <c r="E218" s="19">
        <v>1600</v>
      </c>
      <c r="F218" s="19">
        <v>70.5137</v>
      </c>
      <c r="G218" s="19">
        <v>38.982700000000001</v>
      </c>
      <c r="H218" s="19">
        <v>62372.32</v>
      </c>
      <c r="I218" s="19">
        <v>39.600499999999997</v>
      </c>
      <c r="J218" s="19">
        <v>10.2898</v>
      </c>
      <c r="K218" s="19">
        <v>33.751199999999997</v>
      </c>
      <c r="L218" s="19">
        <v>48.757899999999999</v>
      </c>
      <c r="M218" s="19">
        <v>46.1218</v>
      </c>
      <c r="N218" s="19">
        <v>21.025300000000001</v>
      </c>
      <c r="O218" s="19">
        <v>13.848000000000001</v>
      </c>
      <c r="P218" s="19">
        <v>49.579000000000001</v>
      </c>
      <c r="Q218" s="19">
        <v>382.6114</v>
      </c>
      <c r="R218" s="19">
        <v>169.833</v>
      </c>
      <c r="S218" s="19">
        <v>2129.1545999999998</v>
      </c>
      <c r="T218" s="19">
        <v>2133.7337622878563</v>
      </c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>
        <v>1.2507573872512678</v>
      </c>
      <c r="AQ218" s="19">
        <v>1.271820576819974</v>
      </c>
      <c r="AR218" s="19"/>
      <c r="AS218" s="19"/>
      <c r="AT218" s="19"/>
      <c r="AU218" s="19">
        <v>0.81218633288144071</v>
      </c>
      <c r="AV218" s="19">
        <v>0.21103862143365484</v>
      </c>
      <c r="AW218" s="19">
        <v>0.69222013253236903</v>
      </c>
      <c r="AX218" s="19">
        <v>0.93026886383347784</v>
      </c>
      <c r="AY218" s="19">
        <v>0.42407672603319957</v>
      </c>
      <c r="AZ218" s="19">
        <v>0.27931180540148048</v>
      </c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spans="1:61" x14ac:dyDescent="0.55000000000000004">
      <c r="A219" s="19" t="s">
        <v>247</v>
      </c>
      <c r="B219" s="19" t="s">
        <v>248</v>
      </c>
      <c r="C219" s="19" t="s">
        <v>8</v>
      </c>
      <c r="D219" s="19" t="s">
        <v>9</v>
      </c>
      <c r="E219" s="19">
        <v>1620</v>
      </c>
      <c r="F219" s="19">
        <v>69.9255</v>
      </c>
      <c r="G219" s="19">
        <v>41.800600000000003</v>
      </c>
      <c r="H219" s="19">
        <v>67716.972000000009</v>
      </c>
      <c r="I219" s="19">
        <v>61.698500000000003</v>
      </c>
      <c r="J219" s="19">
        <v>19.983499999999999</v>
      </c>
      <c r="K219" s="19">
        <v>27.775500000000001</v>
      </c>
      <c r="L219" s="19">
        <v>66.406499999999994</v>
      </c>
      <c r="M219" s="19">
        <v>46.949100000000001</v>
      </c>
      <c r="N219" s="19">
        <v>19.506399999999999</v>
      </c>
      <c r="O219" s="19">
        <v>18.273599999999998</v>
      </c>
      <c r="P219" s="19">
        <v>52.180599999999998</v>
      </c>
      <c r="Q219" s="19">
        <v>677.72630000000004</v>
      </c>
      <c r="R219" s="19">
        <v>1483.3751</v>
      </c>
      <c r="S219" s="19">
        <v>1497.5030999999999</v>
      </c>
      <c r="T219" s="19">
        <v>1596.7603237509691</v>
      </c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>
        <v>1.588649445223274</v>
      </c>
      <c r="AQ219" s="19">
        <v>1.2483217944240033</v>
      </c>
      <c r="AR219" s="19"/>
      <c r="AS219" s="19"/>
      <c r="AT219" s="19"/>
      <c r="AU219" s="19">
        <v>0.92910332572865617</v>
      </c>
      <c r="AV219" s="19">
        <v>0.3009268670988533</v>
      </c>
      <c r="AW219" s="19">
        <v>0.4182647782973053</v>
      </c>
      <c r="AX219" s="19">
        <v>0.89974243301150236</v>
      </c>
      <c r="AY219" s="19">
        <v>0.37382475479392724</v>
      </c>
      <c r="AZ219" s="19">
        <v>0.35019911614661386</v>
      </c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spans="1:61" x14ac:dyDescent="0.55000000000000004">
      <c r="A220" s="19" t="s">
        <v>249</v>
      </c>
      <c r="B220" s="19" t="s">
        <v>250</v>
      </c>
      <c r="C220" s="19" t="s">
        <v>8</v>
      </c>
      <c r="D220" s="19" t="s">
        <v>9</v>
      </c>
      <c r="E220" s="19">
        <v>1715</v>
      </c>
      <c r="F220" s="19">
        <v>70.146999999999991</v>
      </c>
      <c r="G220" s="19">
        <v>63.188200000000002</v>
      </c>
      <c r="H220" s="19">
        <v>108367.76300000001</v>
      </c>
      <c r="I220" s="19">
        <v>37.668500000000002</v>
      </c>
      <c r="J220" s="19">
        <v>14.3996</v>
      </c>
      <c r="K220" s="19">
        <v>29.098800000000001</v>
      </c>
      <c r="L220" s="19">
        <v>48.180199999999999</v>
      </c>
      <c r="M220" s="19">
        <v>40.4636</v>
      </c>
      <c r="N220" s="19">
        <v>15.8089</v>
      </c>
      <c r="O220" s="19">
        <v>9.3001000000000005</v>
      </c>
      <c r="P220" s="19">
        <v>43.310400000000001</v>
      </c>
      <c r="Q220" s="19">
        <v>713.31669999999997</v>
      </c>
      <c r="R220" s="19">
        <v>458.99509999999998</v>
      </c>
      <c r="S220" s="19">
        <v>1295.2655999999999</v>
      </c>
      <c r="T220" s="19">
        <v>1295.3266180113221</v>
      </c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>
        <v>0.76248729984395813</v>
      </c>
      <c r="AQ220" s="19">
        <v>0.68541911306224901</v>
      </c>
      <c r="AR220" s="19"/>
      <c r="AS220" s="19"/>
      <c r="AT220" s="19"/>
      <c r="AU220" s="19">
        <v>0.78182531413319167</v>
      </c>
      <c r="AV220" s="19">
        <v>0.29886966015085037</v>
      </c>
      <c r="AW220" s="19">
        <v>0.60395764235100724</v>
      </c>
      <c r="AX220" s="19">
        <v>0.93426982895563182</v>
      </c>
      <c r="AY220" s="19">
        <v>0.36501394584210717</v>
      </c>
      <c r="AZ220" s="19">
        <v>0.2147313347371532</v>
      </c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spans="1:61" x14ac:dyDescent="0.55000000000000004">
      <c r="A221" s="19" t="s">
        <v>251</v>
      </c>
      <c r="B221" s="19" t="s">
        <v>252</v>
      </c>
      <c r="C221" s="19" t="s">
        <v>8</v>
      </c>
      <c r="D221" s="19" t="s">
        <v>9</v>
      </c>
      <c r="E221" s="19">
        <v>1622</v>
      </c>
      <c r="F221" s="19">
        <v>72.476100000000002</v>
      </c>
      <c r="G221" s="19">
        <v>35.871499999999997</v>
      </c>
      <c r="H221" s="19">
        <v>58183.572999999997</v>
      </c>
      <c r="I221" s="19">
        <v>38.586300000000001</v>
      </c>
      <c r="J221" s="19">
        <v>22.3626</v>
      </c>
      <c r="K221" s="19">
        <v>19.3963</v>
      </c>
      <c r="L221" s="19">
        <v>42.536099999999998</v>
      </c>
      <c r="M221" s="19">
        <v>41.935299999999998</v>
      </c>
      <c r="N221" s="19">
        <v>12.222099999999999</v>
      </c>
      <c r="O221" s="19">
        <v>9.7254000000000005</v>
      </c>
      <c r="P221" s="19">
        <v>43.639000000000003</v>
      </c>
      <c r="Q221" s="19">
        <v>441.36430000000001</v>
      </c>
      <c r="R221" s="19">
        <v>50.369199999999999</v>
      </c>
      <c r="S221" s="19">
        <v>1356.1759</v>
      </c>
      <c r="T221" s="19">
        <v>1357.6291787896907</v>
      </c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>
        <v>1.185790948245822</v>
      </c>
      <c r="AQ221" s="19">
        <v>1.2165368049844585</v>
      </c>
      <c r="AR221" s="19"/>
      <c r="AS221" s="19"/>
      <c r="AT221" s="19"/>
      <c r="AU221" s="19">
        <v>0.90714240374646482</v>
      </c>
      <c r="AV221" s="19">
        <v>0.52573226036237464</v>
      </c>
      <c r="AW221" s="19">
        <v>0.4559962008740811</v>
      </c>
      <c r="AX221" s="19">
        <v>0.9609592337129631</v>
      </c>
      <c r="AY221" s="19">
        <v>0.28007287059740138</v>
      </c>
      <c r="AZ221" s="19">
        <v>0.22286028552441622</v>
      </c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spans="1:61" x14ac:dyDescent="0.55000000000000004">
      <c r="A222" s="19" t="s">
        <v>253</v>
      </c>
      <c r="B222" s="19" t="s">
        <v>254</v>
      </c>
      <c r="C222" s="19" t="s">
        <v>8</v>
      </c>
      <c r="D222" s="19" t="s">
        <v>9</v>
      </c>
      <c r="E222" s="19">
        <v>1677</v>
      </c>
      <c r="F222" s="19">
        <v>69.336500000000001</v>
      </c>
      <c r="G222" s="19">
        <v>36.3369</v>
      </c>
      <c r="H222" s="19">
        <v>60936.981299999999</v>
      </c>
      <c r="I222" s="19">
        <v>56.328000000000003</v>
      </c>
      <c r="J222" s="19">
        <v>16.058199999999999</v>
      </c>
      <c r="K222" s="19">
        <v>30.44</v>
      </c>
      <c r="L222" s="19">
        <v>61.0182</v>
      </c>
      <c r="M222" s="19">
        <v>53.208199999999998</v>
      </c>
      <c r="N222" s="19">
        <v>18.2806</v>
      </c>
      <c r="O222" s="19">
        <v>17.434200000000001</v>
      </c>
      <c r="P222" s="19">
        <v>55.735199999999999</v>
      </c>
      <c r="Q222" s="19">
        <v>635.87969999999996</v>
      </c>
      <c r="R222" s="19">
        <v>1539.788</v>
      </c>
      <c r="S222" s="19">
        <v>1826.9045000000001</v>
      </c>
      <c r="T222" s="19">
        <v>1830.6628449466414</v>
      </c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>
        <v>1.679235157649662</v>
      </c>
      <c r="AQ222" s="19">
        <v>1.5338457600951099</v>
      </c>
      <c r="AR222" s="19"/>
      <c r="AS222" s="19"/>
      <c r="AT222" s="19"/>
      <c r="AU222" s="19">
        <v>0.9231344090779473</v>
      </c>
      <c r="AV222" s="19">
        <v>0.2631706605570141</v>
      </c>
      <c r="AW222" s="19">
        <v>0.49886755099298247</v>
      </c>
      <c r="AX222" s="19">
        <v>0.95466060945327191</v>
      </c>
      <c r="AY222" s="19">
        <v>0.3279902108541819</v>
      </c>
      <c r="AZ222" s="19">
        <v>0.31280411660853463</v>
      </c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spans="1:61" x14ac:dyDescent="0.55000000000000004">
      <c r="A223" s="19" t="s">
        <v>255</v>
      </c>
      <c r="B223" s="19" t="s">
        <v>256</v>
      </c>
      <c r="C223" s="19" t="s">
        <v>8</v>
      </c>
      <c r="D223" s="19" t="s">
        <v>9</v>
      </c>
      <c r="E223" s="19">
        <v>1624</v>
      </c>
      <c r="F223" s="19">
        <v>68.403999999999996</v>
      </c>
      <c r="G223" s="19">
        <v>36.931899999999999</v>
      </c>
      <c r="H223" s="19">
        <v>59977.405599999998</v>
      </c>
      <c r="I223" s="19">
        <v>55.853700000000003</v>
      </c>
      <c r="J223" s="19">
        <v>14.7659</v>
      </c>
      <c r="K223" s="19">
        <v>21.796800000000001</v>
      </c>
      <c r="L223" s="19">
        <v>59.038400000000003</v>
      </c>
      <c r="M223" s="19">
        <v>41.0685</v>
      </c>
      <c r="N223" s="19">
        <v>18.804099999999998</v>
      </c>
      <c r="O223" s="19">
        <v>13.962300000000001</v>
      </c>
      <c r="P223" s="19">
        <v>43.195300000000003</v>
      </c>
      <c r="Q223" s="19">
        <v>497.81180000000001</v>
      </c>
      <c r="R223" s="19">
        <v>1108.8063</v>
      </c>
      <c r="S223" s="19">
        <v>2012.4474</v>
      </c>
      <c r="T223" s="19">
        <v>2016.3905990421722</v>
      </c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>
        <v>1.5985746739268762</v>
      </c>
      <c r="AQ223" s="19">
        <v>1.1695932242857803</v>
      </c>
      <c r="AR223" s="19"/>
      <c r="AS223" s="19"/>
      <c r="AT223" s="19"/>
      <c r="AU223" s="19">
        <v>0.94605714246998562</v>
      </c>
      <c r="AV223" s="19">
        <v>0.25010671020894876</v>
      </c>
      <c r="AW223" s="19">
        <v>0.36919699720859644</v>
      </c>
      <c r="AX223" s="19">
        <v>0.95076316173287367</v>
      </c>
      <c r="AY223" s="19">
        <v>0.43532745460732991</v>
      </c>
      <c r="AZ223" s="19">
        <v>0.32323655582899063</v>
      </c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spans="1:61" x14ac:dyDescent="0.55000000000000004">
      <c r="A224" s="19" t="s">
        <v>257</v>
      </c>
      <c r="B224" s="19" t="s">
        <v>258</v>
      </c>
      <c r="C224" s="19" t="s">
        <v>8</v>
      </c>
      <c r="D224" s="19" t="s">
        <v>9</v>
      </c>
      <c r="E224" s="19">
        <v>1324</v>
      </c>
      <c r="F224" s="19">
        <v>67.732699999999994</v>
      </c>
      <c r="G224" s="19">
        <v>35.376600000000003</v>
      </c>
      <c r="H224" s="19">
        <v>46838.618400000007</v>
      </c>
      <c r="I224" s="19">
        <v>138.5504</v>
      </c>
      <c r="J224" s="19">
        <v>24.546600000000002</v>
      </c>
      <c r="K224" s="19">
        <v>38.7346</v>
      </c>
      <c r="L224" s="19">
        <v>145.75489999999999</v>
      </c>
      <c r="M224" s="19">
        <v>38.843600000000002</v>
      </c>
      <c r="N224" s="19">
        <v>20.002199999999998</v>
      </c>
      <c r="O224" s="19">
        <v>16.901700000000002</v>
      </c>
      <c r="P224" s="19">
        <v>41.292299999999997</v>
      </c>
      <c r="Q224" s="19">
        <v>550.33979999999997</v>
      </c>
      <c r="R224" s="19">
        <v>378.7801</v>
      </c>
      <c r="S224" s="19">
        <v>1620.9550999999999</v>
      </c>
      <c r="T224" s="19">
        <v>1652.3196952659312</v>
      </c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>
        <v>4.1200935081381473</v>
      </c>
      <c r="AQ224" s="19">
        <v>1.1672207052119195</v>
      </c>
      <c r="AR224" s="19"/>
      <c r="AS224" s="19"/>
      <c r="AT224" s="19"/>
      <c r="AU224" s="19">
        <v>0.95057113002718951</v>
      </c>
      <c r="AV224" s="19">
        <v>0.16841011863066013</v>
      </c>
      <c r="AW224" s="19">
        <v>0.26575161452548079</v>
      </c>
      <c r="AX224" s="19">
        <v>0.94069838686631657</v>
      </c>
      <c r="AY224" s="19">
        <v>0.48440508278783212</v>
      </c>
      <c r="AZ224" s="19">
        <v>0.40931844435887571</v>
      </c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spans="1:61" x14ac:dyDescent="0.55000000000000004">
      <c r="A225" s="19" t="s">
        <v>259</v>
      </c>
      <c r="B225" s="19" t="s">
        <v>260</v>
      </c>
      <c r="C225" s="19" t="s">
        <v>8</v>
      </c>
      <c r="D225" s="19" t="s">
        <v>9</v>
      </c>
      <c r="E225" s="19">
        <v>1837</v>
      </c>
      <c r="F225" s="19">
        <v>70.728200000000001</v>
      </c>
      <c r="G225" s="19">
        <v>51.896599999999999</v>
      </c>
      <c r="H225" s="19">
        <v>95334.054199999999</v>
      </c>
      <c r="I225" s="19">
        <v>49.963500000000003</v>
      </c>
      <c r="J225" s="19">
        <v>20.706199999999999</v>
      </c>
      <c r="K225" s="19">
        <v>28.703399999999998</v>
      </c>
      <c r="L225" s="19">
        <v>58.385899999999999</v>
      </c>
      <c r="M225" s="19">
        <v>43.004100000000001</v>
      </c>
      <c r="N225" s="19">
        <v>19.730499999999999</v>
      </c>
      <c r="O225" s="19">
        <v>10.3705</v>
      </c>
      <c r="P225" s="19">
        <v>43.567700000000002</v>
      </c>
      <c r="Q225" s="19">
        <v>273.34089999999998</v>
      </c>
      <c r="R225" s="19">
        <v>129.69159999999999</v>
      </c>
      <c r="S225" s="19">
        <v>1776.6153999999999</v>
      </c>
      <c r="T225" s="19">
        <v>1787.3407803918421</v>
      </c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>
        <v>1.1250428737142704</v>
      </c>
      <c r="AQ225" s="19">
        <v>0.83950971739959845</v>
      </c>
      <c r="AR225" s="19"/>
      <c r="AS225" s="19"/>
      <c r="AT225" s="19"/>
      <c r="AU225" s="19">
        <v>0.85574599346760094</v>
      </c>
      <c r="AV225" s="19">
        <v>0.35464384380475422</v>
      </c>
      <c r="AW225" s="19">
        <v>0.49161527012515005</v>
      </c>
      <c r="AX225" s="19">
        <v>0.98706381103432128</v>
      </c>
      <c r="AY225" s="19">
        <v>0.45286990132598226</v>
      </c>
      <c r="AZ225" s="19">
        <v>0.2380318446922835</v>
      </c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spans="1:61" x14ac:dyDescent="0.55000000000000004">
      <c r="A226" s="19" t="s">
        <v>261</v>
      </c>
      <c r="B226" s="19" t="s">
        <v>262</v>
      </c>
      <c r="C226" s="19" t="s">
        <v>8</v>
      </c>
      <c r="D226" s="19" t="s">
        <v>9</v>
      </c>
      <c r="E226" s="19">
        <v>1600</v>
      </c>
      <c r="F226" s="19">
        <v>71.933499999999995</v>
      </c>
      <c r="G226" s="19">
        <v>41.606200000000001</v>
      </c>
      <c r="H226" s="19">
        <v>66569.919999999998</v>
      </c>
      <c r="I226" s="19">
        <v>55.936399999999999</v>
      </c>
      <c r="J226" s="19">
        <v>18.838100000000001</v>
      </c>
      <c r="K226" s="19">
        <v>27.329000000000001</v>
      </c>
      <c r="L226" s="19">
        <v>61.084699999999998</v>
      </c>
      <c r="M226" s="19">
        <v>49.692900000000002</v>
      </c>
      <c r="N226" s="19">
        <v>15.8451</v>
      </c>
      <c r="O226" s="19">
        <v>11.8117</v>
      </c>
      <c r="P226" s="19">
        <v>51.996499999999997</v>
      </c>
      <c r="Q226" s="19">
        <v>592.85490000000004</v>
      </c>
      <c r="R226" s="19">
        <v>54.130099999999999</v>
      </c>
      <c r="S226" s="19">
        <v>1756.3357000000001</v>
      </c>
      <c r="T226" s="19">
        <v>1852.4333273005484</v>
      </c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>
        <v>1.4681633987242284</v>
      </c>
      <c r="AQ226" s="19">
        <v>1.2497296076065585</v>
      </c>
      <c r="AR226" s="19"/>
      <c r="AS226" s="19"/>
      <c r="AT226" s="19"/>
      <c r="AU226" s="19">
        <v>0.91571866604894514</v>
      </c>
      <c r="AV226" s="19">
        <v>0.3083931000725223</v>
      </c>
      <c r="AW226" s="19">
        <v>0.44739517424166775</v>
      </c>
      <c r="AX226" s="19">
        <v>0.95569701806852392</v>
      </c>
      <c r="AY226" s="19">
        <v>0.30473397247891687</v>
      </c>
      <c r="AZ226" s="19">
        <v>0.22716336676507073</v>
      </c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spans="1:61" x14ac:dyDescent="0.55000000000000004">
      <c r="A227" s="19" t="s">
        <v>263</v>
      </c>
      <c r="B227" s="19" t="s">
        <v>264</v>
      </c>
      <c r="C227" s="19" t="s">
        <v>8</v>
      </c>
      <c r="D227" s="19" t="s">
        <v>9</v>
      </c>
      <c r="E227" s="19">
        <v>1743</v>
      </c>
      <c r="F227" s="19">
        <v>72.285499999999999</v>
      </c>
      <c r="G227" s="19">
        <v>73.818299999999994</v>
      </c>
      <c r="H227" s="19">
        <v>128665.29689999999</v>
      </c>
      <c r="I227" s="19">
        <v>35.531799999999997</v>
      </c>
      <c r="J227" s="19">
        <v>24.5947</v>
      </c>
      <c r="K227" s="19">
        <v>29.483899999999998</v>
      </c>
      <c r="L227" s="19">
        <v>48.6736</v>
      </c>
      <c r="M227" s="19">
        <v>43.2271</v>
      </c>
      <c r="N227" s="19">
        <v>19.659300000000002</v>
      </c>
      <c r="O227" s="19">
        <v>11.0617</v>
      </c>
      <c r="P227" s="19">
        <v>46.0336</v>
      </c>
      <c r="Q227" s="19">
        <v>487.51150000000001</v>
      </c>
      <c r="R227" s="19">
        <v>69.168899999999994</v>
      </c>
      <c r="S227" s="19">
        <v>1752.0630000000001</v>
      </c>
      <c r="T227" s="19">
        <v>1818.1591094096577</v>
      </c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>
        <v>0.65937037292920597</v>
      </c>
      <c r="AQ227" s="19">
        <v>0.62360688338799464</v>
      </c>
      <c r="AR227" s="19"/>
      <c r="AS227" s="19"/>
      <c r="AT227" s="19"/>
      <c r="AU227" s="19">
        <v>0.73000147924131353</v>
      </c>
      <c r="AV227" s="19">
        <v>0.50529856020512143</v>
      </c>
      <c r="AW227" s="19">
        <v>0.60574726340356988</v>
      </c>
      <c r="AX227" s="19">
        <v>0.93903366236835706</v>
      </c>
      <c r="AY227" s="19">
        <v>0.42706414445100976</v>
      </c>
      <c r="AZ227" s="19">
        <v>0.2402962184143756</v>
      </c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spans="1:61" x14ac:dyDescent="0.55000000000000004">
      <c r="A228" s="19" t="s">
        <v>265</v>
      </c>
      <c r="B228" s="19" t="s">
        <v>266</v>
      </c>
      <c r="C228" s="19" t="s">
        <v>8</v>
      </c>
      <c r="D228" s="19" t="s">
        <v>9</v>
      </c>
      <c r="E228" s="19">
        <v>1741</v>
      </c>
      <c r="F228" s="19">
        <v>68.593400000000003</v>
      </c>
      <c r="G228" s="19">
        <v>41.99</v>
      </c>
      <c r="H228" s="19">
        <v>73104.59</v>
      </c>
      <c r="I228" s="19">
        <v>56.512999999999998</v>
      </c>
      <c r="J228" s="19">
        <v>10.6229</v>
      </c>
      <c r="K228" s="19">
        <v>20.134499999999999</v>
      </c>
      <c r="L228" s="19">
        <v>58.461399999999998</v>
      </c>
      <c r="M228" s="19">
        <v>42.170200000000001</v>
      </c>
      <c r="N228" s="19">
        <v>13.526899999999999</v>
      </c>
      <c r="O228" s="19">
        <v>10.2745</v>
      </c>
      <c r="P228" s="19">
        <v>44.209099999999999</v>
      </c>
      <c r="Q228" s="19">
        <v>301.20800000000003</v>
      </c>
      <c r="R228" s="19">
        <v>49.393300000000004</v>
      </c>
      <c r="S228" s="19">
        <v>1957.3001999999999</v>
      </c>
      <c r="T228" s="19">
        <v>1968.3984911060768</v>
      </c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>
        <v>1.3922695879971421</v>
      </c>
      <c r="AQ228" s="19">
        <v>1.0528482972136222</v>
      </c>
      <c r="AR228" s="19"/>
      <c r="AS228" s="19"/>
      <c r="AT228" s="19"/>
      <c r="AU228" s="19">
        <v>0.96667202632848337</v>
      </c>
      <c r="AV228" s="19">
        <v>0.1817079303608877</v>
      </c>
      <c r="AW228" s="19">
        <v>0.34440673675279759</v>
      </c>
      <c r="AX228" s="19">
        <v>0.95388053590776567</v>
      </c>
      <c r="AY228" s="19">
        <v>0.30597546658945785</v>
      </c>
      <c r="AZ228" s="19">
        <v>0.2324069026512641</v>
      </c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spans="1:61" x14ac:dyDescent="0.55000000000000004">
      <c r="A229" s="19" t="s">
        <v>267</v>
      </c>
      <c r="B229" s="19" t="s">
        <v>268</v>
      </c>
      <c r="C229" s="19" t="s">
        <v>8</v>
      </c>
      <c r="D229" s="19" t="s">
        <v>9</v>
      </c>
      <c r="E229" s="19">
        <v>1256</v>
      </c>
      <c r="F229" s="19">
        <v>69.986999999999995</v>
      </c>
      <c r="G229" s="19">
        <v>40.692399999999999</v>
      </c>
      <c r="H229" s="19">
        <v>51109.654399999999</v>
      </c>
      <c r="I229" s="19">
        <v>64.260400000000004</v>
      </c>
      <c r="J229" s="19">
        <v>9.1854999999999993</v>
      </c>
      <c r="K229" s="19">
        <v>21.683</v>
      </c>
      <c r="L229" s="19">
        <v>66.207499999999996</v>
      </c>
      <c r="M229" s="19">
        <v>50.700099999999999</v>
      </c>
      <c r="N229" s="19">
        <v>15.9315</v>
      </c>
      <c r="O229" s="19"/>
      <c r="P229" s="19">
        <v>52.219900000000003</v>
      </c>
      <c r="Q229" s="19">
        <v>549.55619999999999</v>
      </c>
      <c r="R229" s="19">
        <v>1787.0581999999999</v>
      </c>
      <c r="S229" s="19">
        <v>2592.4011</v>
      </c>
      <c r="T229" s="19">
        <v>2592.4303771684149</v>
      </c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>
        <v>1.6270237194168935</v>
      </c>
      <c r="AQ229" s="19">
        <v>1.2832838564449383</v>
      </c>
      <c r="AR229" s="19"/>
      <c r="AS229" s="19"/>
      <c r="AT229" s="19"/>
      <c r="AU229" s="19">
        <v>0.97059094513461475</v>
      </c>
      <c r="AV229" s="19">
        <v>0.13873805837707209</v>
      </c>
      <c r="AW229" s="19">
        <v>0.32750066080126877</v>
      </c>
      <c r="AX229" s="19">
        <v>0.97089615261614814</v>
      </c>
      <c r="AY229" s="19">
        <v>0.30508484313451384</v>
      </c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spans="1:61" x14ac:dyDescent="0.55000000000000004">
      <c r="A230" s="19" t="s">
        <v>269</v>
      </c>
      <c r="B230" s="19" t="s">
        <v>270</v>
      </c>
      <c r="C230" s="19" t="s">
        <v>8</v>
      </c>
      <c r="D230" s="19" t="s">
        <v>9</v>
      </c>
      <c r="E230" s="19">
        <v>1954</v>
      </c>
      <c r="F230" s="19">
        <v>70.029899999999998</v>
      </c>
      <c r="G230" s="19">
        <v>41.600299999999997</v>
      </c>
      <c r="H230" s="19">
        <v>81286.986199999999</v>
      </c>
      <c r="I230" s="19">
        <v>49.2821</v>
      </c>
      <c r="J230" s="19">
        <v>16.8691</v>
      </c>
      <c r="K230" s="19">
        <v>31.524100000000001</v>
      </c>
      <c r="L230" s="19">
        <v>54.998899999999999</v>
      </c>
      <c r="M230" s="19">
        <v>46.496099999999998</v>
      </c>
      <c r="N230" s="19">
        <v>15.4399</v>
      </c>
      <c r="O230" s="19">
        <v>36.803100000000001</v>
      </c>
      <c r="P230" s="19">
        <v>48.550400000000003</v>
      </c>
      <c r="Q230" s="19">
        <v>692.88689999999997</v>
      </c>
      <c r="R230" s="19">
        <v>1463.1171999999999</v>
      </c>
      <c r="S230" s="19">
        <v>2006.9159999999999</v>
      </c>
      <c r="T230" s="19">
        <v>2014.5509951388894</v>
      </c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>
        <v>1.3220794080811917</v>
      </c>
      <c r="AQ230" s="19">
        <v>1.1670685067174997</v>
      </c>
      <c r="AR230" s="19"/>
      <c r="AS230" s="19"/>
      <c r="AT230" s="19"/>
      <c r="AU230" s="19">
        <v>0.89605610294024063</v>
      </c>
      <c r="AV230" s="19">
        <v>0.30671704343177775</v>
      </c>
      <c r="AW230" s="19">
        <v>0.57317691808381621</v>
      </c>
      <c r="AX230" s="19">
        <v>0.95768726931189019</v>
      </c>
      <c r="AY230" s="19">
        <v>0.31801797719483255</v>
      </c>
      <c r="AZ230" s="19">
        <v>0.75803906867914572</v>
      </c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spans="1:61" x14ac:dyDescent="0.55000000000000004">
      <c r="A231" s="19" t="s">
        <v>271</v>
      </c>
      <c r="B231" s="19" t="s">
        <v>272</v>
      </c>
      <c r="C231" s="19" t="s">
        <v>8</v>
      </c>
      <c r="D231" s="19" t="s">
        <v>9</v>
      </c>
      <c r="E231" s="19">
        <v>1672</v>
      </c>
      <c r="F231" s="19">
        <v>69.308099999999996</v>
      </c>
      <c r="G231" s="19">
        <v>147.94059999999999</v>
      </c>
      <c r="H231" s="19">
        <v>247356.68319999997</v>
      </c>
      <c r="I231" s="19">
        <v>47.607700000000001</v>
      </c>
      <c r="J231" s="19">
        <v>19.373000000000001</v>
      </c>
      <c r="K231" s="19">
        <v>23.256699999999999</v>
      </c>
      <c r="L231" s="19">
        <v>53.219799999999999</v>
      </c>
      <c r="M231" s="19">
        <v>46.7605</v>
      </c>
      <c r="N231" s="19">
        <v>19.957799999999999</v>
      </c>
      <c r="O231" s="19">
        <v>9.2165999999999997</v>
      </c>
      <c r="P231" s="19">
        <v>50.878999999999998</v>
      </c>
      <c r="Q231" s="19">
        <v>465.54730000000001</v>
      </c>
      <c r="R231" s="19">
        <v>257.19110000000001</v>
      </c>
      <c r="S231" s="19">
        <v>1954.1283000000001</v>
      </c>
      <c r="T231" s="19">
        <v>1994.3893779236416</v>
      </c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>
        <v>0.35973762442493812</v>
      </c>
      <c r="AQ231" s="19">
        <v>0.34391505780022524</v>
      </c>
      <c r="AR231" s="19"/>
      <c r="AS231" s="19"/>
      <c r="AT231" s="19"/>
      <c r="AU231" s="19">
        <v>0.89454864542895696</v>
      </c>
      <c r="AV231" s="19">
        <v>0.36401865471121653</v>
      </c>
      <c r="AW231" s="19">
        <v>0.43699337464627824</v>
      </c>
      <c r="AX231" s="19">
        <v>0.91905304742624661</v>
      </c>
      <c r="AY231" s="19">
        <v>0.39226006800448121</v>
      </c>
      <c r="AZ231" s="19">
        <v>0.18114742821203247</v>
      </c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spans="1:61" x14ac:dyDescent="0.55000000000000004">
      <c r="A232" s="19" t="s">
        <v>273</v>
      </c>
      <c r="B232" s="19" t="s">
        <v>11</v>
      </c>
      <c r="C232" s="19" t="s">
        <v>8</v>
      </c>
      <c r="D232" s="19" t="s">
        <v>9</v>
      </c>
      <c r="E232" s="19">
        <v>1432</v>
      </c>
      <c r="F232" s="19">
        <v>70.637799999999999</v>
      </c>
      <c r="G232" s="19">
        <v>40.0184</v>
      </c>
      <c r="H232" s="19">
        <v>57306.3488</v>
      </c>
      <c r="I232" s="19">
        <v>113.8498</v>
      </c>
      <c r="J232" s="19">
        <v>16.890799999999999</v>
      </c>
      <c r="K232" s="19">
        <v>41.292400000000001</v>
      </c>
      <c r="L232" s="19">
        <v>121.83969999999999</v>
      </c>
      <c r="M232" s="19">
        <v>50.822000000000003</v>
      </c>
      <c r="N232" s="19">
        <v>19.943999999999999</v>
      </c>
      <c r="O232" s="19">
        <v>12.301500000000001</v>
      </c>
      <c r="P232" s="19">
        <v>52.427799999999998</v>
      </c>
      <c r="Q232" s="19">
        <v>386.69540000000001</v>
      </c>
      <c r="R232" s="19">
        <v>88.131500000000003</v>
      </c>
      <c r="S232" s="19">
        <v>1375.3757000000001</v>
      </c>
      <c r="T232" s="19">
        <v>1384.3677546311637</v>
      </c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>
        <v>3.0445919876856644</v>
      </c>
      <c r="AQ232" s="19">
        <v>1.3100923575155428</v>
      </c>
      <c r="AR232" s="19"/>
      <c r="AS232" s="19"/>
      <c r="AT232" s="19"/>
      <c r="AU232" s="19">
        <v>0.93442285232153399</v>
      </c>
      <c r="AV232" s="19">
        <v>0.13863133280860016</v>
      </c>
      <c r="AW232" s="19">
        <v>0.33890759744155641</v>
      </c>
      <c r="AX232" s="19">
        <v>0.96937121145651739</v>
      </c>
      <c r="AY232" s="19">
        <v>0.38040886705144983</v>
      </c>
      <c r="AZ232" s="19">
        <v>0.2346369674104197</v>
      </c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spans="1:61" x14ac:dyDescent="0.55000000000000004">
      <c r="A233" s="19" t="s">
        <v>274</v>
      </c>
      <c r="B233" s="19" t="s">
        <v>275</v>
      </c>
      <c r="C233" s="19" t="s">
        <v>8</v>
      </c>
      <c r="D233" s="19" t="s">
        <v>9</v>
      </c>
      <c r="E233" s="19">
        <v>1511</v>
      </c>
      <c r="F233" s="19">
        <v>68.684501000000012</v>
      </c>
      <c r="G233" s="19">
        <v>37.888511999999999</v>
      </c>
      <c r="H233" s="19">
        <v>57249.541632</v>
      </c>
      <c r="I233" s="19">
        <v>54.039352999999998</v>
      </c>
      <c r="J233" s="19">
        <v>16.837878</v>
      </c>
      <c r="K233" s="19">
        <v>22.293771</v>
      </c>
      <c r="L233" s="19">
        <v>59.299379999999999</v>
      </c>
      <c r="M233" s="19">
        <v>39.053846</v>
      </c>
      <c r="N233" s="19">
        <v>14.374758</v>
      </c>
      <c r="O233" s="19">
        <v>13.130774000000001</v>
      </c>
      <c r="P233" s="19">
        <v>41.664324000000001</v>
      </c>
      <c r="Q233" s="19">
        <v>355.04026499999998</v>
      </c>
      <c r="R233" s="19">
        <v>42.040723</v>
      </c>
      <c r="S233" s="19">
        <v>1864.948206</v>
      </c>
      <c r="T233" s="19">
        <v>1865.7374077757474</v>
      </c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>
        <v>1.5651018440629181</v>
      </c>
      <c r="AQ233" s="19">
        <v>1.0996558534681964</v>
      </c>
      <c r="AR233" s="19"/>
      <c r="AS233" s="19"/>
      <c r="AT233" s="19"/>
      <c r="AU233" s="19">
        <v>0.91129709956495331</v>
      </c>
      <c r="AV233" s="19">
        <v>0.28394694851784286</v>
      </c>
      <c r="AW233" s="19">
        <v>0.37595285144633889</v>
      </c>
      <c r="AX233" s="19">
        <v>0.93734500528557718</v>
      </c>
      <c r="AY233" s="19">
        <v>0.3450135900440866</v>
      </c>
      <c r="AZ233" s="19">
        <v>0.31515629534754963</v>
      </c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spans="1:61" x14ac:dyDescent="0.55000000000000004">
      <c r="A234" s="19" t="s">
        <v>276</v>
      </c>
      <c r="B234" s="19" t="s">
        <v>277</v>
      </c>
      <c r="C234" s="19" t="s">
        <v>8</v>
      </c>
      <c r="D234" s="19" t="s">
        <v>9</v>
      </c>
      <c r="E234" s="19">
        <v>1734</v>
      </c>
      <c r="F234" s="19">
        <v>69.785300000000007</v>
      </c>
      <c r="G234" s="19">
        <v>38.572800000000001</v>
      </c>
      <c r="H234" s="19">
        <v>66885.235199999996</v>
      </c>
      <c r="I234" s="19">
        <v>48.480499999999999</v>
      </c>
      <c r="J234" s="19">
        <v>15.849</v>
      </c>
      <c r="K234" s="19">
        <v>23.871099999999998</v>
      </c>
      <c r="L234" s="19">
        <v>53.941899999999997</v>
      </c>
      <c r="M234" s="19">
        <v>44.4773</v>
      </c>
      <c r="N234" s="19">
        <v>19.331299999999999</v>
      </c>
      <c r="O234" s="19">
        <v>13.238</v>
      </c>
      <c r="P234" s="19">
        <v>47.116599999999998</v>
      </c>
      <c r="Q234" s="19">
        <v>484.55029999999999</v>
      </c>
      <c r="R234" s="19">
        <v>174.18299999999999</v>
      </c>
      <c r="S234" s="19">
        <v>1233.1868999999999</v>
      </c>
      <c r="T234" s="19">
        <v>1240.2678908886458</v>
      </c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>
        <v>1.398443981251037</v>
      </c>
      <c r="AQ234" s="19">
        <v>1.221498050439688</v>
      </c>
      <c r="AR234" s="19"/>
      <c r="AS234" s="19"/>
      <c r="AT234" s="19"/>
      <c r="AU234" s="19">
        <v>0.89875402979872798</v>
      </c>
      <c r="AV234" s="19">
        <v>0.29381612438568167</v>
      </c>
      <c r="AW234" s="19">
        <v>0.44253354071695655</v>
      </c>
      <c r="AX234" s="19">
        <v>0.94398364907484833</v>
      </c>
      <c r="AY234" s="19">
        <v>0.41028639587746146</v>
      </c>
      <c r="AZ234" s="19">
        <v>0.28096254823140887</v>
      </c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spans="1:61" x14ac:dyDescent="0.55000000000000004">
      <c r="A235" s="19" t="s">
        <v>278</v>
      </c>
      <c r="B235" s="19" t="s">
        <v>279</v>
      </c>
      <c r="C235" s="19" t="s">
        <v>8</v>
      </c>
      <c r="D235" s="19" t="s">
        <v>9</v>
      </c>
      <c r="E235" s="19">
        <v>1455</v>
      </c>
      <c r="F235" s="19">
        <v>70.085397</v>
      </c>
      <c r="G235" s="19">
        <v>29.706233999999998</v>
      </c>
      <c r="H235" s="19">
        <v>43222.570469999999</v>
      </c>
      <c r="I235" s="19">
        <v>46.127147000000001</v>
      </c>
      <c r="J235" s="19">
        <v>27.401083</v>
      </c>
      <c r="K235" s="19">
        <v>17.708020000000001</v>
      </c>
      <c r="L235" s="19">
        <v>48.783729000000001</v>
      </c>
      <c r="M235" s="19">
        <v>38.701037999999997</v>
      </c>
      <c r="N235" s="19">
        <v>18.181957000000001</v>
      </c>
      <c r="O235" s="19">
        <v>11.247396999999999</v>
      </c>
      <c r="P235" s="19">
        <v>42.616073</v>
      </c>
      <c r="Q235" s="19">
        <v>325.06661200000002</v>
      </c>
      <c r="R235" s="19">
        <v>67.576899999999995</v>
      </c>
      <c r="S235" s="19">
        <v>1295.184782</v>
      </c>
      <c r="T235" s="19">
        <v>1317.3270888941772</v>
      </c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>
        <v>1.6422051007879357</v>
      </c>
      <c r="AQ235" s="19">
        <v>1.4345834951680514</v>
      </c>
      <c r="AR235" s="19"/>
      <c r="AS235" s="19"/>
      <c r="AT235" s="19"/>
      <c r="AU235" s="19">
        <v>0.94554368732246774</v>
      </c>
      <c r="AV235" s="19">
        <v>0.56168488062894906</v>
      </c>
      <c r="AW235" s="19">
        <v>0.36299029129159027</v>
      </c>
      <c r="AX235" s="19">
        <v>0.90813243162972801</v>
      </c>
      <c r="AY235" s="19">
        <v>0.42664552878910267</v>
      </c>
      <c r="AZ235" s="19">
        <v>0.26392382517272295</v>
      </c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spans="1:61" x14ac:dyDescent="0.55000000000000004">
      <c r="A236" s="19" t="s">
        <v>280</v>
      </c>
      <c r="B236" s="19" t="s">
        <v>281</v>
      </c>
      <c r="C236" s="19" t="s">
        <v>8</v>
      </c>
      <c r="D236" s="19" t="s">
        <v>9</v>
      </c>
      <c r="E236" s="19">
        <v>1544</v>
      </c>
      <c r="F236" s="19">
        <v>68.123310000000004</v>
      </c>
      <c r="G236" s="19">
        <v>31.161175</v>
      </c>
      <c r="H236" s="19">
        <v>48112.854200000002</v>
      </c>
      <c r="I236" s="19">
        <v>47.253607000000002</v>
      </c>
      <c r="J236" s="19">
        <v>16.419080999999998</v>
      </c>
      <c r="K236" s="19">
        <v>31.372631999999999</v>
      </c>
      <c r="L236" s="19">
        <v>53.544276000000004</v>
      </c>
      <c r="M236" s="19">
        <v>41.297471000000002</v>
      </c>
      <c r="N236" s="19">
        <v>19.109891999999999</v>
      </c>
      <c r="O236" s="19">
        <v>12.213539000000001</v>
      </c>
      <c r="P236" s="19">
        <v>44.567754000000001</v>
      </c>
      <c r="Q236" s="19">
        <v>415.343841</v>
      </c>
      <c r="R236" s="19">
        <v>629.41013899999996</v>
      </c>
      <c r="S236" s="19">
        <v>1430.6758259999999</v>
      </c>
      <c r="T236" s="19">
        <v>1434.2134193445947</v>
      </c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>
        <v>1.7183009305650381</v>
      </c>
      <c r="AQ236" s="19">
        <v>1.4302334234829079</v>
      </c>
      <c r="AR236" s="19"/>
      <c r="AS236" s="19"/>
      <c r="AT236" s="19"/>
      <c r="AU236" s="19">
        <v>0.88251463144258402</v>
      </c>
      <c r="AV236" s="19">
        <v>0.30664493437169638</v>
      </c>
      <c r="AW236" s="19">
        <v>0.58591943609434549</v>
      </c>
      <c r="AX236" s="19">
        <v>0.92662221659184352</v>
      </c>
      <c r="AY236" s="19">
        <v>0.42878292677705943</v>
      </c>
      <c r="AZ236" s="19">
        <v>0.27404430117793238</v>
      </c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spans="1:61" x14ac:dyDescent="0.55000000000000004">
      <c r="A237" s="19" t="s">
        <v>282</v>
      </c>
      <c r="B237" s="19" t="s">
        <v>283</v>
      </c>
      <c r="C237" s="19" t="s">
        <v>8</v>
      </c>
      <c r="D237" s="19" t="s">
        <v>9</v>
      </c>
      <c r="E237" s="19">
        <v>1567</v>
      </c>
      <c r="F237" s="19">
        <v>68.623930999999999</v>
      </c>
      <c r="G237" s="19">
        <v>35.408862999999997</v>
      </c>
      <c r="H237" s="19">
        <v>55485.688320999994</v>
      </c>
      <c r="I237" s="19">
        <v>88.107840999999993</v>
      </c>
      <c r="J237" s="19">
        <v>12.740982000000001</v>
      </c>
      <c r="K237" s="19">
        <v>25.756737999999999</v>
      </c>
      <c r="L237" s="19">
        <v>92.362703999999994</v>
      </c>
      <c r="M237" s="19">
        <v>39.323222000000001</v>
      </c>
      <c r="N237" s="19">
        <v>18.570961</v>
      </c>
      <c r="O237" s="19">
        <v>10.932205</v>
      </c>
      <c r="P237" s="19">
        <v>42.020693999999999</v>
      </c>
      <c r="Q237" s="19">
        <v>469.03864800000002</v>
      </c>
      <c r="R237" s="19">
        <v>542.94669499999998</v>
      </c>
      <c r="S237" s="19">
        <v>1443.364298</v>
      </c>
      <c r="T237" s="19">
        <v>1443.8140029294477</v>
      </c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>
        <v>2.608462858578656</v>
      </c>
      <c r="AQ237" s="19">
        <v>1.1867281363990705</v>
      </c>
      <c r="AR237" s="19"/>
      <c r="AS237" s="19"/>
      <c r="AT237" s="19"/>
      <c r="AU237" s="19">
        <v>0.95393310486016092</v>
      </c>
      <c r="AV237" s="19">
        <v>0.13794509524104018</v>
      </c>
      <c r="AW237" s="19">
        <v>0.27886513586696204</v>
      </c>
      <c r="AX237" s="19">
        <v>0.93580610543938192</v>
      </c>
      <c r="AY237" s="19">
        <v>0.44194798400997376</v>
      </c>
      <c r="AZ237" s="19">
        <v>0.26016240950232761</v>
      </c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spans="1:61" x14ac:dyDescent="0.55000000000000004">
      <c r="A238" s="19" t="s">
        <v>284</v>
      </c>
      <c r="B238" s="19" t="s">
        <v>285</v>
      </c>
      <c r="C238" s="19" t="s">
        <v>8</v>
      </c>
      <c r="D238" s="19" t="s">
        <v>9</v>
      </c>
      <c r="E238" s="19">
        <v>1302</v>
      </c>
      <c r="F238" s="19">
        <v>68.596154999999996</v>
      </c>
      <c r="G238" s="19">
        <v>35.461002000000001</v>
      </c>
      <c r="H238" s="19">
        <v>46170.224604000003</v>
      </c>
      <c r="I238" s="19">
        <v>47.768396000000003</v>
      </c>
      <c r="J238" s="19">
        <v>10.514112000000001</v>
      </c>
      <c r="K238" s="19">
        <v>18.620035999999999</v>
      </c>
      <c r="L238" s="19">
        <v>49.276721999999999</v>
      </c>
      <c r="M238" s="19">
        <v>43.317231</v>
      </c>
      <c r="N238" s="19">
        <v>15.054974</v>
      </c>
      <c r="O238" s="19">
        <v>13.495257000000001</v>
      </c>
      <c r="P238" s="19">
        <v>45.552536000000003</v>
      </c>
      <c r="Q238" s="19">
        <v>374.72244499999999</v>
      </c>
      <c r="R238" s="19">
        <v>69.458704999999995</v>
      </c>
      <c r="S238" s="19">
        <v>2233.6286460000001</v>
      </c>
      <c r="T238" s="19">
        <v>2237.4768499972938</v>
      </c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>
        <v>1.3896032041057385</v>
      </c>
      <c r="AQ238" s="19">
        <v>1.284581185833384</v>
      </c>
      <c r="AR238" s="19"/>
      <c r="AS238" s="19"/>
      <c r="AT238" s="19"/>
      <c r="AU238" s="19">
        <v>0.96939069932452093</v>
      </c>
      <c r="AV238" s="19">
        <v>0.21336873828579753</v>
      </c>
      <c r="AW238" s="19">
        <v>0.37786677449851469</v>
      </c>
      <c r="AX238" s="19">
        <v>0.95092907670387428</v>
      </c>
      <c r="AY238" s="19">
        <v>0.33049694532923479</v>
      </c>
      <c r="AZ238" s="19">
        <v>0.29625698556058438</v>
      </c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spans="1:61" x14ac:dyDescent="0.55000000000000004">
      <c r="A239" s="19" t="s">
        <v>286</v>
      </c>
      <c r="B239" s="19" t="s">
        <v>287</v>
      </c>
      <c r="C239" s="19" t="s">
        <v>8</v>
      </c>
      <c r="D239" s="19" t="s">
        <v>9</v>
      </c>
      <c r="E239" s="19">
        <v>1824</v>
      </c>
      <c r="F239" s="19">
        <v>72.771411000000001</v>
      </c>
      <c r="G239" s="19">
        <v>93.558318999999997</v>
      </c>
      <c r="H239" s="19">
        <v>170650.37385599999</v>
      </c>
      <c r="I239" s="19">
        <v>45.335687999999998</v>
      </c>
      <c r="J239" s="19">
        <v>21.056457000000002</v>
      </c>
      <c r="K239" s="19">
        <v>28.407442</v>
      </c>
      <c r="L239" s="19">
        <v>49.800274000000002</v>
      </c>
      <c r="M239" s="19">
        <v>42.844679999999997</v>
      </c>
      <c r="N239" s="19">
        <v>14.751453</v>
      </c>
      <c r="O239" s="19">
        <v>26.242363000000001</v>
      </c>
      <c r="P239" s="19">
        <v>45.302973999999999</v>
      </c>
      <c r="Q239" s="19">
        <v>428.263037</v>
      </c>
      <c r="R239" s="19">
        <v>3064.7217719999999</v>
      </c>
      <c r="S239" s="19">
        <v>1603.3412069999999</v>
      </c>
      <c r="T239" s="19">
        <v>3080.5399342235805</v>
      </c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>
        <v>0.53229124392455152</v>
      </c>
      <c r="AQ239" s="19">
        <v>0.48422176118833432</v>
      </c>
      <c r="AR239" s="19"/>
      <c r="AS239" s="19"/>
      <c r="AT239" s="19"/>
      <c r="AU239" s="19">
        <v>0.91035017196893331</v>
      </c>
      <c r="AV239" s="19">
        <v>0.42281809533819031</v>
      </c>
      <c r="AW239" s="19">
        <v>0.5704274237527287</v>
      </c>
      <c r="AX239" s="19">
        <v>0.94573658674152383</v>
      </c>
      <c r="AY239" s="19">
        <v>0.32561776187143915</v>
      </c>
      <c r="AZ239" s="19">
        <v>0.57926358212156226</v>
      </c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spans="1:61" x14ac:dyDescent="0.55000000000000004">
      <c r="A240" s="19" t="s">
        <v>288</v>
      </c>
      <c r="B240" s="19" t="s">
        <v>289</v>
      </c>
      <c r="C240" s="19" t="s">
        <v>8</v>
      </c>
      <c r="D240" s="19" t="s">
        <v>9</v>
      </c>
      <c r="E240" s="19">
        <v>1319</v>
      </c>
      <c r="F240" s="19">
        <v>67.303941999999992</v>
      </c>
      <c r="G240" s="19">
        <v>33.093425000000003</v>
      </c>
      <c r="H240" s="19">
        <v>43650.227575000004</v>
      </c>
      <c r="I240" s="19">
        <v>67.308138999999997</v>
      </c>
      <c r="J240" s="19">
        <v>15.696980999999999</v>
      </c>
      <c r="K240" s="19">
        <v>20.514755000000001</v>
      </c>
      <c r="L240" s="19">
        <v>71.107425000000006</v>
      </c>
      <c r="M240" s="19">
        <v>50.704880000000003</v>
      </c>
      <c r="N240" s="19">
        <v>17.022922999999999</v>
      </c>
      <c r="O240" s="19">
        <v>14.120566999999999</v>
      </c>
      <c r="P240" s="19">
        <v>50.892226000000001</v>
      </c>
      <c r="Q240" s="19">
        <v>623.92478900000003</v>
      </c>
      <c r="R240" s="19">
        <v>244.46805000000001</v>
      </c>
      <c r="S240" s="19">
        <v>2705.9005299999999</v>
      </c>
      <c r="T240" s="19">
        <v>2706.0407750638456</v>
      </c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>
        <v>2.1486873903199806</v>
      </c>
      <c r="AQ240" s="19">
        <v>1.5378349626851857</v>
      </c>
      <c r="AR240" s="19"/>
      <c r="AS240" s="19"/>
      <c r="AT240" s="19"/>
      <c r="AU240" s="19">
        <v>0.94656977101898976</v>
      </c>
      <c r="AV240" s="19">
        <v>0.22075023810804564</v>
      </c>
      <c r="AW240" s="19">
        <v>0.28850369704710865</v>
      </c>
      <c r="AX240" s="19">
        <v>0.99631876978617528</v>
      </c>
      <c r="AY240" s="19">
        <v>0.33448965270255615</v>
      </c>
      <c r="AZ240" s="19">
        <v>0.2774601959835673</v>
      </c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spans="1:61" x14ac:dyDescent="0.55000000000000004">
      <c r="A241" s="19" t="s">
        <v>290</v>
      </c>
      <c r="B241" s="19" t="s">
        <v>291</v>
      </c>
      <c r="C241" s="19" t="s">
        <v>8</v>
      </c>
      <c r="D241" s="19" t="s">
        <v>9</v>
      </c>
      <c r="E241" s="19">
        <v>1308</v>
      </c>
      <c r="F241" s="19">
        <v>69.590066000000007</v>
      </c>
      <c r="G241" s="19">
        <v>35.069651</v>
      </c>
      <c r="H241" s="19">
        <v>45871.103508</v>
      </c>
      <c r="I241" s="19">
        <v>117.25927900000001</v>
      </c>
      <c r="J241" s="19">
        <v>25.679680000000001</v>
      </c>
      <c r="K241" s="19">
        <v>38.318992000000001</v>
      </c>
      <c r="L241" s="19">
        <v>124.356025</v>
      </c>
      <c r="M241" s="19">
        <v>45.979782</v>
      </c>
      <c r="N241" s="19">
        <v>7.9166720000000002</v>
      </c>
      <c r="O241" s="19">
        <v>11.038961</v>
      </c>
      <c r="P241" s="19">
        <v>46.803325999999998</v>
      </c>
      <c r="Q241" s="19">
        <v>776.80042700000001</v>
      </c>
      <c r="R241" s="19">
        <v>812.65178300000002</v>
      </c>
      <c r="S241" s="19">
        <v>2348.593844</v>
      </c>
      <c r="T241" s="19">
        <v>2350.7841422353763</v>
      </c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>
        <v>3.5459726987303068</v>
      </c>
      <c r="AQ241" s="19">
        <v>1.3345820293449739</v>
      </c>
      <c r="AR241" s="19"/>
      <c r="AS241" s="19"/>
      <c r="AT241" s="19"/>
      <c r="AU241" s="19">
        <v>0.94293202922817776</v>
      </c>
      <c r="AV241" s="19">
        <v>0.20650129336314826</v>
      </c>
      <c r="AW241" s="19">
        <v>0.30813940860525252</v>
      </c>
      <c r="AX241" s="19">
        <v>0.98240415649092971</v>
      </c>
      <c r="AY241" s="19">
        <v>0.16914763707177563</v>
      </c>
      <c r="AZ241" s="19">
        <v>0.23585847296407952</v>
      </c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spans="1:61" x14ac:dyDescent="0.55000000000000004">
      <c r="A242" s="19" t="s">
        <v>292</v>
      </c>
      <c r="B242" s="19" t="s">
        <v>293</v>
      </c>
      <c r="C242" s="19" t="s">
        <v>8</v>
      </c>
      <c r="D242" s="19" t="s">
        <v>9</v>
      </c>
      <c r="E242" s="19">
        <v>1676</v>
      </c>
      <c r="F242" s="19">
        <v>68.988405</v>
      </c>
      <c r="G242" s="19">
        <v>36.599062000000004</v>
      </c>
      <c r="H242" s="19">
        <v>61340.027912000005</v>
      </c>
      <c r="I242" s="19">
        <v>45.498404999999998</v>
      </c>
      <c r="J242" s="19">
        <v>9.7996890000000008</v>
      </c>
      <c r="K242" s="19">
        <v>16.742728</v>
      </c>
      <c r="L242" s="19">
        <v>48.278371999999997</v>
      </c>
      <c r="M242" s="19">
        <v>41.145606999999998</v>
      </c>
      <c r="N242" s="19">
        <v>12.973267</v>
      </c>
      <c r="O242" s="19">
        <v>8.2302330000000001</v>
      </c>
      <c r="P242" s="19">
        <v>42.110202999999998</v>
      </c>
      <c r="Q242" s="19">
        <v>294.55692399999998</v>
      </c>
      <c r="R242" s="19">
        <v>22.210508999999998</v>
      </c>
      <c r="S242" s="19">
        <v>1196.0584799999999</v>
      </c>
      <c r="T242" s="19">
        <v>1229.9334064059406</v>
      </c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>
        <v>1.3191150090130723</v>
      </c>
      <c r="AQ242" s="19">
        <v>1.1505814821155798</v>
      </c>
      <c r="AR242" s="19"/>
      <c r="AS242" s="19"/>
      <c r="AT242" s="19"/>
      <c r="AU242" s="19">
        <v>0.94241796305807501</v>
      </c>
      <c r="AV242" s="19">
        <v>0.2029830044807642</v>
      </c>
      <c r="AW242" s="19">
        <v>0.34679562102881184</v>
      </c>
      <c r="AX242" s="19">
        <v>0.97709353241541008</v>
      </c>
      <c r="AY242" s="19">
        <v>0.30807894704283428</v>
      </c>
      <c r="AZ242" s="19">
        <v>0.19544510388610573</v>
      </c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spans="1:61" x14ac:dyDescent="0.55000000000000004">
      <c r="A243" s="19" t="s">
        <v>294</v>
      </c>
      <c r="B243" s="19" t="s">
        <v>295</v>
      </c>
      <c r="C243" s="19" t="s">
        <v>8</v>
      </c>
      <c r="D243" s="19" t="s">
        <v>9</v>
      </c>
      <c r="E243" s="19">
        <v>1728</v>
      </c>
      <c r="F243" s="19">
        <v>70.220745999999991</v>
      </c>
      <c r="G243" s="19">
        <v>37.094403</v>
      </c>
      <c r="H243" s="19">
        <v>64099.128383999996</v>
      </c>
      <c r="I243" s="19">
        <v>63.732382000000001</v>
      </c>
      <c r="J243" s="19">
        <v>28.202966</v>
      </c>
      <c r="K243" s="19">
        <v>28.683084999999998</v>
      </c>
      <c r="L243" s="19">
        <v>74.634860000000003</v>
      </c>
      <c r="M243" s="19">
        <v>48.141497000000001</v>
      </c>
      <c r="N243" s="19">
        <v>12.367991</v>
      </c>
      <c r="O243" s="19">
        <v>18.541215999999999</v>
      </c>
      <c r="P243" s="19">
        <v>51.962490000000003</v>
      </c>
      <c r="Q243" s="19">
        <v>531.67065500000001</v>
      </c>
      <c r="R243" s="19">
        <v>58.355564999999999</v>
      </c>
      <c r="S243" s="19">
        <v>1587.7417949999999</v>
      </c>
      <c r="T243" s="19">
        <v>1633.8947214417915</v>
      </c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>
        <v>2.012024832964693</v>
      </c>
      <c r="AQ243" s="19">
        <v>1.4008175303427852</v>
      </c>
      <c r="AR243" s="19"/>
      <c r="AS243" s="19"/>
      <c r="AT243" s="19"/>
      <c r="AU243" s="19">
        <v>0.85392244321219335</v>
      </c>
      <c r="AV243" s="19">
        <v>0.3778792644616738</v>
      </c>
      <c r="AW243" s="19">
        <v>0.38431216994310696</v>
      </c>
      <c r="AX243" s="19">
        <v>0.92646632214891933</v>
      </c>
      <c r="AY243" s="19">
        <v>0.23801767390284798</v>
      </c>
      <c r="AZ243" s="19">
        <v>0.35681923633759655</v>
      </c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spans="1:61" x14ac:dyDescent="0.55000000000000004">
      <c r="A244" s="19" t="s">
        <v>296</v>
      </c>
      <c r="B244" s="19" t="s">
        <v>297</v>
      </c>
      <c r="C244" s="19" t="s">
        <v>8</v>
      </c>
      <c r="D244" s="19" t="s">
        <v>9</v>
      </c>
      <c r="E244" s="19">
        <v>1842</v>
      </c>
      <c r="F244" s="19">
        <v>69.778357999999997</v>
      </c>
      <c r="G244" s="19">
        <v>50.238664</v>
      </c>
      <c r="H244" s="19">
        <v>92539.619088000007</v>
      </c>
      <c r="I244" s="19">
        <v>42.084254000000001</v>
      </c>
      <c r="J244" s="19">
        <v>17.257403</v>
      </c>
      <c r="K244" s="19">
        <v>23.228382</v>
      </c>
      <c r="L244" s="19">
        <v>46.169296000000003</v>
      </c>
      <c r="M244" s="19">
        <v>43.142060000000001</v>
      </c>
      <c r="N244" s="19">
        <v>10.624655000000001</v>
      </c>
      <c r="O244" s="19">
        <v>6.0696640000000004</v>
      </c>
      <c r="P244" s="19">
        <v>44.027042000000002</v>
      </c>
      <c r="Q244" s="19">
        <v>457.71254499999998</v>
      </c>
      <c r="R244" s="19">
        <v>27.900759999999998</v>
      </c>
      <c r="S244" s="19">
        <v>1586.5623129999999</v>
      </c>
      <c r="T244" s="19">
        <v>1620.005434584916</v>
      </c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>
        <v>0.91899927912095758</v>
      </c>
      <c r="AQ244" s="19">
        <v>0.87635773913096104</v>
      </c>
      <c r="AR244" s="19"/>
      <c r="AS244" s="19"/>
      <c r="AT244" s="19"/>
      <c r="AU244" s="19">
        <v>0.91152037492622795</v>
      </c>
      <c r="AV244" s="19">
        <v>0.3737852749584919</v>
      </c>
      <c r="AW244" s="19">
        <v>0.50311319453517334</v>
      </c>
      <c r="AX244" s="19">
        <v>0.97989912654136513</v>
      </c>
      <c r="AY244" s="19">
        <v>0.24132111805285489</v>
      </c>
      <c r="AZ244" s="19">
        <v>0.13786218024822108</v>
      </c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spans="1:61" x14ac:dyDescent="0.55000000000000004">
      <c r="A245" s="19" t="s">
        <v>298</v>
      </c>
      <c r="B245" s="19" t="s">
        <v>299</v>
      </c>
      <c r="C245" s="19" t="s">
        <v>8</v>
      </c>
      <c r="D245" s="19" t="s">
        <v>9</v>
      </c>
      <c r="E245" s="19">
        <v>1822</v>
      </c>
      <c r="F245" s="19">
        <v>65.812421000000001</v>
      </c>
      <c r="G245" s="19">
        <v>36.569597000000002</v>
      </c>
      <c r="H245" s="19">
        <v>66629.805734000009</v>
      </c>
      <c r="I245" s="19">
        <v>38.364660000000001</v>
      </c>
      <c r="J245" s="19">
        <v>16.357568000000001</v>
      </c>
      <c r="K245" s="19">
        <v>22.884598</v>
      </c>
      <c r="L245" s="19">
        <v>44.091811</v>
      </c>
      <c r="M245" s="19">
        <v>41.748215000000002</v>
      </c>
      <c r="N245" s="19">
        <v>18.971357000000001</v>
      </c>
      <c r="O245" s="19">
        <v>16.954681999999998</v>
      </c>
      <c r="P245" s="19">
        <v>45.213498999999999</v>
      </c>
      <c r="Q245" s="19">
        <v>426.10793699999999</v>
      </c>
      <c r="R245" s="19">
        <v>130.85615300000001</v>
      </c>
      <c r="S245" s="19">
        <v>1064.634266</v>
      </c>
      <c r="T245" s="19">
        <v>1115.437626931488</v>
      </c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>
        <v>1.2056958407280234</v>
      </c>
      <c r="AQ245" s="19">
        <v>1.2363685331287626</v>
      </c>
      <c r="AR245" s="19"/>
      <c r="AS245" s="19"/>
      <c r="AT245" s="19"/>
      <c r="AU245" s="19">
        <v>0.87010851062570327</v>
      </c>
      <c r="AV245" s="19">
        <v>0.37098879880438573</v>
      </c>
      <c r="AW245" s="19">
        <v>0.51902150265499414</v>
      </c>
      <c r="AX245" s="19">
        <v>0.92335731415080269</v>
      </c>
      <c r="AY245" s="19">
        <v>0.41959497538555912</v>
      </c>
      <c r="AZ245" s="19">
        <v>0.37499159266572135</v>
      </c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spans="1:61" x14ac:dyDescent="0.55000000000000004">
      <c r="A246" s="19" t="s">
        <v>300</v>
      </c>
      <c r="B246" s="19" t="s">
        <v>301</v>
      </c>
      <c r="C246" s="19" t="s">
        <v>8</v>
      </c>
      <c r="D246" s="19" t="s">
        <v>9</v>
      </c>
      <c r="E246" s="19">
        <v>1692</v>
      </c>
      <c r="F246" s="19">
        <v>68.95620000000001</v>
      </c>
      <c r="G246" s="19">
        <v>42.287500000000001</v>
      </c>
      <c r="H246" s="19">
        <v>71550.45</v>
      </c>
      <c r="I246" s="19">
        <v>56.820599999999999</v>
      </c>
      <c r="J246" s="19">
        <v>15.8988</v>
      </c>
      <c r="K246" s="19">
        <v>17.9528</v>
      </c>
      <c r="L246" s="19">
        <v>59.040100000000002</v>
      </c>
      <c r="M246" s="19">
        <v>40.242899999999999</v>
      </c>
      <c r="N246" s="19">
        <v>19.561199999999999</v>
      </c>
      <c r="O246" s="19">
        <v>13.682600000000001</v>
      </c>
      <c r="P246" s="19">
        <v>42.750999999999998</v>
      </c>
      <c r="Q246" s="19">
        <v>360.56420000000003</v>
      </c>
      <c r="R246" s="19">
        <v>46.823799999999999</v>
      </c>
      <c r="S246" s="19">
        <v>2300.4139</v>
      </c>
      <c r="T246" s="19">
        <v>2311.4910098593873</v>
      </c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>
        <v>1.3961596216375998</v>
      </c>
      <c r="AQ246" s="19">
        <v>1.0109606857818503</v>
      </c>
      <c r="AR246" s="19"/>
      <c r="AS246" s="19"/>
      <c r="AT246" s="19"/>
      <c r="AU246" s="19">
        <v>0.96240690649236704</v>
      </c>
      <c r="AV246" s="19">
        <v>0.2692881617747937</v>
      </c>
      <c r="AW246" s="19">
        <v>0.3040780757485167</v>
      </c>
      <c r="AX246" s="19">
        <v>0.94133236649435104</v>
      </c>
      <c r="AY246" s="19">
        <v>0.45756122663797338</v>
      </c>
      <c r="AZ246" s="19">
        <v>0.32005333208579922</v>
      </c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spans="1:61" x14ac:dyDescent="0.55000000000000004">
      <c r="A247" s="19" t="s">
        <v>302</v>
      </c>
      <c r="B247" s="19" t="s">
        <v>303</v>
      </c>
      <c r="C247" s="19" t="s">
        <v>8</v>
      </c>
      <c r="D247" s="19" t="s">
        <v>9</v>
      </c>
      <c r="E247" s="19">
        <v>1840</v>
      </c>
      <c r="F247" s="19">
        <v>70.420100000000005</v>
      </c>
      <c r="G247" s="19">
        <v>40.929499999999997</v>
      </c>
      <c r="H247" s="19">
        <v>75310.28</v>
      </c>
      <c r="I247" s="19">
        <v>51.371099999999998</v>
      </c>
      <c r="J247" s="19">
        <v>21.6707</v>
      </c>
      <c r="K247" s="19">
        <v>21.127600000000001</v>
      </c>
      <c r="L247" s="19">
        <v>56.173099999999998</v>
      </c>
      <c r="M247" s="19">
        <v>42.900100000000002</v>
      </c>
      <c r="N247" s="19">
        <v>12.9274</v>
      </c>
      <c r="O247" s="19">
        <v>19.572099999999999</v>
      </c>
      <c r="P247" s="19">
        <v>48.703600000000002</v>
      </c>
      <c r="Q247" s="19">
        <v>309.67610000000002</v>
      </c>
      <c r="R247" s="19">
        <v>337.48989999999998</v>
      </c>
      <c r="S247" s="19">
        <v>1612.5706</v>
      </c>
      <c r="T247" s="19">
        <v>1629.8968664025249</v>
      </c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>
        <v>1.3724355293858952</v>
      </c>
      <c r="AQ247" s="19">
        <v>1.1899387972000637</v>
      </c>
      <c r="AR247" s="19"/>
      <c r="AS247" s="19"/>
      <c r="AT247" s="19"/>
      <c r="AU247" s="19">
        <v>0.91451424258230363</v>
      </c>
      <c r="AV247" s="19">
        <v>0.38578429889039417</v>
      </c>
      <c r="AW247" s="19">
        <v>0.37611597009956727</v>
      </c>
      <c r="AX247" s="19">
        <v>0.88084043068684859</v>
      </c>
      <c r="AY247" s="19">
        <v>0.26543007087771747</v>
      </c>
      <c r="AZ247" s="19">
        <v>0.4018614640396192</v>
      </c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spans="1:61" x14ac:dyDescent="0.55000000000000004">
      <c r="A248" s="19" t="s">
        <v>304</v>
      </c>
      <c r="B248" s="19" t="s">
        <v>305</v>
      </c>
      <c r="C248" s="19" t="s">
        <v>8</v>
      </c>
      <c r="D248" s="19" t="s">
        <v>9</v>
      </c>
      <c r="E248" s="19">
        <v>1737</v>
      </c>
      <c r="F248" s="19">
        <v>67.511099999999999</v>
      </c>
      <c r="G248" s="19">
        <v>39.432899999999997</v>
      </c>
      <c r="H248" s="19">
        <v>68494.9473</v>
      </c>
      <c r="I248" s="19">
        <v>87.013400000000004</v>
      </c>
      <c r="J248" s="19">
        <v>29.027100000000001</v>
      </c>
      <c r="K248" s="19">
        <v>53.567100000000003</v>
      </c>
      <c r="L248" s="19">
        <v>95.0535</v>
      </c>
      <c r="M248" s="19">
        <v>56.270600000000002</v>
      </c>
      <c r="N248" s="19">
        <v>16.917000000000002</v>
      </c>
      <c r="O248" s="19">
        <v>19.121300000000002</v>
      </c>
      <c r="P248" s="19">
        <v>58.840200000000003</v>
      </c>
      <c r="Q248" s="19">
        <v>704.62559999999996</v>
      </c>
      <c r="R248" s="19">
        <v>185.76079999999999</v>
      </c>
      <c r="S248" s="19">
        <v>3575.5909000000001</v>
      </c>
      <c r="T248" s="19">
        <v>3623.3448464247867</v>
      </c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>
        <v>2.4105125415579378</v>
      </c>
      <c r="AQ248" s="19">
        <v>1.4921600998151292</v>
      </c>
      <c r="AR248" s="19"/>
      <c r="AS248" s="19"/>
      <c r="AT248" s="19"/>
      <c r="AU248" s="19">
        <v>0.91541500312981638</v>
      </c>
      <c r="AV248" s="19">
        <v>0.30537644589625845</v>
      </c>
      <c r="AW248" s="19">
        <v>0.56354684467168492</v>
      </c>
      <c r="AX248" s="19">
        <v>0.95632917631143333</v>
      </c>
      <c r="AY248" s="19">
        <v>0.28750752036872751</v>
      </c>
      <c r="AZ248" s="19">
        <v>0.3249700035010078</v>
      </c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spans="1:61" x14ac:dyDescent="0.55000000000000004">
      <c r="A249" s="19" t="s">
        <v>306</v>
      </c>
      <c r="B249" s="19" t="s">
        <v>307</v>
      </c>
      <c r="C249" s="19" t="s">
        <v>8</v>
      </c>
      <c r="D249" s="19" t="s">
        <v>9</v>
      </c>
      <c r="E249" s="19">
        <v>1916</v>
      </c>
      <c r="F249" s="19">
        <v>70.100300000000004</v>
      </c>
      <c r="G249" s="19">
        <v>35.207799999999999</v>
      </c>
      <c r="H249" s="19">
        <v>67458.144799999995</v>
      </c>
      <c r="I249" s="19">
        <v>42.888300000000001</v>
      </c>
      <c r="J249" s="19">
        <v>18.3748</v>
      </c>
      <c r="K249" s="19">
        <v>15.0649</v>
      </c>
      <c r="L249" s="19">
        <v>45.419400000000003</v>
      </c>
      <c r="M249" s="19">
        <v>34.5002</v>
      </c>
      <c r="N249" s="19">
        <v>14.718999999999999</v>
      </c>
      <c r="O249" s="19">
        <v>11.300700000000001</v>
      </c>
      <c r="P249" s="19">
        <v>38.241500000000002</v>
      </c>
      <c r="Q249" s="19">
        <v>333.39949999999999</v>
      </c>
      <c r="R249" s="19">
        <v>56.835999999999999</v>
      </c>
      <c r="S249" s="19">
        <v>1149.44</v>
      </c>
      <c r="T249" s="19">
        <v>1190.9608681168411</v>
      </c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>
        <v>1.29003800294253</v>
      </c>
      <c r="AQ249" s="19">
        <v>1.086165565584899</v>
      </c>
      <c r="AR249" s="19"/>
      <c r="AS249" s="19"/>
      <c r="AT249" s="19"/>
      <c r="AU249" s="19">
        <v>0.94427271166065596</v>
      </c>
      <c r="AV249" s="19">
        <v>0.40455840455840453</v>
      </c>
      <c r="AW249" s="19">
        <v>0.33168425826849318</v>
      </c>
      <c r="AX249" s="19">
        <v>0.90216649451512099</v>
      </c>
      <c r="AY249" s="19">
        <v>0.38489598995855284</v>
      </c>
      <c r="AZ249" s="19">
        <v>0.29550880587843048</v>
      </c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spans="1:61" x14ac:dyDescent="0.55000000000000004">
      <c r="A250" s="19" t="s">
        <v>308</v>
      </c>
      <c r="B250" s="19" t="s">
        <v>309</v>
      </c>
      <c r="C250" s="19" t="s">
        <v>8</v>
      </c>
      <c r="D250" s="19" t="s">
        <v>9</v>
      </c>
      <c r="E250" s="19">
        <v>1565</v>
      </c>
      <c r="F250" s="19">
        <v>69.021600000000007</v>
      </c>
      <c r="G250" s="19">
        <v>44.179099999999998</v>
      </c>
      <c r="H250" s="19">
        <v>69140.291499999992</v>
      </c>
      <c r="I250" s="19">
        <v>46.372</v>
      </c>
      <c r="J250" s="19">
        <v>16.298999999999999</v>
      </c>
      <c r="K250" s="19">
        <v>20.563400000000001</v>
      </c>
      <c r="L250" s="19">
        <v>49.719499999999996</v>
      </c>
      <c r="M250" s="19">
        <v>42.369399999999999</v>
      </c>
      <c r="N250" s="19">
        <v>11.513</v>
      </c>
      <c r="O250" s="19">
        <v>14.4154</v>
      </c>
      <c r="P250" s="19">
        <v>43.758000000000003</v>
      </c>
      <c r="Q250" s="19">
        <v>455.12939999999998</v>
      </c>
      <c r="R250" s="19">
        <v>354.47719999999998</v>
      </c>
      <c r="S250" s="19">
        <v>1784.7804000000001</v>
      </c>
      <c r="T250" s="19">
        <v>1833.6389296323309</v>
      </c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>
        <v>1.125407715412944</v>
      </c>
      <c r="AQ250" s="19">
        <v>0.99046834362854841</v>
      </c>
      <c r="AR250" s="19"/>
      <c r="AS250" s="19"/>
      <c r="AT250" s="19"/>
      <c r="AU250" s="19">
        <v>0.93267229155562714</v>
      </c>
      <c r="AV250" s="19">
        <v>0.32781906495439417</v>
      </c>
      <c r="AW250" s="19">
        <v>0.4135882299701325</v>
      </c>
      <c r="AX250" s="19">
        <v>0.96826637414872696</v>
      </c>
      <c r="AY250" s="19">
        <v>0.26310617487088073</v>
      </c>
      <c r="AZ250" s="19">
        <v>0.32943461766991178</v>
      </c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spans="1:61" x14ac:dyDescent="0.55000000000000004">
      <c r="A251" s="19" t="s">
        <v>310</v>
      </c>
      <c r="B251" s="19" t="s">
        <v>311</v>
      </c>
      <c r="C251" s="19" t="s">
        <v>8</v>
      </c>
      <c r="D251" s="19" t="s">
        <v>9</v>
      </c>
      <c r="E251" s="19">
        <v>1416</v>
      </c>
      <c r="F251" s="19">
        <v>69.836699999999993</v>
      </c>
      <c r="G251" s="19">
        <v>36.639299999999999</v>
      </c>
      <c r="H251" s="19">
        <v>51881.248800000001</v>
      </c>
      <c r="I251" s="19">
        <v>114.2603</v>
      </c>
      <c r="J251" s="19">
        <v>17.476500000000001</v>
      </c>
      <c r="K251" s="19">
        <v>26.346499999999999</v>
      </c>
      <c r="L251" s="19">
        <v>118.4312</v>
      </c>
      <c r="M251" s="19">
        <v>44.3872</v>
      </c>
      <c r="N251" s="19">
        <v>11.6121</v>
      </c>
      <c r="O251" s="19">
        <v>10.1227</v>
      </c>
      <c r="P251" s="19">
        <v>45.359099999999998</v>
      </c>
      <c r="Q251" s="19">
        <v>533.64750000000004</v>
      </c>
      <c r="R251" s="19">
        <v>378.14909999999998</v>
      </c>
      <c r="S251" s="19">
        <v>1662.8258000000001</v>
      </c>
      <c r="T251" s="19">
        <v>1665.5224877383914</v>
      </c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>
        <v>3.2323543299135085</v>
      </c>
      <c r="AQ251" s="19">
        <v>1.2379903546192204</v>
      </c>
      <c r="AR251" s="19"/>
      <c r="AS251" s="19"/>
      <c r="AT251" s="19"/>
      <c r="AU251" s="19">
        <v>0.964782084450719</v>
      </c>
      <c r="AV251" s="19">
        <v>0.14756668850775809</v>
      </c>
      <c r="AW251" s="19">
        <v>0.22246249299171161</v>
      </c>
      <c r="AX251" s="19">
        <v>0.97857320802220504</v>
      </c>
      <c r="AY251" s="19">
        <v>0.25600375668829412</v>
      </c>
      <c r="AZ251" s="19">
        <v>0.2231680081835839</v>
      </c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spans="1:61" x14ac:dyDescent="0.55000000000000004">
      <c r="A252" s="19" t="s">
        <v>312</v>
      </c>
      <c r="B252" s="19" t="s">
        <v>313</v>
      </c>
      <c r="C252" s="19" t="s">
        <v>8</v>
      </c>
      <c r="D252" s="19" t="s">
        <v>9</v>
      </c>
      <c r="E252" s="19">
        <v>1500</v>
      </c>
      <c r="F252" s="19">
        <v>69.376499999999993</v>
      </c>
      <c r="G252" s="19">
        <v>55.165799999999997</v>
      </c>
      <c r="H252" s="19">
        <v>82748.7</v>
      </c>
      <c r="I252" s="19">
        <v>62.222200000000001</v>
      </c>
      <c r="J252" s="19">
        <v>15.333500000000001</v>
      </c>
      <c r="K252" s="19">
        <v>19.156199999999998</v>
      </c>
      <c r="L252" s="19">
        <v>64.616200000000006</v>
      </c>
      <c r="M252" s="19">
        <v>37.555500000000002</v>
      </c>
      <c r="N252" s="19">
        <v>14.366400000000001</v>
      </c>
      <c r="O252" s="19">
        <v>10.1073</v>
      </c>
      <c r="P252" s="19">
        <v>38.122799999999998</v>
      </c>
      <c r="Q252" s="19">
        <v>765.77670000000001</v>
      </c>
      <c r="R252" s="19">
        <v>370.57659999999998</v>
      </c>
      <c r="S252" s="19">
        <v>1434.2079000000001</v>
      </c>
      <c r="T252" s="19">
        <v>1550.4685143541776</v>
      </c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>
        <v>1.1713090356706513</v>
      </c>
      <c r="AQ252" s="19">
        <v>0.69105859064855402</v>
      </c>
      <c r="AR252" s="19"/>
      <c r="AS252" s="19"/>
      <c r="AT252" s="19"/>
      <c r="AU252" s="19">
        <v>0.96295046752981439</v>
      </c>
      <c r="AV252" s="19">
        <v>0.23730117215187521</v>
      </c>
      <c r="AW252" s="19">
        <v>0.29646125894125619</v>
      </c>
      <c r="AX252" s="19">
        <v>0.98511914130126865</v>
      </c>
      <c r="AY252" s="19">
        <v>0.37684535238754763</v>
      </c>
      <c r="AZ252" s="19">
        <v>0.26512480720198939</v>
      </c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spans="1:61" x14ac:dyDescent="0.55000000000000004">
      <c r="A253" s="19" t="s">
        <v>314</v>
      </c>
      <c r="B253" s="19" t="s">
        <v>315</v>
      </c>
      <c r="C253" s="19" t="s">
        <v>8</v>
      </c>
      <c r="D253" s="19" t="s">
        <v>9</v>
      </c>
      <c r="E253" s="19">
        <v>1513</v>
      </c>
      <c r="F253" s="19">
        <v>68.827300000000008</v>
      </c>
      <c r="G253" s="19">
        <v>35.951999999999998</v>
      </c>
      <c r="H253" s="19">
        <v>54395.375999999997</v>
      </c>
      <c r="I253" s="19">
        <v>85.367800000000003</v>
      </c>
      <c r="J253" s="19">
        <v>21.5992</v>
      </c>
      <c r="K253" s="19">
        <v>22.676200000000001</v>
      </c>
      <c r="L253" s="19">
        <v>88.176100000000005</v>
      </c>
      <c r="M253" s="19">
        <v>37.328899999999997</v>
      </c>
      <c r="N253" s="19">
        <v>13.1114</v>
      </c>
      <c r="O253" s="19">
        <v>5.8489000000000004</v>
      </c>
      <c r="P253" s="19">
        <v>38.714300000000001</v>
      </c>
      <c r="Q253" s="19">
        <v>553.14049999999997</v>
      </c>
      <c r="R253" s="19">
        <v>136.24780000000001</v>
      </c>
      <c r="S253" s="19">
        <v>1732.809</v>
      </c>
      <c r="T253" s="19">
        <v>1736.29230713322</v>
      </c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>
        <v>2.4526062527814867</v>
      </c>
      <c r="AQ253" s="19">
        <v>1.0768329995549624</v>
      </c>
      <c r="AR253" s="19"/>
      <c r="AS253" s="19"/>
      <c r="AT253" s="19"/>
      <c r="AU253" s="19">
        <v>0.96815123372433121</v>
      </c>
      <c r="AV253" s="19">
        <v>0.24495526565588632</v>
      </c>
      <c r="AW253" s="19">
        <v>0.25716945975156535</v>
      </c>
      <c r="AX253" s="19">
        <v>0.96421477335248207</v>
      </c>
      <c r="AY253" s="19">
        <v>0.33867072373774032</v>
      </c>
      <c r="AZ253" s="19">
        <v>0.15107854203743837</v>
      </c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spans="1:61" x14ac:dyDescent="0.55000000000000004">
      <c r="A254" s="19" t="s">
        <v>316</v>
      </c>
      <c r="B254" s="19" t="s">
        <v>317</v>
      </c>
      <c r="C254" s="19" t="s">
        <v>8</v>
      </c>
      <c r="D254" s="19" t="s">
        <v>9</v>
      </c>
      <c r="E254" s="19">
        <v>1350</v>
      </c>
      <c r="F254" s="19">
        <v>68.961799999999997</v>
      </c>
      <c r="G254" s="19">
        <v>33.076700000000002</v>
      </c>
      <c r="H254" s="19">
        <v>44653.545000000006</v>
      </c>
      <c r="I254" s="19">
        <v>40.225000000000001</v>
      </c>
      <c r="J254" s="19">
        <v>47.343200000000003</v>
      </c>
      <c r="K254" s="19">
        <v>24.056999999999999</v>
      </c>
      <c r="L254" s="19">
        <v>54.100900000000003</v>
      </c>
      <c r="M254" s="19">
        <v>38.856499999999997</v>
      </c>
      <c r="N254" s="19">
        <v>17.566299999999998</v>
      </c>
      <c r="O254" s="19">
        <v>19.500699999999998</v>
      </c>
      <c r="P254" s="19">
        <v>40.4754</v>
      </c>
      <c r="Q254" s="19">
        <v>317.19909999999999</v>
      </c>
      <c r="R254" s="19">
        <v>325.39510000000001</v>
      </c>
      <c r="S254" s="19">
        <v>1671.1314</v>
      </c>
      <c r="T254" s="19">
        <v>1677.474929776791</v>
      </c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>
        <v>1.6356196355742865</v>
      </c>
      <c r="AQ254" s="19">
        <v>1.2236831364676646</v>
      </c>
      <c r="AR254" s="19"/>
      <c r="AS254" s="19"/>
      <c r="AT254" s="19"/>
      <c r="AU254" s="19">
        <v>0.74351813001262457</v>
      </c>
      <c r="AV254" s="19">
        <v>0.87509080255596483</v>
      </c>
      <c r="AW254" s="19">
        <v>0.44466912750065152</v>
      </c>
      <c r="AX254" s="19">
        <v>0.96000286593832296</v>
      </c>
      <c r="AY254" s="19">
        <v>0.43399941692978938</v>
      </c>
      <c r="AZ254" s="19">
        <v>0.48179140910281304</v>
      </c>
      <c r="BA254" s="19"/>
      <c r="BB254" s="19"/>
      <c r="BC254" s="19"/>
      <c r="BD254" s="19"/>
      <c r="BE254" s="19"/>
      <c r="BF254" s="19"/>
      <c r="BG254" s="19"/>
      <c r="BH254" s="19"/>
      <c r="BI254" s="19"/>
    </row>
    <row r="256" spans="1:61" s="12" customFormat="1" x14ac:dyDescent="0.55000000000000004">
      <c r="AO256" s="4" t="s">
        <v>318</v>
      </c>
      <c r="AP256" s="13">
        <f t="shared" ref="AP256:BI256" si="0">AVERAGE(AP2:AP254)</f>
        <v>1.522912996622692</v>
      </c>
      <c r="AQ256" s="13">
        <f t="shared" si="0"/>
        <v>1.0481130790513953</v>
      </c>
      <c r="AR256" s="13">
        <f t="shared" si="0"/>
        <v>1.4118231028573176</v>
      </c>
      <c r="AS256" s="13">
        <f t="shared" si="0"/>
        <v>1.067403193418959</v>
      </c>
      <c r="AT256" s="13">
        <f t="shared" si="0"/>
        <v>1.1510266974523173</v>
      </c>
      <c r="AU256" s="13">
        <f t="shared" si="0"/>
        <v>0.8757967579617536</v>
      </c>
      <c r="AV256" s="13">
        <f t="shared" si="0"/>
        <v>0.36791619312085111</v>
      </c>
      <c r="AW256" s="13">
        <f t="shared" si="0"/>
        <v>0.48197527905766813</v>
      </c>
      <c r="AX256" s="13">
        <f t="shared" si="0"/>
        <v>0.92905925104101883</v>
      </c>
      <c r="AY256" s="13">
        <f t="shared" si="0"/>
        <v>0.36650963372879236</v>
      </c>
      <c r="AZ256" s="13">
        <f t="shared" si="0"/>
        <v>0.3093360267151346</v>
      </c>
      <c r="BA256" s="13">
        <f t="shared" si="0"/>
        <v>0.64190730961775944</v>
      </c>
      <c r="BB256" s="13">
        <f t="shared" si="0"/>
        <v>0.26732963316617531</v>
      </c>
      <c r="BC256" s="13">
        <f t="shared" si="0"/>
        <v>0.84839457611121105</v>
      </c>
      <c r="BD256" s="13">
        <f t="shared" si="0"/>
        <v>0.72761809719568671</v>
      </c>
      <c r="BE256" s="13">
        <f t="shared" si="0"/>
        <v>0.58153378806498612</v>
      </c>
      <c r="BF256" s="13">
        <f t="shared" si="0"/>
        <v>0.56445523805795883</v>
      </c>
      <c r="BG256" s="13">
        <f t="shared" si="0"/>
        <v>0.76380758427488893</v>
      </c>
      <c r="BH256" s="13">
        <f t="shared" si="0"/>
        <v>0.41938025836501852</v>
      </c>
      <c r="BI256" s="13">
        <f t="shared" si="0"/>
        <v>0.6826552416362528</v>
      </c>
    </row>
    <row r="257" spans="41:61" s="12" customFormat="1" x14ac:dyDescent="0.55000000000000004">
      <c r="AO257" s="4" t="s">
        <v>319</v>
      </c>
      <c r="AP257" s="13">
        <f>_xlfn.STDEV.S(AP2:AP254)</f>
        <v>1.0703246063708463</v>
      </c>
      <c r="AQ257" s="13">
        <f>_xlfn.STDEV.S(AQ2:AQ254)</f>
        <v>0.24290073855232078</v>
      </c>
      <c r="AR257" s="13">
        <f t="shared" ref="AR257:BI257" si="1">_xlfn.STDEV.S(AR2:AR254)</f>
        <v>0.57749347540433682</v>
      </c>
      <c r="AS257" s="13">
        <f t="shared" si="1"/>
        <v>0.47594096057328461</v>
      </c>
      <c r="AT257" s="13">
        <f t="shared" si="1"/>
        <v>0.30057049269820535</v>
      </c>
      <c r="AU257" s="13">
        <f t="shared" si="1"/>
        <v>0.10104038063945149</v>
      </c>
      <c r="AV257" s="13">
        <f t="shared" si="1"/>
        <v>0.17747649667926368</v>
      </c>
      <c r="AW257" s="13">
        <f t="shared" si="1"/>
        <v>0.13690347349859014</v>
      </c>
      <c r="AX257" s="13">
        <f t="shared" si="1"/>
        <v>4.0102279497310218E-2</v>
      </c>
      <c r="AY257" s="13">
        <f t="shared" si="1"/>
        <v>8.8102649249976295E-2</v>
      </c>
      <c r="AZ257" s="13">
        <f t="shared" si="1"/>
        <v>0.11307643602559167</v>
      </c>
      <c r="BA257" s="13">
        <f t="shared" si="1"/>
        <v>0.17310878104399968</v>
      </c>
      <c r="BB257" s="13">
        <f t="shared" si="1"/>
        <v>0.10205047094154079</v>
      </c>
      <c r="BC257" s="13">
        <f t="shared" si="1"/>
        <v>0.12189000653824791</v>
      </c>
      <c r="BD257" s="13">
        <f t="shared" si="1"/>
        <v>0.16572869189524167</v>
      </c>
      <c r="BE257" s="13">
        <f t="shared" si="1"/>
        <v>0.13279699065901884</v>
      </c>
      <c r="BF257" s="13">
        <f t="shared" si="1"/>
        <v>0.18575331132961603</v>
      </c>
      <c r="BG257" s="13">
        <f t="shared" si="1"/>
        <v>0.10633726147482654</v>
      </c>
      <c r="BH257" s="13">
        <f t="shared" si="1"/>
        <v>9.5356187107786594E-2</v>
      </c>
      <c r="BI257" s="13">
        <f t="shared" si="1"/>
        <v>0.12394924568806552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44"/>
  <sheetViews>
    <sheetView zoomScale="72" zoomScaleNormal="131" workbookViewId="0">
      <selection sqref="A1:A1048576"/>
    </sheetView>
  </sheetViews>
  <sheetFormatPr defaultRowHeight="14.4" x14ac:dyDescent="0.55000000000000004"/>
  <cols>
    <col min="1" max="1" width="14.7890625" customWidth="1"/>
    <col min="2" max="2" width="29.1015625" customWidth="1"/>
    <col min="3" max="3" width="11.1015625" customWidth="1"/>
    <col min="4" max="4" width="7.83984375" customWidth="1"/>
    <col min="5" max="5" width="20.20703125" customWidth="1"/>
    <col min="6" max="6" width="13.9453125" customWidth="1"/>
    <col min="7" max="7" width="15.26171875" customWidth="1"/>
    <col min="8" max="8" width="15.68359375" customWidth="1"/>
    <col min="9" max="10" width="21.15625" customWidth="1"/>
    <col min="11" max="11" width="21.20703125" customWidth="1"/>
    <col min="12" max="12" width="21.62890625" customWidth="1"/>
    <col min="13" max="14" width="21.5234375" customWidth="1"/>
    <col min="15" max="15" width="21.578125" customWidth="1"/>
    <col min="16" max="16" width="22" customWidth="1"/>
    <col min="17" max="17" width="26.68359375" customWidth="1"/>
    <col min="18" max="18" width="37.578125" customWidth="1"/>
    <col min="19" max="19" width="33.47265625" customWidth="1"/>
    <col min="20" max="20" width="27.20703125" customWidth="1"/>
    <col min="21" max="22" width="24.9453125" customWidth="1"/>
    <col min="23" max="23" width="25" customWidth="1"/>
    <col min="24" max="24" width="25.41796875" customWidth="1"/>
    <col min="25" max="26" width="25.3125" customWidth="1"/>
    <col min="27" max="27" width="25.3671875" customWidth="1"/>
    <col min="28" max="28" width="25.7890625" customWidth="1"/>
    <col min="29" max="30" width="25.20703125" customWidth="1"/>
    <col min="31" max="31" width="25.26171875" customWidth="1"/>
    <col min="32" max="32" width="25.68359375" customWidth="1"/>
    <col min="33" max="33" width="30.5234375" customWidth="1"/>
    <col min="34" max="34" width="41.3671875" customWidth="1"/>
    <col min="35" max="35" width="37.26171875" customWidth="1"/>
    <col min="36" max="36" width="31" customWidth="1"/>
    <col min="37" max="37" width="27.20703125" customWidth="1"/>
    <col min="38" max="38" width="38.05078125" customWidth="1"/>
    <col min="39" max="39" width="33.9453125" customWidth="1"/>
    <col min="40" max="40" width="27.68359375" customWidth="1"/>
    <col min="41" max="41" width="7.15625" bestFit="1" customWidth="1"/>
    <col min="42" max="42" width="32.5234375" customWidth="1"/>
    <col min="43" max="43" width="32.89453125" customWidth="1"/>
    <col min="44" max="44" width="36.3125" customWidth="1"/>
    <col min="45" max="45" width="36.68359375" customWidth="1"/>
    <col min="46" max="46" width="36.62890625" customWidth="1"/>
    <col min="47" max="48" width="21.1015625" customWidth="1"/>
    <col min="49" max="49" width="21.15625" customWidth="1"/>
    <col min="50" max="51" width="21.83984375" customWidth="1"/>
    <col min="52" max="52" width="21.89453125" customWidth="1"/>
    <col min="53" max="54" width="24.89453125" customWidth="1"/>
    <col min="55" max="55" width="24.9453125" customWidth="1"/>
    <col min="56" max="58" width="25.68359375" customWidth="1"/>
    <col min="59" max="60" width="25.47265625" customWidth="1"/>
    <col min="61" max="61" width="25.5234375" customWidth="1"/>
  </cols>
  <sheetData>
    <row r="1" spans="1:61" s="20" customFormat="1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1125</v>
      </c>
      <c r="F1" s="4" t="s">
        <v>4</v>
      </c>
      <c r="G1" s="4" t="s">
        <v>5</v>
      </c>
      <c r="H1" s="4" t="s">
        <v>1138</v>
      </c>
      <c r="I1" s="4" t="s">
        <v>566</v>
      </c>
      <c r="J1" s="4" t="s">
        <v>567</v>
      </c>
      <c r="K1" s="4" t="s">
        <v>568</v>
      </c>
      <c r="L1" s="4" t="s">
        <v>569</v>
      </c>
      <c r="M1" s="4" t="s">
        <v>570</v>
      </c>
      <c r="N1" s="4" t="s">
        <v>571</v>
      </c>
      <c r="O1" s="4" t="s">
        <v>572</v>
      </c>
      <c r="P1" s="4" t="s">
        <v>573</v>
      </c>
      <c r="Q1" s="4" t="s">
        <v>1126</v>
      </c>
      <c r="R1" s="4" t="s">
        <v>1129</v>
      </c>
      <c r="S1" s="4" t="s">
        <v>1130</v>
      </c>
      <c r="T1" s="4" t="s">
        <v>1135</v>
      </c>
      <c r="U1" s="4" t="s">
        <v>574</v>
      </c>
      <c r="V1" s="4" t="s">
        <v>575</v>
      </c>
      <c r="W1" s="4" t="s">
        <v>576</v>
      </c>
      <c r="X1" s="4" t="s">
        <v>577</v>
      </c>
      <c r="Y1" s="4" t="s">
        <v>578</v>
      </c>
      <c r="Z1" s="4" t="s">
        <v>579</v>
      </c>
      <c r="AA1" s="4" t="s">
        <v>580</v>
      </c>
      <c r="AB1" s="4" t="s">
        <v>581</v>
      </c>
      <c r="AC1" s="4" t="s">
        <v>582</v>
      </c>
      <c r="AD1" s="4" t="s">
        <v>583</v>
      </c>
      <c r="AE1" s="4" t="s">
        <v>584</v>
      </c>
      <c r="AF1" s="4" t="s">
        <v>585</v>
      </c>
      <c r="AG1" s="4" t="s">
        <v>1127</v>
      </c>
      <c r="AH1" s="4" t="s">
        <v>1131</v>
      </c>
      <c r="AI1" s="4" t="s">
        <v>1132</v>
      </c>
      <c r="AJ1" s="4" t="s">
        <v>1136</v>
      </c>
      <c r="AK1" s="4" t="s">
        <v>1128</v>
      </c>
      <c r="AL1" s="4" t="s">
        <v>1133</v>
      </c>
      <c r="AM1" s="4" t="s">
        <v>1134</v>
      </c>
      <c r="AN1" s="4" t="s">
        <v>1137</v>
      </c>
      <c r="AO1" s="4"/>
      <c r="AP1" s="4" t="s">
        <v>1077</v>
      </c>
      <c r="AQ1" s="4" t="s">
        <v>1078</v>
      </c>
      <c r="AR1" s="4" t="s">
        <v>1079</v>
      </c>
      <c r="AS1" s="4" t="s">
        <v>1080</v>
      </c>
      <c r="AT1" s="4" t="s">
        <v>1081</v>
      </c>
      <c r="AU1" s="4" t="s">
        <v>1082</v>
      </c>
      <c r="AV1" s="4" t="s">
        <v>1083</v>
      </c>
      <c r="AW1" s="4" t="s">
        <v>1084</v>
      </c>
      <c r="AX1" s="4" t="s">
        <v>1085</v>
      </c>
      <c r="AY1" s="4" t="s">
        <v>1086</v>
      </c>
      <c r="AZ1" s="4" t="s">
        <v>1087</v>
      </c>
      <c r="BA1" s="4" t="s">
        <v>1088</v>
      </c>
      <c r="BB1" s="4" t="s">
        <v>1089</v>
      </c>
      <c r="BC1" s="4" t="s">
        <v>1090</v>
      </c>
      <c r="BD1" s="4" t="s">
        <v>1091</v>
      </c>
      <c r="BE1" s="4" t="s">
        <v>1092</v>
      </c>
      <c r="BF1" s="4" t="s">
        <v>1093</v>
      </c>
      <c r="BG1" s="4" t="s">
        <v>1094</v>
      </c>
      <c r="BH1" s="4" t="s">
        <v>1095</v>
      </c>
      <c r="BI1" s="4" t="s">
        <v>1096</v>
      </c>
    </row>
    <row r="2" spans="1:61" x14ac:dyDescent="0.55000000000000004">
      <c r="A2" s="19" t="s">
        <v>320</v>
      </c>
      <c r="B2" s="19" t="s">
        <v>321</v>
      </c>
      <c r="C2" s="19" t="s">
        <v>322</v>
      </c>
      <c r="D2" s="19" t="s">
        <v>9</v>
      </c>
      <c r="E2" s="19">
        <v>1845</v>
      </c>
      <c r="F2" s="19">
        <v>69.710899999999995</v>
      </c>
      <c r="G2" s="19">
        <v>41.237099999999998</v>
      </c>
      <c r="H2" s="19">
        <v>76082.449500000002</v>
      </c>
      <c r="I2" s="19">
        <v>99.5381</v>
      </c>
      <c r="J2" s="19">
        <v>14.585100000000001</v>
      </c>
      <c r="K2" s="19">
        <v>46.3536</v>
      </c>
      <c r="L2" s="19">
        <v>110.2865</v>
      </c>
      <c r="M2" s="19">
        <v>56.978299999999997</v>
      </c>
      <c r="N2" s="19">
        <v>26.296299999999999</v>
      </c>
      <c r="O2" s="19">
        <v>12.6761</v>
      </c>
      <c r="P2" s="19">
        <v>59.451099999999997</v>
      </c>
      <c r="Q2" s="19">
        <v>489.74619999999999</v>
      </c>
      <c r="R2" s="19">
        <v>946.62049999999999</v>
      </c>
      <c r="S2" s="19">
        <v>1621.7365</v>
      </c>
      <c r="T2" s="19">
        <v>1657.0736195483169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>
        <v>2.6744484941957607</v>
      </c>
      <c r="AQ2" s="19">
        <v>1.4416896435491342</v>
      </c>
      <c r="AR2" s="19"/>
      <c r="AS2" s="19"/>
      <c r="AT2" s="19"/>
      <c r="AU2" s="19">
        <v>0.90254110883925043</v>
      </c>
      <c r="AV2" s="19">
        <v>0.13224737388528968</v>
      </c>
      <c r="AW2" s="19">
        <v>0.42030166883526088</v>
      </c>
      <c r="AX2" s="19">
        <v>0.95840615228313686</v>
      </c>
      <c r="AY2" s="19">
        <v>0.44231814045492851</v>
      </c>
      <c r="AZ2" s="19">
        <v>0.21321893118882579</v>
      </c>
      <c r="BA2" s="19"/>
      <c r="BB2" s="19"/>
      <c r="BC2" s="19"/>
      <c r="BD2" s="19"/>
      <c r="BE2" s="19"/>
      <c r="BF2" s="19"/>
      <c r="BG2" s="19"/>
      <c r="BH2" s="19"/>
      <c r="BI2" s="19"/>
    </row>
    <row r="3" spans="1:61" x14ac:dyDescent="0.55000000000000004">
      <c r="A3" s="19" t="s">
        <v>323</v>
      </c>
      <c r="B3" s="19" t="s">
        <v>324</v>
      </c>
      <c r="C3" s="19" t="s">
        <v>322</v>
      </c>
      <c r="D3" s="19" t="s">
        <v>9</v>
      </c>
      <c r="E3" s="19">
        <v>1652</v>
      </c>
      <c r="F3" s="19">
        <v>68.312599999999989</v>
      </c>
      <c r="G3" s="19">
        <v>82.240399999999994</v>
      </c>
      <c r="H3" s="19">
        <v>135861.14079999999</v>
      </c>
      <c r="I3" s="19">
        <v>84.935500000000005</v>
      </c>
      <c r="J3" s="19">
        <v>23.293399999999998</v>
      </c>
      <c r="K3" s="19">
        <v>31.517199999999999</v>
      </c>
      <c r="L3" s="19">
        <v>89.104100000000003</v>
      </c>
      <c r="M3" s="19">
        <v>41.662199999999999</v>
      </c>
      <c r="N3" s="19">
        <v>17.7547</v>
      </c>
      <c r="O3" s="19">
        <v>12.222899999999999</v>
      </c>
      <c r="P3" s="19">
        <v>44.561799999999998</v>
      </c>
      <c r="Q3" s="19">
        <v>631.35699999999997</v>
      </c>
      <c r="R3" s="19">
        <v>755.61289999999997</v>
      </c>
      <c r="S3" s="19">
        <v>2266.3535999999999</v>
      </c>
      <c r="T3" s="19">
        <v>2351.3925624585127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>
        <v>1.0834589812306361</v>
      </c>
      <c r="AQ3" s="19">
        <v>0.54184804548616006</v>
      </c>
      <c r="AR3" s="19"/>
      <c r="AS3" s="19"/>
      <c r="AT3" s="19"/>
      <c r="AU3" s="19">
        <v>0.95321651865626833</v>
      </c>
      <c r="AV3" s="19">
        <v>0.2614178247690061</v>
      </c>
      <c r="AW3" s="19">
        <v>0.35371211874649988</v>
      </c>
      <c r="AX3" s="19">
        <v>0.93493081518251064</v>
      </c>
      <c r="AY3" s="19">
        <v>0.39842869902023709</v>
      </c>
      <c r="AZ3" s="19">
        <v>0.27429098465501844</v>
      </c>
      <c r="BA3" s="19"/>
      <c r="BB3" s="19"/>
      <c r="BC3" s="19"/>
      <c r="BD3" s="19"/>
      <c r="BE3" s="19"/>
      <c r="BF3" s="19"/>
      <c r="BG3" s="19"/>
      <c r="BH3" s="19"/>
      <c r="BI3" s="19"/>
    </row>
    <row r="4" spans="1:61" x14ac:dyDescent="0.55000000000000004">
      <c r="A4" s="19" t="s">
        <v>325</v>
      </c>
      <c r="B4" s="19" t="s">
        <v>326</v>
      </c>
      <c r="C4" s="19" t="s">
        <v>322</v>
      </c>
      <c r="D4" s="19" t="s">
        <v>9</v>
      </c>
      <c r="E4" s="19">
        <v>1512</v>
      </c>
      <c r="F4" s="19">
        <v>69.868899999999996</v>
      </c>
      <c r="G4" s="19">
        <v>46.623100000000001</v>
      </c>
      <c r="H4" s="19">
        <v>70494.127200000003</v>
      </c>
      <c r="I4" s="19">
        <v>72.730999999999995</v>
      </c>
      <c r="J4" s="19">
        <v>17.761299999999999</v>
      </c>
      <c r="K4" s="19">
        <v>30.963699999999999</v>
      </c>
      <c r="L4" s="19">
        <v>72.805199999999999</v>
      </c>
      <c r="M4" s="19">
        <v>55.939599999999999</v>
      </c>
      <c r="N4" s="19">
        <v>21.580200000000001</v>
      </c>
      <c r="O4" s="19">
        <v>23.163799999999998</v>
      </c>
      <c r="P4" s="19">
        <v>58.3902</v>
      </c>
      <c r="Q4" s="19">
        <v>507.4753</v>
      </c>
      <c r="R4" s="19">
        <v>351.839</v>
      </c>
      <c r="S4" s="19">
        <v>1892.3941</v>
      </c>
      <c r="T4" s="19">
        <v>1894.5918236922748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>
        <v>1.5615692650209874</v>
      </c>
      <c r="AQ4" s="19">
        <v>1.2523877648633404</v>
      </c>
      <c r="AR4" s="19"/>
      <c r="AS4" s="19"/>
      <c r="AT4" s="19"/>
      <c r="AU4" s="19">
        <v>0.99898084202776716</v>
      </c>
      <c r="AV4" s="19">
        <v>0.24395647563635564</v>
      </c>
      <c r="AW4" s="19">
        <v>0.42529517122403343</v>
      </c>
      <c r="AX4" s="19">
        <v>0.95803062842737308</v>
      </c>
      <c r="AY4" s="19">
        <v>0.36958599216991894</v>
      </c>
      <c r="AZ4" s="19">
        <v>0.39670698165103047</v>
      </c>
      <c r="BA4" s="19"/>
      <c r="BB4" s="19"/>
      <c r="BC4" s="19"/>
      <c r="BD4" s="19"/>
      <c r="BE4" s="19"/>
      <c r="BF4" s="19"/>
      <c r="BG4" s="19"/>
      <c r="BH4" s="19"/>
      <c r="BI4" s="19"/>
    </row>
    <row r="5" spans="1:61" x14ac:dyDescent="0.55000000000000004">
      <c r="A5" s="19" t="s">
        <v>327</v>
      </c>
      <c r="B5" s="19" t="s">
        <v>328</v>
      </c>
      <c r="C5" s="19" t="s">
        <v>322</v>
      </c>
      <c r="D5" s="19" t="s">
        <v>9</v>
      </c>
      <c r="E5" s="19">
        <v>2095</v>
      </c>
      <c r="F5" s="19">
        <v>70.703042999999994</v>
      </c>
      <c r="G5" s="19">
        <v>44.043303999999999</v>
      </c>
      <c r="H5" s="19">
        <v>92270.721879999997</v>
      </c>
      <c r="I5" s="19">
        <v>53.019269999999999</v>
      </c>
      <c r="J5" s="19">
        <v>12.244222000000001</v>
      </c>
      <c r="K5" s="19">
        <v>11.826501</v>
      </c>
      <c r="L5" s="19">
        <v>53.802754</v>
      </c>
      <c r="M5" s="19">
        <v>41.105711999999997</v>
      </c>
      <c r="N5" s="19">
        <v>17.842732000000002</v>
      </c>
      <c r="O5" s="19">
        <v>9.8558400000000006</v>
      </c>
      <c r="P5" s="19">
        <v>44.292954999999999</v>
      </c>
      <c r="Q5" s="19">
        <v>530.33682499999998</v>
      </c>
      <c r="R5" s="19">
        <v>174.11759499999999</v>
      </c>
      <c r="S5" s="19">
        <v>1254.129893</v>
      </c>
      <c r="T5" s="19">
        <v>1254.4323451225609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>
        <v>1.2215875993317848</v>
      </c>
      <c r="AQ5" s="19">
        <v>1.0056683077182402</v>
      </c>
      <c r="AR5" s="19"/>
      <c r="AS5" s="19"/>
      <c r="AT5" s="19"/>
      <c r="AU5" s="19">
        <v>0.98543784580246574</v>
      </c>
      <c r="AV5" s="19">
        <v>0.22757611998820731</v>
      </c>
      <c r="AW5" s="19">
        <v>0.21981218656576576</v>
      </c>
      <c r="AX5" s="19">
        <v>0.92804176194611532</v>
      </c>
      <c r="AY5" s="19">
        <v>0.40283453655327356</v>
      </c>
      <c r="AZ5" s="19">
        <v>0.22251484462935472</v>
      </c>
      <c r="BA5" s="19"/>
      <c r="BB5" s="19"/>
      <c r="BC5" s="19"/>
      <c r="BD5" s="19"/>
      <c r="BE5" s="19"/>
      <c r="BF5" s="19"/>
      <c r="BG5" s="19"/>
      <c r="BH5" s="19"/>
      <c r="BI5" s="19"/>
    </row>
    <row r="6" spans="1:61" x14ac:dyDescent="0.55000000000000004">
      <c r="A6" s="19" t="s">
        <v>329</v>
      </c>
      <c r="B6" s="19" t="s">
        <v>330</v>
      </c>
      <c r="C6" s="19" t="s">
        <v>322</v>
      </c>
      <c r="D6" s="19" t="s">
        <v>9</v>
      </c>
      <c r="E6" s="19">
        <v>1963</v>
      </c>
      <c r="F6" s="19">
        <v>72.253291000000004</v>
      </c>
      <c r="G6" s="19">
        <v>31.017468000000001</v>
      </c>
      <c r="H6" s="19">
        <v>60887.289684000003</v>
      </c>
      <c r="I6" s="19">
        <v>96.411407999999994</v>
      </c>
      <c r="J6" s="19">
        <v>28.837520999999999</v>
      </c>
      <c r="K6" s="19">
        <v>23.143857000000001</v>
      </c>
      <c r="L6" s="19">
        <v>97.552689999999998</v>
      </c>
      <c r="M6" s="19">
        <v>43.839993999999997</v>
      </c>
      <c r="N6" s="19">
        <v>9.7789389999999994</v>
      </c>
      <c r="O6" s="19">
        <v>17.004197999999999</v>
      </c>
      <c r="P6" s="19">
        <v>45.736221999999998</v>
      </c>
      <c r="Q6" s="19">
        <v>366.91647999999998</v>
      </c>
      <c r="R6" s="19">
        <v>124.82187</v>
      </c>
      <c r="S6" s="19">
        <v>1908.756705</v>
      </c>
      <c r="T6" s="19">
        <v>1915.461110115534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>
        <v>3.1450887609523765</v>
      </c>
      <c r="AQ6" s="19">
        <v>1.4745311254935443</v>
      </c>
      <c r="AR6" s="19"/>
      <c r="AS6" s="19"/>
      <c r="AT6" s="19"/>
      <c r="AU6" s="19">
        <v>0.98830086592179056</v>
      </c>
      <c r="AV6" s="19">
        <v>0.29560969564242667</v>
      </c>
      <c r="AW6" s="19">
        <v>0.23724468284780256</v>
      </c>
      <c r="AX6" s="19">
        <v>0.95853990738456707</v>
      </c>
      <c r="AY6" s="19">
        <v>0.21381169174839146</v>
      </c>
      <c r="AZ6" s="19">
        <v>0.37178842624998626</v>
      </c>
      <c r="BA6" s="19"/>
      <c r="BB6" s="19"/>
      <c r="BC6" s="19"/>
      <c r="BD6" s="19"/>
      <c r="BE6" s="19"/>
      <c r="BF6" s="19"/>
      <c r="BG6" s="19"/>
      <c r="BH6" s="19"/>
      <c r="BI6" s="19"/>
    </row>
    <row r="7" spans="1:61" x14ac:dyDescent="0.55000000000000004">
      <c r="A7" s="19" t="s">
        <v>331</v>
      </c>
      <c r="B7" s="19" t="s">
        <v>332</v>
      </c>
      <c r="C7" s="19" t="s">
        <v>322</v>
      </c>
      <c r="D7" s="19" t="s">
        <v>9</v>
      </c>
      <c r="E7" s="19">
        <v>2022</v>
      </c>
      <c r="F7" s="19">
        <v>68.689885000000004</v>
      </c>
      <c r="G7" s="19">
        <v>57.181531</v>
      </c>
      <c r="H7" s="19">
        <v>115621.05568200001</v>
      </c>
      <c r="I7" s="19">
        <v>60.948320000000002</v>
      </c>
      <c r="J7" s="19">
        <v>22.677741999999999</v>
      </c>
      <c r="K7" s="19">
        <v>17.452038999999999</v>
      </c>
      <c r="L7" s="19">
        <v>61.570664000000001</v>
      </c>
      <c r="M7" s="19">
        <v>52.980715000000004</v>
      </c>
      <c r="N7" s="19">
        <v>21.448929</v>
      </c>
      <c r="O7" s="19">
        <v>10.941457</v>
      </c>
      <c r="P7" s="19">
        <v>57.663184000000001</v>
      </c>
      <c r="Q7" s="19">
        <v>356.89952899999997</v>
      </c>
      <c r="R7" s="19">
        <v>957.87719400000003</v>
      </c>
      <c r="S7" s="19">
        <v>1823.950327</v>
      </c>
      <c r="T7" s="19">
        <v>1825.5335149447594</v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>
        <v>1.0767578783436211</v>
      </c>
      <c r="AQ7" s="19">
        <v>1.008423226723328</v>
      </c>
      <c r="AR7" s="19"/>
      <c r="AS7" s="19"/>
      <c r="AT7" s="19"/>
      <c r="AU7" s="19">
        <v>0.98989219931102257</v>
      </c>
      <c r="AV7" s="19">
        <v>0.36832056902943255</v>
      </c>
      <c r="AW7" s="19">
        <v>0.28344730860787859</v>
      </c>
      <c r="AX7" s="19">
        <v>0.91879621146137203</v>
      </c>
      <c r="AY7" s="19">
        <v>0.37196921002489214</v>
      </c>
      <c r="AZ7" s="19">
        <v>0.18974770800030744</v>
      </c>
      <c r="BA7" s="19"/>
      <c r="BB7" s="19"/>
      <c r="BC7" s="19"/>
      <c r="BD7" s="19"/>
      <c r="BE7" s="19"/>
      <c r="BF7" s="19"/>
      <c r="BG7" s="19"/>
      <c r="BH7" s="19"/>
      <c r="BI7" s="19"/>
    </row>
    <row r="8" spans="1:61" x14ac:dyDescent="0.55000000000000004">
      <c r="A8" s="19" t="s">
        <v>333</v>
      </c>
      <c r="B8" s="19" t="s">
        <v>334</v>
      </c>
      <c r="C8" s="19" t="s">
        <v>322</v>
      </c>
      <c r="D8" s="19" t="s">
        <v>9</v>
      </c>
      <c r="E8" s="19">
        <v>1771</v>
      </c>
      <c r="F8" s="19">
        <v>71.777683999999994</v>
      </c>
      <c r="G8" s="19">
        <v>36.887735999999997</v>
      </c>
      <c r="H8" s="19">
        <v>65328.180455999995</v>
      </c>
      <c r="I8" s="19">
        <v>50.885016999999998</v>
      </c>
      <c r="J8" s="19">
        <v>17.738285999999999</v>
      </c>
      <c r="K8" s="19">
        <v>34.907912000000003</v>
      </c>
      <c r="L8" s="19">
        <v>54.913204</v>
      </c>
      <c r="M8" s="19">
        <v>41.556103999999998</v>
      </c>
      <c r="N8" s="19">
        <v>16.289453000000002</v>
      </c>
      <c r="O8" s="19">
        <v>15.206706000000001</v>
      </c>
      <c r="P8" s="19">
        <v>44.559489999999997</v>
      </c>
      <c r="Q8" s="19">
        <v>674.791471</v>
      </c>
      <c r="R8" s="19">
        <v>1041.4606490000001</v>
      </c>
      <c r="S8" s="19">
        <v>2440.2029160000002</v>
      </c>
      <c r="T8" s="19">
        <v>2531.2782255219813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>
        <v>1.4886574768372882</v>
      </c>
      <c r="AQ8" s="19">
        <v>1.2079757348079048</v>
      </c>
      <c r="AR8" s="19"/>
      <c r="AS8" s="19"/>
      <c r="AT8" s="19"/>
      <c r="AU8" s="19">
        <v>0.92664447334014599</v>
      </c>
      <c r="AV8" s="19">
        <v>0.32302405811177942</v>
      </c>
      <c r="AW8" s="19">
        <v>0.63569250120608523</v>
      </c>
      <c r="AX8" s="19">
        <v>0.93259828602167572</v>
      </c>
      <c r="AY8" s="19">
        <v>0.36556641469639806</v>
      </c>
      <c r="AZ8" s="19">
        <v>0.34126750553024737</v>
      </c>
      <c r="BA8" s="19"/>
      <c r="BB8" s="19"/>
      <c r="BC8" s="19"/>
      <c r="BD8" s="19"/>
      <c r="BE8" s="19"/>
      <c r="BF8" s="19"/>
      <c r="BG8" s="19"/>
      <c r="BH8" s="19"/>
      <c r="BI8" s="19"/>
    </row>
    <row r="9" spans="1:61" x14ac:dyDescent="0.55000000000000004">
      <c r="A9" s="19" t="s">
        <v>335</v>
      </c>
      <c r="B9" s="19" t="s">
        <v>336</v>
      </c>
      <c r="C9" s="19" t="s">
        <v>322</v>
      </c>
      <c r="D9" s="19" t="s">
        <v>9</v>
      </c>
      <c r="E9" s="19">
        <v>1864</v>
      </c>
      <c r="F9" s="19">
        <v>69.965500000000006</v>
      </c>
      <c r="G9" s="19">
        <v>58.598444000000001</v>
      </c>
      <c r="H9" s="19">
        <v>109227.499616</v>
      </c>
      <c r="I9" s="19">
        <v>82.653827000000007</v>
      </c>
      <c r="J9" s="19">
        <v>22.809463999999998</v>
      </c>
      <c r="K9" s="19">
        <v>29.757736000000001</v>
      </c>
      <c r="L9" s="19">
        <v>82.707599000000002</v>
      </c>
      <c r="M9" s="19">
        <v>44.531202999999998</v>
      </c>
      <c r="N9" s="19">
        <v>19.113610000000001</v>
      </c>
      <c r="O9" s="19">
        <v>19.948492999999999</v>
      </c>
      <c r="P9" s="19">
        <v>47.245958000000002</v>
      </c>
      <c r="Q9" s="19">
        <v>430.02866699999998</v>
      </c>
      <c r="R9" s="19">
        <v>399.23944799999998</v>
      </c>
      <c r="S9" s="19">
        <v>1691.2144209999999</v>
      </c>
      <c r="T9" s="19">
        <v>1694.1126222084745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>
        <v>1.4114299519625471</v>
      </c>
      <c r="AQ9" s="19">
        <v>0.806266425777449</v>
      </c>
      <c r="AR9" s="19"/>
      <c r="AS9" s="19"/>
      <c r="AT9" s="19"/>
      <c r="AU9" s="19">
        <v>0.99934985417724442</v>
      </c>
      <c r="AV9" s="19">
        <v>0.27578438106999087</v>
      </c>
      <c r="AW9" s="19">
        <v>0.35979446096603529</v>
      </c>
      <c r="AX9" s="19">
        <v>0.94253995230660781</v>
      </c>
      <c r="AY9" s="19">
        <v>0.40455545424647754</v>
      </c>
      <c r="AZ9" s="19">
        <v>0.42222644739260018</v>
      </c>
      <c r="BA9" s="19"/>
      <c r="BB9" s="19"/>
      <c r="BC9" s="19"/>
      <c r="BD9" s="19"/>
      <c r="BE9" s="19"/>
      <c r="BF9" s="19"/>
      <c r="BG9" s="19"/>
      <c r="BH9" s="19"/>
      <c r="BI9" s="19"/>
    </row>
    <row r="10" spans="1:61" x14ac:dyDescent="0.55000000000000004">
      <c r="A10" s="19" t="s">
        <v>337</v>
      </c>
      <c r="B10" s="19" t="s">
        <v>338</v>
      </c>
      <c r="C10" s="19" t="s">
        <v>322</v>
      </c>
      <c r="D10" s="19" t="s">
        <v>9</v>
      </c>
      <c r="E10" s="19">
        <v>1990</v>
      </c>
      <c r="F10" s="19">
        <v>69.05593300000001</v>
      </c>
      <c r="G10" s="19">
        <v>46.405012999999997</v>
      </c>
      <c r="H10" s="19">
        <v>92345.975869999995</v>
      </c>
      <c r="I10" s="19">
        <v>69.292231000000001</v>
      </c>
      <c r="J10" s="19">
        <v>22.137640999999999</v>
      </c>
      <c r="K10" s="19">
        <v>18.246116000000001</v>
      </c>
      <c r="L10" s="19">
        <v>73.734859999999998</v>
      </c>
      <c r="M10" s="19">
        <v>55.093843999999997</v>
      </c>
      <c r="N10" s="19">
        <v>15.956265</v>
      </c>
      <c r="O10" s="19">
        <v>14.873671999999999</v>
      </c>
      <c r="P10" s="19">
        <v>55.456287000000003</v>
      </c>
      <c r="Q10" s="19">
        <v>533.69527900000003</v>
      </c>
      <c r="R10" s="19">
        <v>260.20815499999998</v>
      </c>
      <c r="S10" s="19">
        <v>1923.1974680000001</v>
      </c>
      <c r="T10" s="19">
        <v>1956.8787473271127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>
        <v>1.5889416947259556</v>
      </c>
      <c r="AQ10" s="19">
        <v>1.1950494874336099</v>
      </c>
      <c r="AR10" s="19"/>
      <c r="AS10" s="19"/>
      <c r="AT10" s="19"/>
      <c r="AU10" s="19">
        <v>0.93974859381302145</v>
      </c>
      <c r="AV10" s="19">
        <v>0.30023303767037735</v>
      </c>
      <c r="AW10" s="19">
        <v>0.24745576244397835</v>
      </c>
      <c r="AX10" s="19">
        <v>0.99346434787457005</v>
      </c>
      <c r="AY10" s="19">
        <v>0.28772689019010594</v>
      </c>
      <c r="AZ10" s="19">
        <v>0.26820533441050604</v>
      </c>
      <c r="BA10" s="19"/>
      <c r="BB10" s="19"/>
      <c r="BC10" s="19"/>
      <c r="BD10" s="19"/>
      <c r="BE10" s="19"/>
      <c r="BF10" s="19"/>
      <c r="BG10" s="19"/>
      <c r="BH10" s="19"/>
      <c r="BI10" s="19"/>
    </row>
    <row r="11" spans="1:61" x14ac:dyDescent="0.55000000000000004">
      <c r="A11" s="19" t="s">
        <v>339</v>
      </c>
      <c r="B11" s="19" t="s">
        <v>340</v>
      </c>
      <c r="C11" s="19" t="s">
        <v>322</v>
      </c>
      <c r="D11" s="19" t="s">
        <v>9</v>
      </c>
      <c r="E11" s="19">
        <v>2179</v>
      </c>
      <c r="F11" s="19">
        <v>67.137097000000011</v>
      </c>
      <c r="G11" s="19">
        <v>36.528722999999999</v>
      </c>
      <c r="H11" s="19">
        <v>79596.087417000002</v>
      </c>
      <c r="I11" s="19">
        <v>184.15168299999999</v>
      </c>
      <c r="J11" s="19">
        <v>58.632131000000001</v>
      </c>
      <c r="K11" s="19">
        <v>67.979828999999995</v>
      </c>
      <c r="L11" s="19">
        <v>204.35991899999999</v>
      </c>
      <c r="M11" s="19">
        <v>52.497162000000003</v>
      </c>
      <c r="N11" s="19">
        <v>10.405632000000001</v>
      </c>
      <c r="O11" s="19">
        <v>13.02543</v>
      </c>
      <c r="P11" s="19">
        <v>53.320089000000003</v>
      </c>
      <c r="Q11" s="19">
        <v>636.94798100000003</v>
      </c>
      <c r="R11" s="19">
        <v>1112.559536</v>
      </c>
      <c r="S11" s="19">
        <v>1913.0824250000001</v>
      </c>
      <c r="T11" s="19">
        <v>1952.0095930162197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>
        <v>5.5944994025660302</v>
      </c>
      <c r="AQ11" s="19">
        <v>1.4596756913730602</v>
      </c>
      <c r="AR11" s="19"/>
      <c r="AS11" s="19"/>
      <c r="AT11" s="19"/>
      <c r="AU11" s="19">
        <v>0.90111448419589557</v>
      </c>
      <c r="AV11" s="19">
        <v>0.28690621569486924</v>
      </c>
      <c r="AW11" s="19">
        <v>0.33264756285208746</v>
      </c>
      <c r="AX11" s="19">
        <v>0.9845662860765293</v>
      </c>
      <c r="AY11" s="19">
        <v>0.19515406285237072</v>
      </c>
      <c r="AZ11" s="19">
        <v>0.24428747671445183</v>
      </c>
      <c r="BA11" s="19"/>
      <c r="BB11" s="19"/>
      <c r="BC11" s="19"/>
      <c r="BD11" s="19"/>
      <c r="BE11" s="19"/>
      <c r="BF11" s="19"/>
      <c r="BG11" s="19"/>
      <c r="BH11" s="19"/>
      <c r="BI11" s="19"/>
    </row>
    <row r="12" spans="1:61" x14ac:dyDescent="0.55000000000000004">
      <c r="A12" s="19" t="s">
        <v>341</v>
      </c>
      <c r="B12" s="19" t="s">
        <v>342</v>
      </c>
      <c r="C12" s="19" t="s">
        <v>322</v>
      </c>
      <c r="D12" s="19" t="s">
        <v>9</v>
      </c>
      <c r="E12" s="19">
        <v>2008</v>
      </c>
      <c r="F12" s="19">
        <v>72.044642999999994</v>
      </c>
      <c r="G12" s="19">
        <v>37.472628999999998</v>
      </c>
      <c r="H12" s="19">
        <v>75245.039032000001</v>
      </c>
      <c r="I12" s="19">
        <v>49.825204999999997</v>
      </c>
      <c r="J12" s="19">
        <v>5.3451320000000004</v>
      </c>
      <c r="K12" s="19">
        <v>13.949648</v>
      </c>
      <c r="L12" s="19">
        <v>51.713296</v>
      </c>
      <c r="M12" s="19">
        <v>44.044930000000001</v>
      </c>
      <c r="N12" s="19">
        <v>6.675281</v>
      </c>
      <c r="O12" s="19">
        <v>14.960561</v>
      </c>
      <c r="P12" s="19">
        <v>45.187928999999997</v>
      </c>
      <c r="Q12" s="19">
        <v>326.69921799999997</v>
      </c>
      <c r="R12" s="19">
        <v>303.34184599999998</v>
      </c>
      <c r="S12" s="19">
        <v>1611.3060760000001</v>
      </c>
      <c r="T12" s="19">
        <v>1620.4577422370126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>
        <v>1.3800285002688228</v>
      </c>
      <c r="AQ12" s="19">
        <v>1.2058916122485028</v>
      </c>
      <c r="AR12" s="19"/>
      <c r="AS12" s="19"/>
      <c r="AT12" s="19"/>
      <c r="AU12" s="19">
        <v>0.96348925429158483</v>
      </c>
      <c r="AV12" s="19">
        <v>0.1033608842105133</v>
      </c>
      <c r="AW12" s="19">
        <v>0.26974973708889105</v>
      </c>
      <c r="AX12" s="19">
        <v>0.9747056564597153</v>
      </c>
      <c r="AY12" s="19">
        <v>0.14772265841171878</v>
      </c>
      <c r="AZ12" s="19">
        <v>0.33107427870836925</v>
      </c>
      <c r="BA12" s="19"/>
      <c r="BB12" s="19"/>
      <c r="BC12" s="19"/>
      <c r="BD12" s="19"/>
      <c r="BE12" s="19"/>
      <c r="BF12" s="19"/>
      <c r="BG12" s="19"/>
      <c r="BH12" s="19"/>
      <c r="BI12" s="19"/>
    </row>
    <row r="13" spans="1:61" x14ac:dyDescent="0.55000000000000004">
      <c r="A13" s="19" t="s">
        <v>343</v>
      </c>
      <c r="B13" s="19" t="s">
        <v>344</v>
      </c>
      <c r="C13" s="19" t="s">
        <v>322</v>
      </c>
      <c r="D13" s="19" t="s">
        <v>9</v>
      </c>
      <c r="E13" s="19">
        <v>1956</v>
      </c>
      <c r="F13" s="19">
        <v>70.468030999999996</v>
      </c>
      <c r="G13" s="19">
        <v>55.208340999999997</v>
      </c>
      <c r="H13" s="19">
        <v>107987.514996</v>
      </c>
      <c r="I13" s="19">
        <v>79.547199000000006</v>
      </c>
      <c r="J13" s="19">
        <v>14.489012000000001</v>
      </c>
      <c r="K13" s="19">
        <v>12.465619</v>
      </c>
      <c r="L13" s="19">
        <v>80.378592999999995</v>
      </c>
      <c r="M13" s="19">
        <v>50.518129999999999</v>
      </c>
      <c r="N13" s="19">
        <v>12.910093</v>
      </c>
      <c r="O13" s="19">
        <v>15.837939</v>
      </c>
      <c r="P13" s="19">
        <v>52.170037999999998</v>
      </c>
      <c r="Q13" s="19">
        <v>598.50138900000002</v>
      </c>
      <c r="R13" s="19">
        <v>1382.1</v>
      </c>
      <c r="S13" s="19">
        <v>2403.926633</v>
      </c>
      <c r="T13" s="19">
        <v>2408.5752650885611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>
        <v>1.455913935178744</v>
      </c>
      <c r="AQ13" s="19">
        <v>0.94496659481218614</v>
      </c>
      <c r="AR13" s="19"/>
      <c r="AS13" s="19"/>
      <c r="AT13" s="19"/>
      <c r="AU13" s="19">
        <v>0.9896565245923129</v>
      </c>
      <c r="AV13" s="19">
        <v>0.18025958727593056</v>
      </c>
      <c r="AW13" s="19">
        <v>0.15508630513101918</v>
      </c>
      <c r="AX13" s="19">
        <v>0.9683360782677598</v>
      </c>
      <c r="AY13" s="19">
        <v>0.24746182856911089</v>
      </c>
      <c r="AZ13" s="19">
        <v>0.30358304511873274</v>
      </c>
      <c r="BA13" s="19"/>
      <c r="BB13" s="19"/>
      <c r="BC13" s="19"/>
      <c r="BD13" s="19"/>
      <c r="BE13" s="19"/>
      <c r="BF13" s="19"/>
      <c r="BG13" s="19"/>
      <c r="BH13" s="19"/>
      <c r="BI13" s="19"/>
    </row>
    <row r="14" spans="1:61" x14ac:dyDescent="0.55000000000000004">
      <c r="A14" s="19" t="s">
        <v>345</v>
      </c>
      <c r="B14" s="19" t="s">
        <v>346</v>
      </c>
      <c r="C14" s="19" t="s">
        <v>322</v>
      </c>
      <c r="D14" s="19" t="s">
        <v>9</v>
      </c>
      <c r="E14" s="19">
        <v>1958</v>
      </c>
      <c r="F14" s="19">
        <v>70.816900000000004</v>
      </c>
      <c r="G14" s="19">
        <v>46.646500000000003</v>
      </c>
      <c r="H14" s="19">
        <v>91333.847000000009</v>
      </c>
      <c r="I14" s="19">
        <v>121.87430000000001</v>
      </c>
      <c r="J14" s="19">
        <v>35.049599999999998</v>
      </c>
      <c r="K14" s="19">
        <v>35.915900000000001</v>
      </c>
      <c r="L14" s="19">
        <v>129.1438</v>
      </c>
      <c r="M14" s="19">
        <v>52.842100000000002</v>
      </c>
      <c r="N14" s="19">
        <v>15.666700000000001</v>
      </c>
      <c r="O14" s="19">
        <v>17.453600000000002</v>
      </c>
      <c r="P14" s="19">
        <v>54.53</v>
      </c>
      <c r="Q14" s="19">
        <v>724.14880000000005</v>
      </c>
      <c r="R14" s="19">
        <v>38.659799999999997</v>
      </c>
      <c r="S14" s="19">
        <v>2825.1597000000002</v>
      </c>
      <c r="T14" s="19">
        <v>2901.5802079713822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>
        <v>2.7685635578232017</v>
      </c>
      <c r="AQ14" s="19">
        <v>1.169005177237306</v>
      </c>
      <c r="AR14" s="19"/>
      <c r="AS14" s="19"/>
      <c r="AT14" s="19"/>
      <c r="AU14" s="19">
        <v>0.94371003486036498</v>
      </c>
      <c r="AV14" s="19">
        <v>0.27139978845287188</v>
      </c>
      <c r="AW14" s="19">
        <v>0.27810781469958296</v>
      </c>
      <c r="AX14" s="19">
        <v>0.96904639647900237</v>
      </c>
      <c r="AY14" s="19">
        <v>0.28730423620025675</v>
      </c>
      <c r="AZ14" s="19">
        <v>0.32007335411699983</v>
      </c>
      <c r="BA14" s="19"/>
      <c r="BB14" s="19"/>
      <c r="BC14" s="19"/>
      <c r="BD14" s="19"/>
      <c r="BE14" s="19"/>
      <c r="BF14" s="19"/>
      <c r="BG14" s="19"/>
      <c r="BH14" s="19"/>
      <c r="BI14" s="19"/>
    </row>
    <row r="15" spans="1:61" x14ac:dyDescent="0.55000000000000004">
      <c r="A15" s="19" t="s">
        <v>347</v>
      </c>
      <c r="B15" s="19" t="s">
        <v>348</v>
      </c>
      <c r="C15" s="19" t="s">
        <v>322</v>
      </c>
      <c r="D15" s="19" t="s">
        <v>9</v>
      </c>
      <c r="E15" s="19">
        <v>2148</v>
      </c>
      <c r="F15" s="19">
        <v>68.546583999999996</v>
      </c>
      <c r="G15" s="19">
        <v>50.637754999999999</v>
      </c>
      <c r="H15" s="19">
        <v>108769.89774</v>
      </c>
      <c r="I15" s="19">
        <v>43.077902999999999</v>
      </c>
      <c r="J15" s="19">
        <v>22.706052</v>
      </c>
      <c r="K15" s="19">
        <v>21.250692000000001</v>
      </c>
      <c r="L15" s="19">
        <v>47.015439999999998</v>
      </c>
      <c r="M15" s="19">
        <v>38.221888</v>
      </c>
      <c r="N15" s="19">
        <v>7.8020849999999999</v>
      </c>
      <c r="O15" s="19">
        <v>14.676174</v>
      </c>
      <c r="P15" s="19">
        <v>39.639246</v>
      </c>
      <c r="Q15" s="19">
        <v>490.28927099999999</v>
      </c>
      <c r="R15" s="19">
        <v>859.91698799999995</v>
      </c>
      <c r="S15" s="19">
        <v>1915.955211</v>
      </c>
      <c r="T15" s="19">
        <v>1929.694444211161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>
        <v>0.92846612177020882</v>
      </c>
      <c r="AQ15" s="19">
        <v>0.78280022485199041</v>
      </c>
      <c r="AR15" s="19"/>
      <c r="AS15" s="19"/>
      <c r="AT15" s="19"/>
      <c r="AU15" s="19">
        <v>0.91625012974461162</v>
      </c>
      <c r="AV15" s="19">
        <v>0.48294883553147649</v>
      </c>
      <c r="AW15" s="19">
        <v>0.45199389817472729</v>
      </c>
      <c r="AX15" s="19">
        <v>0.96424356810419654</v>
      </c>
      <c r="AY15" s="19">
        <v>0.19682728072072814</v>
      </c>
      <c r="AZ15" s="19">
        <v>0.37024352077736289</v>
      </c>
      <c r="BA15" s="19"/>
      <c r="BB15" s="19"/>
      <c r="BC15" s="19"/>
      <c r="BD15" s="19"/>
      <c r="BE15" s="19"/>
      <c r="BF15" s="19"/>
      <c r="BG15" s="19"/>
      <c r="BH15" s="19"/>
      <c r="BI15" s="19"/>
    </row>
    <row r="16" spans="1:61" x14ac:dyDescent="0.55000000000000004">
      <c r="A16" s="19" t="s">
        <v>349</v>
      </c>
      <c r="B16" s="19" t="s">
        <v>346</v>
      </c>
      <c r="C16" s="19" t="s">
        <v>322</v>
      </c>
      <c r="D16" s="19" t="s">
        <v>9</v>
      </c>
      <c r="E16" s="19">
        <v>1992</v>
      </c>
      <c r="F16" s="19">
        <v>72.347088999999997</v>
      </c>
      <c r="G16" s="19">
        <v>41.464258000000001</v>
      </c>
      <c r="H16" s="19">
        <v>82596.801936000003</v>
      </c>
      <c r="I16" s="19">
        <v>75.986541000000003</v>
      </c>
      <c r="J16" s="19">
        <v>13.724252999999999</v>
      </c>
      <c r="K16" s="19">
        <v>30.382871000000002</v>
      </c>
      <c r="L16" s="19">
        <v>82.696903000000006</v>
      </c>
      <c r="M16" s="19">
        <v>54.474257999999999</v>
      </c>
      <c r="N16" s="19">
        <v>11.707769000000001</v>
      </c>
      <c r="O16" s="19">
        <v>26.927320000000002</v>
      </c>
      <c r="P16" s="19">
        <v>58.231583000000001</v>
      </c>
      <c r="Q16" s="19">
        <v>424.55683599999998</v>
      </c>
      <c r="R16" s="19">
        <v>514.54286500000001</v>
      </c>
      <c r="S16" s="19">
        <v>2683.9920010000001</v>
      </c>
      <c r="T16" s="19">
        <v>2685.2614582724259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>
        <v>1.9944141530278923</v>
      </c>
      <c r="AQ16" s="19">
        <v>1.4043802013772921</v>
      </c>
      <c r="AR16" s="19"/>
      <c r="AS16" s="19"/>
      <c r="AT16" s="19"/>
      <c r="AU16" s="19">
        <v>0.91885594554852912</v>
      </c>
      <c r="AV16" s="19">
        <v>0.1659584881915106</v>
      </c>
      <c r="AW16" s="19">
        <v>0.36740034871680743</v>
      </c>
      <c r="AX16" s="19">
        <v>0.93547616591498117</v>
      </c>
      <c r="AY16" s="19">
        <v>0.20105531048331626</v>
      </c>
      <c r="AZ16" s="19">
        <v>0.46241779138994044</v>
      </c>
      <c r="BA16" s="19"/>
      <c r="BB16" s="19"/>
      <c r="BC16" s="19"/>
      <c r="BD16" s="19"/>
      <c r="BE16" s="19"/>
      <c r="BF16" s="19"/>
      <c r="BG16" s="19"/>
      <c r="BH16" s="19"/>
      <c r="BI16" s="19"/>
    </row>
    <row r="17" spans="1:61" x14ac:dyDescent="0.55000000000000004">
      <c r="A17" s="19" t="s">
        <v>350</v>
      </c>
      <c r="B17" s="19" t="s">
        <v>351</v>
      </c>
      <c r="C17" s="19" t="s">
        <v>322</v>
      </c>
      <c r="D17" s="19" t="s">
        <v>9</v>
      </c>
      <c r="E17" s="19">
        <v>1704</v>
      </c>
      <c r="F17" s="19">
        <v>68.994654999999995</v>
      </c>
      <c r="G17" s="19">
        <v>40.540019000000001</v>
      </c>
      <c r="H17" s="19">
        <v>69080.192376000006</v>
      </c>
      <c r="I17" s="19">
        <v>84.557828000000001</v>
      </c>
      <c r="J17" s="19">
        <v>13.322089999999999</v>
      </c>
      <c r="K17" s="19">
        <v>26.908714</v>
      </c>
      <c r="L17" s="19">
        <v>85.805530000000005</v>
      </c>
      <c r="M17" s="19">
        <v>44.044901000000003</v>
      </c>
      <c r="N17" s="19">
        <v>9.5621189999999991</v>
      </c>
      <c r="O17" s="19">
        <v>9.8499420000000004</v>
      </c>
      <c r="P17" s="19">
        <v>44.988615000000003</v>
      </c>
      <c r="Q17" s="19">
        <v>740.85204899999997</v>
      </c>
      <c r="R17" s="19">
        <v>285.43141800000001</v>
      </c>
      <c r="S17" s="19">
        <v>1545.7028029999999</v>
      </c>
      <c r="T17" s="19">
        <v>1697.6345855800164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>
        <v>2.1165636355523167</v>
      </c>
      <c r="AQ17" s="19">
        <v>1.1097334463508761</v>
      </c>
      <c r="AR17" s="19"/>
      <c r="AS17" s="19"/>
      <c r="AT17" s="19"/>
      <c r="AU17" s="19">
        <v>0.98545895585051446</v>
      </c>
      <c r="AV17" s="19">
        <v>0.15525910742582674</v>
      </c>
      <c r="AW17" s="19">
        <v>0.313601163001965</v>
      </c>
      <c r="AX17" s="19">
        <v>0.97902327066525607</v>
      </c>
      <c r="AY17" s="19">
        <v>0.21254530729607921</v>
      </c>
      <c r="AZ17" s="19">
        <v>0.21894299257712202</v>
      </c>
      <c r="BA17" s="19"/>
      <c r="BB17" s="19"/>
      <c r="BC17" s="19"/>
      <c r="BD17" s="19"/>
      <c r="BE17" s="19"/>
      <c r="BF17" s="19"/>
      <c r="BG17" s="19"/>
      <c r="BH17" s="19"/>
      <c r="BI17" s="19"/>
    </row>
    <row r="18" spans="1:61" x14ac:dyDescent="0.55000000000000004">
      <c r="A18" s="19" t="s">
        <v>352</v>
      </c>
      <c r="B18" s="19" t="s">
        <v>353</v>
      </c>
      <c r="C18" s="19" t="s">
        <v>322</v>
      </c>
      <c r="D18" s="19" t="s">
        <v>9</v>
      </c>
      <c r="E18" s="19">
        <v>1635</v>
      </c>
      <c r="F18" s="19">
        <v>68.301371000000003</v>
      </c>
      <c r="G18" s="19">
        <v>62.983054000000003</v>
      </c>
      <c r="H18" s="19">
        <v>102977.29329</v>
      </c>
      <c r="I18" s="19">
        <v>49.958478999999997</v>
      </c>
      <c r="J18" s="19">
        <v>15.416409</v>
      </c>
      <c r="K18" s="19">
        <v>17.882697</v>
      </c>
      <c r="L18" s="19">
        <v>50.846749000000003</v>
      </c>
      <c r="M18" s="19">
        <v>46.981965000000002</v>
      </c>
      <c r="N18" s="19">
        <v>15.252071000000001</v>
      </c>
      <c r="O18" s="19">
        <v>9.6166140000000002</v>
      </c>
      <c r="P18" s="19">
        <v>49.399374999999999</v>
      </c>
      <c r="Q18" s="19">
        <v>504.20581099999998</v>
      </c>
      <c r="R18" s="19">
        <v>551.70793300000003</v>
      </c>
      <c r="S18" s="19">
        <v>1523.0809770000001</v>
      </c>
      <c r="T18" s="19">
        <v>1526.8940755834974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>
        <v>0.80730840711534879</v>
      </c>
      <c r="AQ18" s="19">
        <v>0.78432803528390349</v>
      </c>
      <c r="AR18" s="19"/>
      <c r="AS18" s="19"/>
      <c r="AT18" s="19"/>
      <c r="AU18" s="19">
        <v>0.98253044653847965</v>
      </c>
      <c r="AV18" s="19">
        <v>0.30319360240710769</v>
      </c>
      <c r="AW18" s="19">
        <v>0.35169794237975766</v>
      </c>
      <c r="AX18" s="19">
        <v>0.9510639557686712</v>
      </c>
      <c r="AY18" s="19">
        <v>0.30875028277179623</v>
      </c>
      <c r="AZ18" s="19">
        <v>0.19467076253495111</v>
      </c>
      <c r="BA18" s="19"/>
      <c r="BB18" s="19"/>
      <c r="BC18" s="19"/>
      <c r="BD18" s="19"/>
      <c r="BE18" s="19"/>
      <c r="BF18" s="19"/>
      <c r="BG18" s="19"/>
      <c r="BH18" s="19"/>
      <c r="BI18" s="19"/>
    </row>
    <row r="19" spans="1:61" x14ac:dyDescent="0.55000000000000004">
      <c r="A19" s="19" t="s">
        <v>354</v>
      </c>
      <c r="B19" s="19" t="s">
        <v>355</v>
      </c>
      <c r="C19" s="19" t="s">
        <v>322</v>
      </c>
      <c r="D19" s="19" t="s">
        <v>9</v>
      </c>
      <c r="E19" s="19">
        <v>1550</v>
      </c>
      <c r="F19" s="19">
        <v>69.280484000000001</v>
      </c>
      <c r="G19" s="19">
        <v>44.445504</v>
      </c>
      <c r="H19" s="19">
        <v>68890.531199999998</v>
      </c>
      <c r="I19" s="19">
        <v>47.519356999999999</v>
      </c>
      <c r="J19" s="19">
        <v>10.729582000000001</v>
      </c>
      <c r="K19" s="19">
        <v>20.670332999999999</v>
      </c>
      <c r="L19" s="19">
        <v>48.305926999999997</v>
      </c>
      <c r="M19" s="19">
        <v>34.983860999999997</v>
      </c>
      <c r="N19" s="19">
        <v>19.148685</v>
      </c>
      <c r="O19" s="19">
        <v>11.421379</v>
      </c>
      <c r="P19" s="19">
        <v>36.650602999999997</v>
      </c>
      <c r="Q19" s="19">
        <v>339.59434499999998</v>
      </c>
      <c r="R19" s="19">
        <v>28.192477</v>
      </c>
      <c r="S19" s="19">
        <v>1318.506126</v>
      </c>
      <c r="T19" s="19">
        <v>1318.7237883205164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>
        <v>1.0868574468184677</v>
      </c>
      <c r="AQ19" s="19">
        <v>0.82461890858521925</v>
      </c>
      <c r="AR19" s="19"/>
      <c r="AS19" s="19"/>
      <c r="AT19" s="19"/>
      <c r="AU19" s="19">
        <v>0.98371690496696196</v>
      </c>
      <c r="AV19" s="19">
        <v>0.22211729835968164</v>
      </c>
      <c r="AW19" s="19">
        <v>0.4279046958357719</v>
      </c>
      <c r="AX19" s="19">
        <v>0.95452347673515769</v>
      </c>
      <c r="AY19" s="19">
        <v>0.52246575588401645</v>
      </c>
      <c r="AZ19" s="19">
        <v>0.31162867906975505</v>
      </c>
      <c r="BA19" s="19"/>
      <c r="BB19" s="19"/>
      <c r="BC19" s="19"/>
      <c r="BD19" s="19"/>
      <c r="BE19" s="19"/>
      <c r="BF19" s="19"/>
      <c r="BG19" s="19"/>
      <c r="BH19" s="19"/>
      <c r="BI19" s="19"/>
    </row>
    <row r="20" spans="1:61" x14ac:dyDescent="0.55000000000000004">
      <c r="A20" s="19" t="s">
        <v>356</v>
      </c>
      <c r="B20" s="19" t="s">
        <v>357</v>
      </c>
      <c r="C20" s="19" t="s">
        <v>322</v>
      </c>
      <c r="D20" s="19" t="s">
        <v>9</v>
      </c>
      <c r="E20" s="19">
        <v>1721</v>
      </c>
      <c r="F20" s="19">
        <v>66.756241000000003</v>
      </c>
      <c r="G20" s="19">
        <v>59.241959000000001</v>
      </c>
      <c r="H20" s="19">
        <v>101955.411439</v>
      </c>
      <c r="I20" s="19">
        <v>50.931516999999999</v>
      </c>
      <c r="J20" s="19">
        <v>14.076592</v>
      </c>
      <c r="K20" s="19">
        <v>22.202631</v>
      </c>
      <c r="L20" s="19">
        <v>53.851964000000002</v>
      </c>
      <c r="M20" s="19">
        <v>57.174183999999997</v>
      </c>
      <c r="N20" s="19">
        <v>12.090234000000001</v>
      </c>
      <c r="O20" s="19">
        <v>13.749159000000001</v>
      </c>
      <c r="P20" s="19">
        <v>58.582377000000001</v>
      </c>
      <c r="Q20" s="19">
        <v>486.86580900000001</v>
      </c>
      <c r="R20" s="19">
        <v>182.544771</v>
      </c>
      <c r="S20" s="19">
        <v>2282.4179049999998</v>
      </c>
      <c r="T20" s="19">
        <v>2307.9706683637719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>
        <v>0.9090172727070015</v>
      </c>
      <c r="AQ20" s="19">
        <v>0.98886630335772652</v>
      </c>
      <c r="AR20" s="19"/>
      <c r="AS20" s="19"/>
      <c r="AT20" s="19"/>
      <c r="AU20" s="19">
        <v>0.94576897882498767</v>
      </c>
      <c r="AV20" s="19">
        <v>0.26139421767421517</v>
      </c>
      <c r="AW20" s="19">
        <v>0.41229008843577181</v>
      </c>
      <c r="AX20" s="19">
        <v>0.97596217374382055</v>
      </c>
      <c r="AY20" s="19">
        <v>0.20638005180295091</v>
      </c>
      <c r="AZ20" s="19">
        <v>0.23469786826847261</v>
      </c>
      <c r="BA20" s="19"/>
      <c r="BB20" s="19"/>
      <c r="BC20" s="19"/>
      <c r="BD20" s="19"/>
      <c r="BE20" s="19"/>
      <c r="BF20" s="19"/>
      <c r="BG20" s="19"/>
      <c r="BH20" s="19"/>
      <c r="BI20" s="19"/>
    </row>
    <row r="21" spans="1:61" x14ac:dyDescent="0.55000000000000004">
      <c r="A21" s="19" t="s">
        <v>358</v>
      </c>
      <c r="B21" s="19" t="s">
        <v>359</v>
      </c>
      <c r="C21" s="19" t="s">
        <v>322</v>
      </c>
      <c r="D21" s="19" t="s">
        <v>9</v>
      </c>
      <c r="E21" s="19">
        <v>1670</v>
      </c>
      <c r="F21" s="19">
        <v>60.779139999999998</v>
      </c>
      <c r="G21" s="19">
        <v>66.216887999999997</v>
      </c>
      <c r="H21" s="19">
        <v>110582.20296</v>
      </c>
      <c r="I21" s="19">
        <v>43.087128999999997</v>
      </c>
      <c r="J21" s="19">
        <v>28.676299</v>
      </c>
      <c r="K21" s="19">
        <v>27.760211999999999</v>
      </c>
      <c r="L21" s="19">
        <v>52.153263000000003</v>
      </c>
      <c r="M21" s="19">
        <v>43.790429000000003</v>
      </c>
      <c r="N21" s="19">
        <v>22.234724</v>
      </c>
      <c r="O21" s="19">
        <v>9.2561110000000006</v>
      </c>
      <c r="P21" s="19">
        <v>46.758898000000002</v>
      </c>
      <c r="Q21" s="19">
        <v>347.63709299999999</v>
      </c>
      <c r="R21" s="19">
        <v>478.12953399999998</v>
      </c>
      <c r="S21" s="19">
        <v>1621.270618</v>
      </c>
      <c r="T21" s="19">
        <v>1633.4734515043203</v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>
        <v>0.78761271595850302</v>
      </c>
      <c r="AQ21" s="19">
        <v>0.70614762203865578</v>
      </c>
      <c r="AR21" s="19"/>
      <c r="AS21" s="19"/>
      <c r="AT21" s="19"/>
      <c r="AU21" s="19">
        <v>0.82616362853461334</v>
      </c>
      <c r="AV21" s="19">
        <v>0.54984668936246617</v>
      </c>
      <c r="AW21" s="19">
        <v>0.53228140298719173</v>
      </c>
      <c r="AX21" s="19">
        <v>0.93651542001695598</v>
      </c>
      <c r="AY21" s="19">
        <v>0.47551856333312215</v>
      </c>
      <c r="AZ21" s="19">
        <v>0.1979540022521489</v>
      </c>
      <c r="BA21" s="19"/>
      <c r="BB21" s="19"/>
      <c r="BC21" s="19"/>
      <c r="BD21" s="19"/>
      <c r="BE21" s="19"/>
      <c r="BF21" s="19"/>
      <c r="BG21" s="19"/>
      <c r="BH21" s="19"/>
      <c r="BI21" s="19"/>
    </row>
    <row r="22" spans="1:61" x14ac:dyDescent="0.55000000000000004">
      <c r="A22" s="19" t="s">
        <v>360</v>
      </c>
      <c r="B22" s="19" t="s">
        <v>361</v>
      </c>
      <c r="C22" s="19" t="s">
        <v>322</v>
      </c>
      <c r="D22" s="19" t="s">
        <v>9</v>
      </c>
      <c r="E22" s="19">
        <v>1697</v>
      </c>
      <c r="F22" s="19">
        <v>66.55116799999999</v>
      </c>
      <c r="G22" s="19">
        <v>40.783017000000001</v>
      </c>
      <c r="H22" s="19">
        <v>69208.779848999999</v>
      </c>
      <c r="I22" s="19">
        <v>41.226922000000002</v>
      </c>
      <c r="J22" s="19">
        <v>13.043697999999999</v>
      </c>
      <c r="K22" s="19">
        <v>18.774560999999999</v>
      </c>
      <c r="L22" s="19">
        <v>44.342143</v>
      </c>
      <c r="M22" s="19">
        <v>48.713639999999998</v>
      </c>
      <c r="N22" s="19">
        <v>14.03012</v>
      </c>
      <c r="O22" s="19">
        <v>10.795588</v>
      </c>
      <c r="P22" s="19">
        <v>50.061982999999998</v>
      </c>
      <c r="Q22" s="19">
        <v>458.25146699999999</v>
      </c>
      <c r="R22" s="19">
        <v>389.732553</v>
      </c>
      <c r="S22" s="19">
        <v>1708.726128</v>
      </c>
      <c r="T22" s="19">
        <v>1709.0513017306828</v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>
        <v>1.0872698064490913</v>
      </c>
      <c r="AQ22" s="19">
        <v>1.2275203425975081</v>
      </c>
      <c r="AR22" s="19"/>
      <c r="AS22" s="19"/>
      <c r="AT22" s="19"/>
      <c r="AU22" s="19">
        <v>0.92974581765252085</v>
      </c>
      <c r="AV22" s="19">
        <v>0.29416029802619142</v>
      </c>
      <c r="AW22" s="19">
        <v>0.42340220227966879</v>
      </c>
      <c r="AX22" s="19">
        <v>0.97306652834746876</v>
      </c>
      <c r="AY22" s="19">
        <v>0.28025497911259328</v>
      </c>
      <c r="AZ22" s="19">
        <v>0.215644434220674</v>
      </c>
      <c r="BA22" s="19"/>
      <c r="BB22" s="19"/>
      <c r="BC22" s="19"/>
      <c r="BD22" s="19"/>
      <c r="BE22" s="19"/>
      <c r="BF22" s="19"/>
      <c r="BG22" s="19"/>
      <c r="BH22" s="19"/>
      <c r="BI22" s="19"/>
    </row>
    <row r="23" spans="1:61" x14ac:dyDescent="0.55000000000000004">
      <c r="A23" s="19" t="s">
        <v>362</v>
      </c>
      <c r="B23" s="19" t="s">
        <v>363</v>
      </c>
      <c r="C23" s="19" t="s">
        <v>322</v>
      </c>
      <c r="D23" s="19" t="s">
        <v>9</v>
      </c>
      <c r="E23" s="19">
        <v>2193</v>
      </c>
      <c r="F23" s="19">
        <v>70.820031999999998</v>
      </c>
      <c r="G23" s="19">
        <v>62.813253000000003</v>
      </c>
      <c r="H23" s="19">
        <v>137749.46382900001</v>
      </c>
      <c r="I23" s="19">
        <v>37.214475999999998</v>
      </c>
      <c r="J23" s="19">
        <v>13.867798000000001</v>
      </c>
      <c r="K23" s="19">
        <v>25.152747000000002</v>
      </c>
      <c r="L23" s="19">
        <v>40.370204999999999</v>
      </c>
      <c r="M23" s="19">
        <v>41.664943999999998</v>
      </c>
      <c r="N23" s="19">
        <v>17.248076999999999</v>
      </c>
      <c r="O23" s="19">
        <v>20.896903999999999</v>
      </c>
      <c r="P23" s="19">
        <v>47.450986999999998</v>
      </c>
      <c r="Q23" s="19">
        <v>655.25432499999999</v>
      </c>
      <c r="R23" s="19">
        <v>1518.7022549999999</v>
      </c>
      <c r="S23" s="19">
        <v>1361.5464830000001</v>
      </c>
      <c r="T23" s="19">
        <v>1530.0461757421217</v>
      </c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>
        <v>0.64270202659301845</v>
      </c>
      <c r="AQ23" s="19">
        <v>0.75542954287051489</v>
      </c>
      <c r="AR23" s="19"/>
      <c r="AS23" s="19"/>
      <c r="AT23" s="19"/>
      <c r="AU23" s="19">
        <v>0.92183024584591533</v>
      </c>
      <c r="AV23" s="19">
        <v>0.34351566953895829</v>
      </c>
      <c r="AW23" s="19">
        <v>0.62305224855806407</v>
      </c>
      <c r="AX23" s="19">
        <v>0.87806274714580757</v>
      </c>
      <c r="AY23" s="19">
        <v>0.36349248119960076</v>
      </c>
      <c r="AZ23" s="19">
        <v>0.44038923784662265</v>
      </c>
      <c r="BA23" s="19"/>
      <c r="BB23" s="19"/>
      <c r="BC23" s="19"/>
      <c r="BD23" s="19"/>
      <c r="BE23" s="19"/>
      <c r="BF23" s="19"/>
      <c r="BG23" s="19"/>
      <c r="BH23" s="19"/>
      <c r="BI23" s="19"/>
    </row>
    <row r="24" spans="1:61" x14ac:dyDescent="0.55000000000000004">
      <c r="A24" s="19" t="s">
        <v>364</v>
      </c>
      <c r="B24" s="19" t="s">
        <v>365</v>
      </c>
      <c r="C24" s="19" t="s">
        <v>322</v>
      </c>
      <c r="D24" s="19" t="s">
        <v>9</v>
      </c>
      <c r="E24" s="19">
        <v>2086</v>
      </c>
      <c r="F24" s="19">
        <v>69.141153000000003</v>
      </c>
      <c r="G24" s="19">
        <v>37.668565000000001</v>
      </c>
      <c r="H24" s="19">
        <v>78576.62659</v>
      </c>
      <c r="I24" s="19">
        <v>42.611502999999999</v>
      </c>
      <c r="J24" s="19">
        <v>12.228320999999999</v>
      </c>
      <c r="K24" s="19">
        <v>26.272041000000002</v>
      </c>
      <c r="L24" s="19">
        <v>48.598560999999997</v>
      </c>
      <c r="M24" s="19">
        <v>41.945599999999999</v>
      </c>
      <c r="N24" s="19">
        <v>14.033931000000001</v>
      </c>
      <c r="O24" s="19">
        <v>11.431894</v>
      </c>
      <c r="P24" s="19">
        <v>42.473582</v>
      </c>
      <c r="Q24" s="19">
        <v>624.17748500000005</v>
      </c>
      <c r="R24" s="19">
        <v>1017.609607</v>
      </c>
      <c r="S24" s="19">
        <v>1265.9174210000001</v>
      </c>
      <c r="T24" s="19">
        <v>1268.3695467204748</v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>
        <v>1.2901622612913446</v>
      </c>
      <c r="AQ24" s="19">
        <v>1.1275603941907528</v>
      </c>
      <c r="AR24" s="19"/>
      <c r="AS24" s="19"/>
      <c r="AT24" s="19"/>
      <c r="AU24" s="19">
        <v>0.87680585851091353</v>
      </c>
      <c r="AV24" s="19">
        <v>0.25161899341011351</v>
      </c>
      <c r="AW24" s="19">
        <v>0.54059298175515946</v>
      </c>
      <c r="AX24" s="19">
        <v>0.98756916711192377</v>
      </c>
      <c r="AY24" s="19">
        <v>0.33041552746834491</v>
      </c>
      <c r="AZ24" s="19">
        <v>0.26915304671030571</v>
      </c>
      <c r="BA24" s="19"/>
      <c r="BB24" s="19"/>
      <c r="BC24" s="19"/>
      <c r="BD24" s="19"/>
      <c r="BE24" s="19"/>
      <c r="BF24" s="19"/>
      <c r="BG24" s="19"/>
      <c r="BH24" s="19"/>
      <c r="BI24" s="19"/>
    </row>
    <row r="25" spans="1:61" x14ac:dyDescent="0.55000000000000004">
      <c r="A25" s="19" t="s">
        <v>366</v>
      </c>
      <c r="B25" s="19" t="s">
        <v>367</v>
      </c>
      <c r="C25" s="19" t="s">
        <v>322</v>
      </c>
      <c r="D25" s="19" t="s">
        <v>9</v>
      </c>
      <c r="E25" s="19">
        <v>2232</v>
      </c>
      <c r="F25" s="19">
        <v>71.358148</v>
      </c>
      <c r="G25" s="19">
        <v>36.483756</v>
      </c>
      <c r="H25" s="19">
        <v>81431.743392000004</v>
      </c>
      <c r="I25" s="19">
        <v>35.949657000000002</v>
      </c>
      <c r="J25" s="19">
        <v>13.089570999999999</v>
      </c>
      <c r="K25" s="19">
        <v>27.736542</v>
      </c>
      <c r="L25" s="19">
        <v>45.242213999999997</v>
      </c>
      <c r="M25" s="19">
        <v>39.337252999999997</v>
      </c>
      <c r="N25" s="19">
        <v>16.161397999999998</v>
      </c>
      <c r="O25" s="19">
        <v>13.514033</v>
      </c>
      <c r="P25" s="19">
        <v>43.896729000000001</v>
      </c>
      <c r="Q25" s="19">
        <v>537.78153299999997</v>
      </c>
      <c r="R25" s="19">
        <v>181.686578</v>
      </c>
      <c r="S25" s="19">
        <v>1260.695616</v>
      </c>
      <c r="T25" s="19">
        <v>1282.6582302858822</v>
      </c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>
        <v>1.2400645920337807</v>
      </c>
      <c r="AQ25" s="19">
        <v>1.2031855766166182</v>
      </c>
      <c r="AR25" s="19"/>
      <c r="AS25" s="19"/>
      <c r="AT25" s="19"/>
      <c r="AU25" s="19">
        <v>0.79460428262860883</v>
      </c>
      <c r="AV25" s="19">
        <v>0.28932206987040909</v>
      </c>
      <c r="AW25" s="19">
        <v>0.61306774244072149</v>
      </c>
      <c r="AX25" s="19">
        <v>0.8961317596124303</v>
      </c>
      <c r="AY25" s="19">
        <v>0.36816861684614355</v>
      </c>
      <c r="AZ25" s="19">
        <v>0.30785968129880475</v>
      </c>
      <c r="BA25" s="19"/>
      <c r="BB25" s="19"/>
      <c r="BC25" s="19"/>
      <c r="BD25" s="19"/>
      <c r="BE25" s="19"/>
      <c r="BF25" s="19"/>
      <c r="BG25" s="19"/>
      <c r="BH25" s="19"/>
      <c r="BI25" s="19"/>
    </row>
    <row r="26" spans="1:61" x14ac:dyDescent="0.55000000000000004">
      <c r="A26" s="19" t="s">
        <v>368</v>
      </c>
      <c r="B26" s="19" t="s">
        <v>369</v>
      </c>
      <c r="C26" s="19" t="s">
        <v>322</v>
      </c>
      <c r="D26" s="19" t="s">
        <v>9</v>
      </c>
      <c r="E26" s="19">
        <v>2098</v>
      </c>
      <c r="F26" s="19">
        <v>69.334687000000002</v>
      </c>
      <c r="G26" s="19">
        <v>38.955249000000002</v>
      </c>
      <c r="H26" s="19">
        <v>81728.112401999999</v>
      </c>
      <c r="I26" s="19">
        <v>70.963768999999999</v>
      </c>
      <c r="J26" s="19">
        <v>19.56419</v>
      </c>
      <c r="K26" s="19">
        <v>52.528872999999997</v>
      </c>
      <c r="L26" s="19">
        <v>86.871065000000002</v>
      </c>
      <c r="M26" s="19">
        <v>49.596573999999997</v>
      </c>
      <c r="N26" s="19">
        <v>21.220061999999999</v>
      </c>
      <c r="O26" s="19">
        <v>22.158311999999999</v>
      </c>
      <c r="P26" s="19">
        <v>55.622211999999998</v>
      </c>
      <c r="Q26" s="19">
        <v>614.69061099999999</v>
      </c>
      <c r="R26" s="19">
        <v>1849.521144</v>
      </c>
      <c r="S26" s="19">
        <v>2154.3807689999999</v>
      </c>
      <c r="T26" s="19">
        <v>2155.3289480523113</v>
      </c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>
        <v>2.2300220696830868</v>
      </c>
      <c r="AQ26" s="19">
        <v>1.427848965873636</v>
      </c>
      <c r="AR26" s="19"/>
      <c r="AS26" s="19"/>
      <c r="AT26" s="19"/>
      <c r="AU26" s="19">
        <v>0.81688614039669016</v>
      </c>
      <c r="AV26" s="19">
        <v>0.22520951020918184</v>
      </c>
      <c r="AW26" s="19">
        <v>0.6046762866323786</v>
      </c>
      <c r="AX26" s="19">
        <v>0.89166849387435365</v>
      </c>
      <c r="AY26" s="19">
        <v>0.38150338213805662</v>
      </c>
      <c r="AZ26" s="19">
        <v>0.39837164332838831</v>
      </c>
      <c r="BA26" s="19"/>
      <c r="BB26" s="19"/>
      <c r="BC26" s="19"/>
      <c r="BD26" s="19"/>
      <c r="BE26" s="19"/>
      <c r="BF26" s="19"/>
      <c r="BG26" s="19"/>
      <c r="BH26" s="19"/>
      <c r="BI26" s="19"/>
    </row>
    <row r="27" spans="1:61" x14ac:dyDescent="0.55000000000000004">
      <c r="A27" s="19" t="s">
        <v>370</v>
      </c>
      <c r="B27" s="19" t="s">
        <v>371</v>
      </c>
      <c r="C27" s="19" t="s">
        <v>322</v>
      </c>
      <c r="D27" s="19" t="s">
        <v>9</v>
      </c>
      <c r="E27" s="19">
        <v>2076</v>
      </c>
      <c r="F27" s="19">
        <v>71.060332000000002</v>
      </c>
      <c r="G27" s="19">
        <v>48.226812000000002</v>
      </c>
      <c r="H27" s="19">
        <v>100118.861712</v>
      </c>
      <c r="I27" s="19">
        <v>48.994019000000002</v>
      </c>
      <c r="J27" s="19">
        <v>10.011697</v>
      </c>
      <c r="K27" s="19">
        <v>13.513206</v>
      </c>
      <c r="L27" s="19">
        <v>49.274603999999997</v>
      </c>
      <c r="M27" s="19">
        <v>39.872940999999997</v>
      </c>
      <c r="N27" s="19">
        <v>12.972242</v>
      </c>
      <c r="O27" s="19">
        <v>15.745187</v>
      </c>
      <c r="P27" s="19">
        <v>44.049263000000003</v>
      </c>
      <c r="Q27" s="19">
        <v>387.32733400000001</v>
      </c>
      <c r="R27" s="19">
        <v>61.998710000000003</v>
      </c>
      <c r="S27" s="19">
        <v>1245.959427</v>
      </c>
      <c r="T27" s="19">
        <v>1246.0511109149313</v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>
        <v>1.021726337623146</v>
      </c>
      <c r="AQ27" s="19">
        <v>0.91337704428814415</v>
      </c>
      <c r="AR27" s="19"/>
      <c r="AS27" s="19"/>
      <c r="AT27" s="19"/>
      <c r="AU27" s="19">
        <v>0.99430568736787828</v>
      </c>
      <c r="AV27" s="19">
        <v>0.20318168361129804</v>
      </c>
      <c r="AW27" s="19">
        <v>0.2742428127885107</v>
      </c>
      <c r="AX27" s="19">
        <v>0.90518974176707556</v>
      </c>
      <c r="AY27" s="19">
        <v>0.29449396236209441</v>
      </c>
      <c r="AZ27" s="19">
        <v>0.35744495884074151</v>
      </c>
      <c r="BA27" s="19"/>
      <c r="BB27" s="19"/>
      <c r="BC27" s="19"/>
      <c r="BD27" s="19"/>
      <c r="BE27" s="19"/>
      <c r="BF27" s="19"/>
      <c r="BG27" s="19"/>
      <c r="BH27" s="19"/>
      <c r="BI27" s="19"/>
    </row>
    <row r="28" spans="1:61" x14ac:dyDescent="0.55000000000000004">
      <c r="A28" s="19" t="s">
        <v>372</v>
      </c>
      <c r="B28" s="19" t="s">
        <v>373</v>
      </c>
      <c r="C28" s="19" t="s">
        <v>322</v>
      </c>
      <c r="D28" s="19" t="s">
        <v>9</v>
      </c>
      <c r="E28" s="19">
        <v>1952</v>
      </c>
      <c r="F28" s="19">
        <v>70.218153000000001</v>
      </c>
      <c r="G28" s="19">
        <v>38.900148999999999</v>
      </c>
      <c r="H28" s="19">
        <v>75933.090847999993</v>
      </c>
      <c r="I28" s="19">
        <v>45.509520000000002</v>
      </c>
      <c r="J28" s="19">
        <v>18.260479</v>
      </c>
      <c r="K28" s="19">
        <v>21.157012000000002</v>
      </c>
      <c r="L28" s="19">
        <v>46.678454000000002</v>
      </c>
      <c r="M28" s="19">
        <v>42.080401999999999</v>
      </c>
      <c r="N28" s="19">
        <v>12.297681000000001</v>
      </c>
      <c r="O28" s="19">
        <v>14.653426</v>
      </c>
      <c r="P28" s="19">
        <v>45.282949000000002</v>
      </c>
      <c r="Q28" s="19">
        <v>327.35089900000003</v>
      </c>
      <c r="R28" s="19">
        <v>22.409229</v>
      </c>
      <c r="S28" s="19">
        <v>1992.048761</v>
      </c>
      <c r="T28" s="19">
        <v>1992.6805253494683</v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>
        <v>1.1999556608382143</v>
      </c>
      <c r="AQ28" s="19">
        <v>1.1640816337233053</v>
      </c>
      <c r="AR28" s="19"/>
      <c r="AS28" s="19"/>
      <c r="AT28" s="19"/>
      <c r="AU28" s="19">
        <v>0.97495773960294396</v>
      </c>
      <c r="AV28" s="19">
        <v>0.39119716775538449</v>
      </c>
      <c r="AW28" s="19">
        <v>0.45325005836740012</v>
      </c>
      <c r="AX28" s="19">
        <v>0.92927697796360387</v>
      </c>
      <c r="AY28" s="19">
        <v>0.27157420776637142</v>
      </c>
      <c r="AZ28" s="19">
        <v>0.32359699011652265</v>
      </c>
      <c r="BA28" s="19"/>
      <c r="BB28" s="19"/>
      <c r="BC28" s="19"/>
      <c r="BD28" s="19"/>
      <c r="BE28" s="19"/>
      <c r="BF28" s="19"/>
      <c r="BG28" s="19"/>
      <c r="BH28" s="19"/>
      <c r="BI28" s="19"/>
    </row>
    <row r="29" spans="1:61" x14ac:dyDescent="0.55000000000000004">
      <c r="A29" s="19" t="s">
        <v>374</v>
      </c>
      <c r="B29" s="19" t="s">
        <v>375</v>
      </c>
      <c r="C29" s="19" t="s">
        <v>322</v>
      </c>
      <c r="D29" s="19" t="s">
        <v>9</v>
      </c>
      <c r="E29" s="19">
        <v>1996</v>
      </c>
      <c r="F29" s="19">
        <v>71.457732000000007</v>
      </c>
      <c r="G29" s="19">
        <v>79.964777999999995</v>
      </c>
      <c r="H29" s="19">
        <v>159609.69688799998</v>
      </c>
      <c r="I29" s="19">
        <v>93.053652</v>
      </c>
      <c r="J29" s="19">
        <v>39.346403000000002</v>
      </c>
      <c r="K29" s="19">
        <v>40.574829999999999</v>
      </c>
      <c r="L29" s="19">
        <v>101.05332</v>
      </c>
      <c r="M29" s="19">
        <v>46.428114000000001</v>
      </c>
      <c r="N29" s="19">
        <v>20.682158999999999</v>
      </c>
      <c r="O29" s="19">
        <v>19.172975999999998</v>
      </c>
      <c r="P29" s="19">
        <v>47.781058999999999</v>
      </c>
      <c r="Q29" s="19">
        <v>850.96516699999995</v>
      </c>
      <c r="R29" s="19">
        <v>1577.530295</v>
      </c>
      <c r="S29" s="19">
        <v>2022.9001820000001</v>
      </c>
      <c r="T29" s="19">
        <v>2023.7628227399566</v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>
        <v>1.2637228855934548</v>
      </c>
      <c r="AQ29" s="19">
        <v>0.59752631339763118</v>
      </c>
      <c r="AR29" s="19"/>
      <c r="AS29" s="19"/>
      <c r="AT29" s="19"/>
      <c r="AU29" s="19">
        <v>0.92083715804686084</v>
      </c>
      <c r="AV29" s="19">
        <v>0.38936279382013378</v>
      </c>
      <c r="AW29" s="19">
        <v>0.40151901986001054</v>
      </c>
      <c r="AX29" s="19">
        <v>0.97168449112858724</v>
      </c>
      <c r="AY29" s="19">
        <v>0.4328526707622784</v>
      </c>
      <c r="AZ29" s="19">
        <v>0.40126728878068607</v>
      </c>
      <c r="BA29" s="19"/>
      <c r="BB29" s="19"/>
      <c r="BC29" s="19"/>
      <c r="BD29" s="19"/>
      <c r="BE29" s="19"/>
      <c r="BF29" s="19"/>
      <c r="BG29" s="19"/>
      <c r="BH29" s="19"/>
      <c r="BI29" s="19"/>
    </row>
    <row r="30" spans="1:61" x14ac:dyDescent="0.55000000000000004">
      <c r="A30" s="19" t="s">
        <v>376</v>
      </c>
      <c r="B30" s="19" t="s">
        <v>377</v>
      </c>
      <c r="C30" s="19" t="s">
        <v>322</v>
      </c>
      <c r="D30" s="19" t="s">
        <v>9</v>
      </c>
      <c r="E30" s="19">
        <v>1916</v>
      </c>
      <c r="F30" s="19">
        <v>70.361940000000004</v>
      </c>
      <c r="G30" s="19">
        <v>42.611449</v>
      </c>
      <c r="H30" s="19">
        <v>81643.536284000002</v>
      </c>
      <c r="I30" s="19">
        <v>115.350629</v>
      </c>
      <c r="J30" s="19">
        <v>21.820121</v>
      </c>
      <c r="K30" s="19">
        <v>24.963559</v>
      </c>
      <c r="L30" s="19">
        <v>117.511303</v>
      </c>
      <c r="M30" s="19">
        <v>48.446240000000003</v>
      </c>
      <c r="N30" s="19">
        <v>15.714316</v>
      </c>
      <c r="O30" s="19">
        <v>22.390153999999999</v>
      </c>
      <c r="P30" s="19">
        <v>48.942988</v>
      </c>
      <c r="Q30" s="19">
        <v>1397.212278</v>
      </c>
      <c r="R30" s="19">
        <v>89.777651000000006</v>
      </c>
      <c r="S30" s="19">
        <v>2909.9677200000001</v>
      </c>
      <c r="T30" s="19">
        <v>3002.3034348329893</v>
      </c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>
        <v>2.757740132235353</v>
      </c>
      <c r="AQ30" s="19">
        <v>1.1485877422286204</v>
      </c>
      <c r="AR30" s="19"/>
      <c r="AS30" s="19"/>
      <c r="AT30" s="19"/>
      <c r="AU30" s="19">
        <v>0.98161305385236008</v>
      </c>
      <c r="AV30" s="19">
        <v>0.18568529531154973</v>
      </c>
      <c r="AW30" s="19">
        <v>0.21243538589645289</v>
      </c>
      <c r="AX30" s="19">
        <v>0.98985047664029024</v>
      </c>
      <c r="AY30" s="19">
        <v>0.32107389928869895</v>
      </c>
      <c r="AZ30" s="19">
        <v>0.45747419426047298</v>
      </c>
      <c r="BA30" s="19"/>
      <c r="BB30" s="19"/>
      <c r="BC30" s="19"/>
      <c r="BD30" s="19"/>
      <c r="BE30" s="19"/>
      <c r="BF30" s="19"/>
      <c r="BG30" s="19"/>
      <c r="BH30" s="19"/>
      <c r="BI30" s="19"/>
    </row>
    <row r="31" spans="1:61" x14ac:dyDescent="0.55000000000000004">
      <c r="A31" s="19" t="s">
        <v>378</v>
      </c>
      <c r="B31" s="19" t="s">
        <v>379</v>
      </c>
      <c r="C31" s="19" t="s">
        <v>322</v>
      </c>
      <c r="D31" s="19" t="s">
        <v>9</v>
      </c>
      <c r="E31" s="19">
        <v>2054</v>
      </c>
      <c r="F31" s="19">
        <v>71.843710999999999</v>
      </c>
      <c r="G31" s="19">
        <v>55.884152</v>
      </c>
      <c r="H31" s="19">
        <v>114786.04820800001</v>
      </c>
      <c r="I31" s="19">
        <v>81.201275999999993</v>
      </c>
      <c r="J31" s="19">
        <v>28.060518999999999</v>
      </c>
      <c r="K31" s="19">
        <v>22.848137999999999</v>
      </c>
      <c r="L31" s="19">
        <v>87.146185000000003</v>
      </c>
      <c r="M31" s="19">
        <v>44.271321999999998</v>
      </c>
      <c r="N31" s="19">
        <v>18.995343999999999</v>
      </c>
      <c r="O31" s="19">
        <v>15.159770999999999</v>
      </c>
      <c r="P31" s="19">
        <v>46.492404000000001</v>
      </c>
      <c r="Q31" s="19">
        <v>525.63421000000005</v>
      </c>
      <c r="R31" s="19">
        <v>300.59689500000002</v>
      </c>
      <c r="S31" s="19">
        <v>1061.841369</v>
      </c>
      <c r="T31" s="19">
        <v>1134.8820853460616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>
        <v>1.5594078442847268</v>
      </c>
      <c r="AQ31" s="19">
        <v>0.83194255144105966</v>
      </c>
      <c r="AR31" s="19"/>
      <c r="AS31" s="19"/>
      <c r="AT31" s="19"/>
      <c r="AU31" s="19">
        <v>0.93178233791875098</v>
      </c>
      <c r="AV31" s="19">
        <v>0.32199365927492979</v>
      </c>
      <c r="AW31" s="19">
        <v>0.2621817352073415</v>
      </c>
      <c r="AX31" s="19">
        <v>0.95222699174686676</v>
      </c>
      <c r="AY31" s="19">
        <v>0.40856876318978902</v>
      </c>
      <c r="AZ31" s="19">
        <v>0.32606984573221892</v>
      </c>
      <c r="BA31" s="19"/>
      <c r="BB31" s="19"/>
      <c r="BC31" s="19"/>
      <c r="BD31" s="19"/>
      <c r="BE31" s="19"/>
      <c r="BF31" s="19"/>
      <c r="BG31" s="19"/>
      <c r="BH31" s="19"/>
      <c r="BI31" s="19"/>
    </row>
    <row r="32" spans="1:61" x14ac:dyDescent="0.55000000000000004">
      <c r="A32" s="19" t="s">
        <v>380</v>
      </c>
      <c r="B32" s="19" t="s">
        <v>381</v>
      </c>
      <c r="C32" s="19" t="s">
        <v>322</v>
      </c>
      <c r="D32" s="19" t="s">
        <v>9</v>
      </c>
      <c r="E32" s="19">
        <v>2122</v>
      </c>
      <c r="F32" s="19">
        <v>70.387922999999986</v>
      </c>
      <c r="G32" s="19">
        <v>56.029125000000001</v>
      </c>
      <c r="H32" s="19">
        <v>118893.80325</v>
      </c>
      <c r="I32" s="19">
        <v>94.076329999999999</v>
      </c>
      <c r="J32" s="19">
        <v>14.556454</v>
      </c>
      <c r="K32" s="19">
        <v>19.535743</v>
      </c>
      <c r="L32" s="19">
        <v>94.551297000000005</v>
      </c>
      <c r="M32" s="19">
        <v>58.006850999999997</v>
      </c>
      <c r="N32" s="19">
        <v>16.039860000000001</v>
      </c>
      <c r="O32" s="19">
        <v>18.954944999999999</v>
      </c>
      <c r="P32" s="19">
        <v>60.552970999999999</v>
      </c>
      <c r="Q32" s="19">
        <v>1337.9222279999999</v>
      </c>
      <c r="R32" s="19">
        <v>38.408768000000002</v>
      </c>
      <c r="S32" s="19">
        <v>1952.4933060000001</v>
      </c>
      <c r="T32" s="19">
        <v>2364.5386211593964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>
        <v>1.6875383472435095</v>
      </c>
      <c r="AQ32" s="19">
        <v>1.0807409717713778</v>
      </c>
      <c r="AR32" s="19"/>
      <c r="AS32" s="19"/>
      <c r="AT32" s="19"/>
      <c r="AU32" s="19">
        <v>0.99497662099759454</v>
      </c>
      <c r="AV32" s="19">
        <v>0.15395298067672197</v>
      </c>
      <c r="AW32" s="19">
        <v>0.20661528313038369</v>
      </c>
      <c r="AX32" s="19">
        <v>0.95795218701985729</v>
      </c>
      <c r="AY32" s="19">
        <v>0.26488972770634162</v>
      </c>
      <c r="AZ32" s="19">
        <v>0.31303080075129591</v>
      </c>
      <c r="BA32" s="19"/>
      <c r="BB32" s="19"/>
      <c r="BC32" s="19"/>
      <c r="BD32" s="19"/>
      <c r="BE32" s="19"/>
      <c r="BF32" s="19"/>
      <c r="BG32" s="19"/>
      <c r="BH32" s="19"/>
      <c r="BI32" s="19"/>
    </row>
    <row r="33" spans="1:61" x14ac:dyDescent="0.55000000000000004">
      <c r="A33" s="19" t="s">
        <v>382</v>
      </c>
      <c r="B33" s="19" t="s">
        <v>383</v>
      </c>
      <c r="C33" s="19" t="s">
        <v>322</v>
      </c>
      <c r="D33" s="19" t="s">
        <v>9</v>
      </c>
      <c r="E33" s="19">
        <v>1540</v>
      </c>
      <c r="F33" s="19">
        <v>63.906029999999994</v>
      </c>
      <c r="G33" s="19">
        <v>48.090397000000003</v>
      </c>
      <c r="H33" s="19">
        <v>74059.211380000008</v>
      </c>
      <c r="I33" s="19">
        <v>52.928136000000002</v>
      </c>
      <c r="J33" s="19">
        <v>32.479469000000002</v>
      </c>
      <c r="K33" s="19">
        <v>33.145538000000002</v>
      </c>
      <c r="L33" s="19">
        <v>64.741893000000005</v>
      </c>
      <c r="M33" s="19">
        <v>43.440747999999999</v>
      </c>
      <c r="N33" s="19">
        <v>22.348564</v>
      </c>
      <c r="O33" s="19">
        <v>15.544026000000001</v>
      </c>
      <c r="P33" s="19">
        <v>47.731343000000003</v>
      </c>
      <c r="Q33" s="19">
        <v>873.38225799999998</v>
      </c>
      <c r="R33" s="19">
        <v>2593.0880259999999</v>
      </c>
      <c r="S33" s="19">
        <v>1890.2182270000001</v>
      </c>
      <c r="T33" s="19">
        <v>2734.9525555634791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>
        <v>1.3462540764635402</v>
      </c>
      <c r="AQ33" s="19">
        <v>0.99253376926790604</v>
      </c>
      <c r="AR33" s="19"/>
      <c r="AS33" s="19"/>
      <c r="AT33" s="19"/>
      <c r="AU33" s="19">
        <v>0.81752530776324384</v>
      </c>
      <c r="AV33" s="19">
        <v>0.50167623303816589</v>
      </c>
      <c r="AW33" s="19">
        <v>0.51196430107473068</v>
      </c>
      <c r="AX33" s="19">
        <v>0.91010948508195122</v>
      </c>
      <c r="AY33" s="19">
        <v>0.46821569634024329</v>
      </c>
      <c r="AZ33" s="19">
        <v>0.32565658167213102</v>
      </c>
      <c r="BA33" s="19"/>
      <c r="BB33" s="19"/>
      <c r="BC33" s="19"/>
      <c r="BD33" s="19"/>
      <c r="BE33" s="19"/>
      <c r="BF33" s="19"/>
      <c r="BG33" s="19"/>
      <c r="BH33" s="19"/>
      <c r="BI33" s="19"/>
    </row>
    <row r="34" spans="1:61" x14ac:dyDescent="0.55000000000000004">
      <c r="A34" s="19" t="s">
        <v>384</v>
      </c>
      <c r="B34" s="19" t="s">
        <v>385</v>
      </c>
      <c r="C34" s="19" t="s">
        <v>322</v>
      </c>
      <c r="D34" s="19" t="s">
        <v>9</v>
      </c>
      <c r="E34" s="19">
        <v>1742</v>
      </c>
      <c r="F34" s="19">
        <v>69.476821999999999</v>
      </c>
      <c r="G34" s="19">
        <v>42.508834999999998</v>
      </c>
      <c r="H34" s="19">
        <v>74050.390570000003</v>
      </c>
      <c r="I34" s="19">
        <v>55.310744</v>
      </c>
      <c r="J34" s="19">
        <v>13.974988</v>
      </c>
      <c r="K34" s="19">
        <v>30.830089000000001</v>
      </c>
      <c r="L34" s="19">
        <v>60.523322999999998</v>
      </c>
      <c r="M34" s="19">
        <v>52.702947000000002</v>
      </c>
      <c r="N34" s="19">
        <v>15.583662</v>
      </c>
      <c r="O34" s="19">
        <v>13.837370999999999</v>
      </c>
      <c r="P34" s="19">
        <v>55.183616000000001</v>
      </c>
      <c r="Q34" s="19">
        <v>404.33210300000002</v>
      </c>
      <c r="R34" s="19">
        <v>35.508692000000003</v>
      </c>
      <c r="S34" s="19">
        <v>2735.3441969999999</v>
      </c>
      <c r="T34" s="19">
        <v>2737.0478085406276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>
        <v>1.4237822090396033</v>
      </c>
      <c r="AQ34" s="19">
        <v>1.2981681572783634</v>
      </c>
      <c r="AR34" s="19"/>
      <c r="AS34" s="19"/>
      <c r="AT34" s="19"/>
      <c r="AU34" s="19">
        <v>0.91387487101460052</v>
      </c>
      <c r="AV34" s="19">
        <v>0.23090252331320274</v>
      </c>
      <c r="AW34" s="19">
        <v>0.50939187526104612</v>
      </c>
      <c r="AX34" s="19">
        <v>0.95504700163178868</v>
      </c>
      <c r="AY34" s="19">
        <v>0.28239653595733921</v>
      </c>
      <c r="AZ34" s="19">
        <v>0.25075143680327144</v>
      </c>
      <c r="BA34" s="19"/>
      <c r="BB34" s="19"/>
      <c r="BC34" s="19"/>
      <c r="BD34" s="19"/>
      <c r="BE34" s="19"/>
      <c r="BF34" s="19"/>
      <c r="BG34" s="19"/>
      <c r="BH34" s="19"/>
      <c r="BI34" s="19"/>
    </row>
    <row r="35" spans="1:61" x14ac:dyDescent="0.55000000000000004">
      <c r="A35" s="19" t="s">
        <v>386</v>
      </c>
      <c r="B35" s="19" t="s">
        <v>387</v>
      </c>
      <c r="C35" s="19" t="s">
        <v>322</v>
      </c>
      <c r="D35" s="19" t="s">
        <v>9</v>
      </c>
      <c r="E35" s="19">
        <v>1981</v>
      </c>
      <c r="F35" s="19">
        <v>71.066293999999999</v>
      </c>
      <c r="G35" s="19">
        <v>37.389214000000003</v>
      </c>
      <c r="H35" s="19">
        <v>74068.032934000003</v>
      </c>
      <c r="I35" s="19">
        <v>87.139438999999996</v>
      </c>
      <c r="J35" s="19">
        <v>26.461281</v>
      </c>
      <c r="K35" s="19">
        <v>42.484876</v>
      </c>
      <c r="L35" s="19">
        <v>99.131983000000005</v>
      </c>
      <c r="M35" s="19">
        <v>38.481028999999999</v>
      </c>
      <c r="N35" s="19">
        <v>14.035428</v>
      </c>
      <c r="O35" s="19">
        <v>8.0323130000000003</v>
      </c>
      <c r="P35" s="19">
        <v>38.543331999999999</v>
      </c>
      <c r="Q35" s="19">
        <v>1221.19418</v>
      </c>
      <c r="R35" s="19">
        <v>521.16506700000002</v>
      </c>
      <c r="S35" s="19">
        <v>1598.3044950000001</v>
      </c>
      <c r="T35" s="19">
        <v>1962.9832158178563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>
        <v>2.6513524194437466</v>
      </c>
      <c r="AQ35" s="19">
        <v>1.0308676721580721</v>
      </c>
      <c r="AR35" s="19"/>
      <c r="AS35" s="19"/>
      <c r="AT35" s="19"/>
      <c r="AU35" s="19">
        <v>0.87902447184981658</v>
      </c>
      <c r="AV35" s="19">
        <v>0.26692980609497136</v>
      </c>
      <c r="AW35" s="19">
        <v>0.42856881012861409</v>
      </c>
      <c r="AX35" s="19">
        <v>0.99838355957393621</v>
      </c>
      <c r="AY35" s="19">
        <v>0.36414672192845182</v>
      </c>
      <c r="AZ35" s="19">
        <v>0.20839695436813818</v>
      </c>
      <c r="BA35" s="19"/>
      <c r="BB35" s="19"/>
      <c r="BC35" s="19"/>
      <c r="BD35" s="19"/>
      <c r="BE35" s="19"/>
      <c r="BF35" s="19"/>
      <c r="BG35" s="19"/>
      <c r="BH35" s="19"/>
      <c r="BI35" s="19"/>
    </row>
    <row r="36" spans="1:61" x14ac:dyDescent="0.55000000000000004">
      <c r="A36" s="19" t="s">
        <v>388</v>
      </c>
      <c r="B36" s="19" t="s">
        <v>389</v>
      </c>
      <c r="C36" s="19" t="s">
        <v>322</v>
      </c>
      <c r="D36" s="19" t="s">
        <v>9</v>
      </c>
      <c r="E36" s="19">
        <v>1790</v>
      </c>
      <c r="F36" s="19">
        <v>69.95752499999999</v>
      </c>
      <c r="G36" s="19">
        <v>43.844389</v>
      </c>
      <c r="H36" s="19">
        <v>78481.456309999994</v>
      </c>
      <c r="I36" s="19">
        <v>48.547550000000001</v>
      </c>
      <c r="J36" s="19">
        <v>22.681263000000001</v>
      </c>
      <c r="K36" s="19">
        <v>24.387830999999998</v>
      </c>
      <c r="L36" s="19">
        <v>54.047139000000001</v>
      </c>
      <c r="M36" s="19">
        <v>39.705212000000003</v>
      </c>
      <c r="N36" s="19">
        <v>20.170499</v>
      </c>
      <c r="O36" s="19">
        <v>8.2237069999999992</v>
      </c>
      <c r="P36" s="19">
        <v>43.927526</v>
      </c>
      <c r="Q36" s="19">
        <v>280.48569800000001</v>
      </c>
      <c r="R36" s="19">
        <v>128.539232</v>
      </c>
      <c r="S36" s="19">
        <v>1281.5079659999999</v>
      </c>
      <c r="T36" s="19">
        <v>1283.6683156828012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>
        <v>1.2327036647722471</v>
      </c>
      <c r="AQ36" s="19">
        <v>1.0018961833405866</v>
      </c>
      <c r="AR36" s="19"/>
      <c r="AS36" s="19"/>
      <c r="AT36" s="19"/>
      <c r="AU36" s="19">
        <v>0.89824458608253066</v>
      </c>
      <c r="AV36" s="19">
        <v>0.41965705159712524</v>
      </c>
      <c r="AW36" s="19">
        <v>0.45123259900954238</v>
      </c>
      <c r="AX36" s="19">
        <v>0.90387999542701314</v>
      </c>
      <c r="AY36" s="19">
        <v>0.45917675855453366</v>
      </c>
      <c r="AZ36" s="19">
        <v>0.18721079352386016</v>
      </c>
      <c r="BA36" s="19"/>
      <c r="BB36" s="19"/>
      <c r="BC36" s="19"/>
      <c r="BD36" s="19"/>
      <c r="BE36" s="19"/>
      <c r="BF36" s="19"/>
      <c r="BG36" s="19"/>
      <c r="BH36" s="19"/>
      <c r="BI36" s="19"/>
    </row>
    <row r="37" spans="1:61" x14ac:dyDescent="0.55000000000000004">
      <c r="A37" s="19" t="s">
        <v>390</v>
      </c>
      <c r="B37" s="19" t="s">
        <v>391</v>
      </c>
      <c r="C37" s="19" t="s">
        <v>322</v>
      </c>
      <c r="D37" s="19" t="s">
        <v>9</v>
      </c>
      <c r="E37" s="19">
        <v>1994</v>
      </c>
      <c r="F37" s="19">
        <v>71.981969000000007</v>
      </c>
      <c r="G37" s="19">
        <v>49.626201000000002</v>
      </c>
      <c r="H37" s="19">
        <v>98954.644794000007</v>
      </c>
      <c r="I37" s="19">
        <v>50.236820000000002</v>
      </c>
      <c r="J37" s="19">
        <v>23.569251999999999</v>
      </c>
      <c r="K37" s="19">
        <v>26.846111000000001</v>
      </c>
      <c r="L37" s="19">
        <v>56.352386000000003</v>
      </c>
      <c r="M37" s="19">
        <v>44.748897999999997</v>
      </c>
      <c r="N37" s="19">
        <v>16.874331000000002</v>
      </c>
      <c r="O37" s="19">
        <v>9.0953020000000002</v>
      </c>
      <c r="P37" s="19">
        <v>47.827885000000002</v>
      </c>
      <c r="Q37" s="19">
        <v>395.139251</v>
      </c>
      <c r="R37" s="19">
        <v>392.20302400000003</v>
      </c>
      <c r="S37" s="19">
        <v>1277.0625729999999</v>
      </c>
      <c r="T37" s="19">
        <v>1318.4890964737062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>
        <v>1.1355369716896122</v>
      </c>
      <c r="AQ37" s="19">
        <v>0.96376277120225262</v>
      </c>
      <c r="AR37" s="19"/>
      <c r="AS37" s="19"/>
      <c r="AT37" s="19"/>
      <c r="AU37" s="19">
        <v>0.89147636091220694</v>
      </c>
      <c r="AV37" s="19">
        <v>0.41824763196362258</v>
      </c>
      <c r="AW37" s="19">
        <v>0.47639705974472846</v>
      </c>
      <c r="AX37" s="19">
        <v>0.93562360116906684</v>
      </c>
      <c r="AY37" s="19">
        <v>0.35281365671929671</v>
      </c>
      <c r="AZ37" s="19">
        <v>0.1901673469357886</v>
      </c>
      <c r="BA37" s="19"/>
      <c r="BB37" s="19"/>
      <c r="BC37" s="19"/>
      <c r="BD37" s="19"/>
      <c r="BE37" s="19"/>
      <c r="BF37" s="19"/>
      <c r="BG37" s="19"/>
      <c r="BH37" s="19"/>
      <c r="BI37" s="19"/>
    </row>
    <row r="38" spans="1:61" x14ac:dyDescent="0.55000000000000004">
      <c r="A38" s="19" t="s">
        <v>392</v>
      </c>
      <c r="B38" s="19" t="s">
        <v>393</v>
      </c>
      <c r="C38" s="19" t="s">
        <v>322</v>
      </c>
      <c r="D38" s="19" t="s">
        <v>9</v>
      </c>
      <c r="E38" s="19">
        <v>2022</v>
      </c>
      <c r="F38" s="19">
        <v>70.548502999999997</v>
      </c>
      <c r="G38" s="19">
        <v>34.480981</v>
      </c>
      <c r="H38" s="19">
        <v>69720.543581999998</v>
      </c>
      <c r="I38" s="19">
        <v>78.492368999999997</v>
      </c>
      <c r="J38" s="19">
        <v>16.048318999999999</v>
      </c>
      <c r="K38" s="19">
        <v>39.82582</v>
      </c>
      <c r="L38" s="19">
        <v>80.860547999999994</v>
      </c>
      <c r="M38" s="19">
        <v>43.137487</v>
      </c>
      <c r="N38" s="19">
        <v>12.385275</v>
      </c>
      <c r="O38" s="19">
        <v>14.348058</v>
      </c>
      <c r="P38" s="19">
        <v>46.436742000000002</v>
      </c>
      <c r="Q38" s="19">
        <v>527.511933</v>
      </c>
      <c r="R38" s="19">
        <v>341.41117400000002</v>
      </c>
      <c r="S38" s="19">
        <v>1506.717435</v>
      </c>
      <c r="T38" s="19">
        <v>1535.8753117454698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>
        <v>2.3450767830532429</v>
      </c>
      <c r="AQ38" s="19">
        <v>1.3467349435330742</v>
      </c>
      <c r="AR38" s="19"/>
      <c r="AS38" s="19"/>
      <c r="AT38" s="19"/>
      <c r="AU38" s="19">
        <v>0.97071280051181452</v>
      </c>
      <c r="AV38" s="19">
        <v>0.19846908531958007</v>
      </c>
      <c r="AW38" s="19">
        <v>0.49252473530107665</v>
      </c>
      <c r="AX38" s="19">
        <v>0.9289516262790356</v>
      </c>
      <c r="AY38" s="19">
        <v>0.26671283269614393</v>
      </c>
      <c r="AZ38" s="19">
        <v>0.30898072048206998</v>
      </c>
      <c r="BA38" s="19"/>
      <c r="BB38" s="19"/>
      <c r="BC38" s="19"/>
      <c r="BD38" s="19"/>
      <c r="BE38" s="19"/>
      <c r="BF38" s="19"/>
      <c r="BG38" s="19"/>
      <c r="BH38" s="19"/>
      <c r="BI38" s="19"/>
    </row>
    <row r="39" spans="1:61" x14ac:dyDescent="0.55000000000000004">
      <c r="A39" s="19" t="s">
        <v>394</v>
      </c>
      <c r="B39" s="19" t="s">
        <v>395</v>
      </c>
      <c r="C39" s="19" t="s">
        <v>322</v>
      </c>
      <c r="D39" s="19" t="s">
        <v>9</v>
      </c>
      <c r="E39" s="19">
        <v>2076</v>
      </c>
      <c r="F39" s="19">
        <v>70.833655000000007</v>
      </c>
      <c r="G39" s="19">
        <v>46.429855000000003</v>
      </c>
      <c r="H39" s="19">
        <v>96388.378980000009</v>
      </c>
      <c r="I39" s="19">
        <v>65.680582999999999</v>
      </c>
      <c r="J39" s="19">
        <v>16.769507000000001</v>
      </c>
      <c r="K39" s="19">
        <v>21.424928999999999</v>
      </c>
      <c r="L39" s="19">
        <v>67.084192999999999</v>
      </c>
      <c r="M39" s="19">
        <v>44.709851</v>
      </c>
      <c r="N39" s="19">
        <v>16.015508000000001</v>
      </c>
      <c r="O39" s="19">
        <v>9.0824459999999991</v>
      </c>
      <c r="P39" s="19">
        <v>47.382331000000001</v>
      </c>
      <c r="Q39" s="19">
        <v>486.95269999999999</v>
      </c>
      <c r="R39" s="19">
        <v>103.65703999999999</v>
      </c>
      <c r="S39" s="19">
        <v>1276.9673600000001</v>
      </c>
      <c r="T39" s="19">
        <v>1317.1053418173901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>
        <v>1.4448503662137215</v>
      </c>
      <c r="AQ39" s="19">
        <v>1.0205143005507986</v>
      </c>
      <c r="AR39" s="19"/>
      <c r="AS39" s="19"/>
      <c r="AT39" s="19"/>
      <c r="AU39" s="19">
        <v>0.97907688924572733</v>
      </c>
      <c r="AV39" s="19">
        <v>0.24997702513914122</v>
      </c>
      <c r="AW39" s="19">
        <v>0.31937373085787885</v>
      </c>
      <c r="AX39" s="19">
        <v>0.94359754061065504</v>
      </c>
      <c r="AY39" s="19">
        <v>0.33800591195059609</v>
      </c>
      <c r="AZ39" s="19">
        <v>0.19168423773832485</v>
      </c>
      <c r="BA39" s="19"/>
      <c r="BB39" s="19"/>
      <c r="BC39" s="19"/>
      <c r="BD39" s="19"/>
      <c r="BE39" s="19"/>
      <c r="BF39" s="19"/>
      <c r="BG39" s="19"/>
      <c r="BH39" s="19"/>
      <c r="BI39" s="19"/>
    </row>
    <row r="40" spans="1:61" x14ac:dyDescent="0.55000000000000004">
      <c r="A40" s="19" t="s">
        <v>396</v>
      </c>
      <c r="B40" s="19" t="s">
        <v>397</v>
      </c>
      <c r="C40" s="19" t="s">
        <v>322</v>
      </c>
      <c r="D40" s="19" t="s">
        <v>9</v>
      </c>
      <c r="E40" s="19">
        <v>2228</v>
      </c>
      <c r="F40" s="19">
        <v>68.040956999999992</v>
      </c>
      <c r="G40" s="19">
        <v>47.307763000000001</v>
      </c>
      <c r="H40" s="19">
        <v>105401.695964</v>
      </c>
      <c r="I40" s="19">
        <v>50.689877000000003</v>
      </c>
      <c r="J40" s="19">
        <v>17.521744999999999</v>
      </c>
      <c r="K40" s="19">
        <v>34.511290000000002</v>
      </c>
      <c r="L40" s="19">
        <v>60.623249000000001</v>
      </c>
      <c r="M40" s="19">
        <v>39.268497000000004</v>
      </c>
      <c r="N40" s="19">
        <v>13.674809</v>
      </c>
      <c r="O40" s="19">
        <v>11.344434</v>
      </c>
      <c r="P40" s="19">
        <v>41.697170999999997</v>
      </c>
      <c r="Q40" s="19">
        <v>701.08794899999998</v>
      </c>
      <c r="R40" s="19">
        <v>60.606028999999999</v>
      </c>
      <c r="S40" s="19">
        <v>1396.627618</v>
      </c>
      <c r="T40" s="19">
        <v>1522.340605843616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>
        <v>1.2814651371277057</v>
      </c>
      <c r="AQ40" s="19">
        <v>0.88140229754681054</v>
      </c>
      <c r="AR40" s="19"/>
      <c r="AS40" s="19"/>
      <c r="AT40" s="19"/>
      <c r="AU40" s="19">
        <v>0.83614583243468199</v>
      </c>
      <c r="AV40" s="19">
        <v>0.28902682203654245</v>
      </c>
      <c r="AW40" s="19">
        <v>0.56927483381829302</v>
      </c>
      <c r="AX40" s="19">
        <v>0.94175446578857847</v>
      </c>
      <c r="AY40" s="19">
        <v>0.32795531859943211</v>
      </c>
      <c r="AZ40" s="19">
        <v>0.27206723448936143</v>
      </c>
      <c r="BA40" s="19"/>
      <c r="BB40" s="19"/>
      <c r="BC40" s="19"/>
      <c r="BD40" s="19"/>
      <c r="BE40" s="19"/>
      <c r="BF40" s="19"/>
      <c r="BG40" s="19"/>
      <c r="BH40" s="19"/>
      <c r="BI40" s="19"/>
    </row>
    <row r="41" spans="1:61" x14ac:dyDescent="0.55000000000000004">
      <c r="A41" s="19" t="s">
        <v>398</v>
      </c>
      <c r="B41" s="19" t="s">
        <v>399</v>
      </c>
      <c r="C41" s="19" t="s">
        <v>322</v>
      </c>
      <c r="D41" s="19" t="s">
        <v>9</v>
      </c>
      <c r="E41" s="19">
        <v>2206</v>
      </c>
      <c r="F41" s="19">
        <v>70.508376999999996</v>
      </c>
      <c r="G41" s="19">
        <v>39.215088000000002</v>
      </c>
      <c r="H41" s="19"/>
      <c r="I41" s="19">
        <v>59.833402</v>
      </c>
      <c r="J41" s="19">
        <v>10.057422000000001</v>
      </c>
      <c r="K41" s="19">
        <v>31.198716000000001</v>
      </c>
      <c r="L41" s="19">
        <v>66.813247000000004</v>
      </c>
      <c r="M41" s="19">
        <v>47.447152000000003</v>
      </c>
      <c r="N41" s="19">
        <v>13.821807</v>
      </c>
      <c r="O41" s="19">
        <v>12.705496999999999</v>
      </c>
      <c r="P41" s="19">
        <v>48.500225999999998</v>
      </c>
      <c r="Q41" s="19">
        <v>472.93957599999999</v>
      </c>
      <c r="R41" s="19">
        <v>371.53952800000002</v>
      </c>
      <c r="S41" s="19">
        <v>1418.399525</v>
      </c>
      <c r="T41" s="19">
        <v>1424.4771068310633</v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>
        <v>1.7037637911203973</v>
      </c>
      <c r="AQ41" s="19">
        <v>1.236774631233774</v>
      </c>
      <c r="AR41" s="19"/>
      <c r="AS41" s="19"/>
      <c r="AT41" s="19"/>
      <c r="AU41" s="19">
        <v>0.89553201927156745</v>
      </c>
      <c r="AV41" s="19">
        <v>0.15053035814888627</v>
      </c>
      <c r="AW41" s="19">
        <v>0.46695404580471894</v>
      </c>
      <c r="AX41" s="19">
        <v>0.97828723519762573</v>
      </c>
      <c r="AY41" s="19">
        <v>0.28498438337173937</v>
      </c>
      <c r="AZ41" s="19">
        <v>0.26196778959339284</v>
      </c>
      <c r="BA41" s="19"/>
      <c r="BB41" s="19"/>
      <c r="BC41" s="19"/>
      <c r="BD41" s="19"/>
      <c r="BE41" s="19"/>
      <c r="BF41" s="19"/>
      <c r="BG41" s="19"/>
      <c r="BH41" s="19"/>
      <c r="BI41" s="19"/>
    </row>
    <row r="42" spans="1:61" x14ac:dyDescent="0.55000000000000004">
      <c r="A42" s="19" t="s">
        <v>400</v>
      </c>
      <c r="B42" s="19" t="s">
        <v>401</v>
      </c>
      <c r="C42" s="19" t="s">
        <v>322</v>
      </c>
      <c r="D42" s="19" t="s">
        <v>9</v>
      </c>
      <c r="E42" s="19">
        <v>2160</v>
      </c>
      <c r="F42" s="19">
        <v>71.186614999999989</v>
      </c>
      <c r="G42" s="19">
        <v>45.990997999999998</v>
      </c>
      <c r="H42" s="19">
        <v>99340.55567999999</v>
      </c>
      <c r="I42" s="19">
        <v>51.094113999999998</v>
      </c>
      <c r="J42" s="19">
        <v>38.902158</v>
      </c>
      <c r="K42" s="19">
        <v>30.862794000000001</v>
      </c>
      <c r="L42" s="19">
        <v>53.449601000000001</v>
      </c>
      <c r="M42" s="19">
        <v>40.739220000000003</v>
      </c>
      <c r="N42" s="19">
        <v>12.18675</v>
      </c>
      <c r="O42" s="19">
        <v>13.798959999999999</v>
      </c>
      <c r="P42" s="19">
        <v>40.957019000000003</v>
      </c>
      <c r="Q42" s="19">
        <v>440.970189</v>
      </c>
      <c r="R42" s="19">
        <v>2740.4888689999998</v>
      </c>
      <c r="S42" s="19">
        <v>1629.920924</v>
      </c>
      <c r="T42" s="19">
        <v>2772.5694019407506</v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>
        <v>1.1621752804755401</v>
      </c>
      <c r="AQ42" s="19">
        <v>0.89054425389942626</v>
      </c>
      <c r="AR42" s="19"/>
      <c r="AS42" s="19"/>
      <c r="AT42" s="19"/>
      <c r="AU42" s="19">
        <v>0.95593069067063752</v>
      </c>
      <c r="AV42" s="19">
        <v>0.72782878210821444</v>
      </c>
      <c r="AW42" s="19">
        <v>0.57741860411642731</v>
      </c>
      <c r="AX42" s="19">
        <v>0.99468225458498338</v>
      </c>
      <c r="AY42" s="19">
        <v>0.29754973134153145</v>
      </c>
      <c r="AZ42" s="19">
        <v>0.336913191851194</v>
      </c>
      <c r="BA42" s="19"/>
      <c r="BB42" s="19"/>
      <c r="BC42" s="19"/>
      <c r="BD42" s="19"/>
      <c r="BE42" s="19"/>
      <c r="BF42" s="19"/>
      <c r="BG42" s="19"/>
      <c r="BH42" s="19"/>
      <c r="BI42" s="19"/>
    </row>
    <row r="43" spans="1:61" x14ac:dyDescent="0.55000000000000004">
      <c r="A43" s="19" t="s">
        <v>402</v>
      </c>
      <c r="B43" s="19" t="s">
        <v>403</v>
      </c>
      <c r="C43" s="19" t="s">
        <v>322</v>
      </c>
      <c r="D43" s="19" t="s">
        <v>9</v>
      </c>
      <c r="E43" s="19">
        <v>1940</v>
      </c>
      <c r="F43" s="19">
        <v>69.594373000000004</v>
      </c>
      <c r="G43" s="19">
        <v>38.34478</v>
      </c>
      <c r="H43" s="19">
        <v>74388.873200000002</v>
      </c>
      <c r="I43" s="19">
        <v>67.607887000000005</v>
      </c>
      <c r="J43" s="19">
        <v>18.523001000000001</v>
      </c>
      <c r="K43" s="19">
        <v>26.140204000000001</v>
      </c>
      <c r="L43" s="19">
        <v>72.638722000000001</v>
      </c>
      <c r="M43" s="19">
        <v>46.609949999999998</v>
      </c>
      <c r="N43" s="19">
        <v>16.575006999999999</v>
      </c>
      <c r="O43" s="19">
        <v>12.057484000000001</v>
      </c>
      <c r="P43" s="19">
        <v>48.055309999999999</v>
      </c>
      <c r="Q43" s="19">
        <v>965.00591099999997</v>
      </c>
      <c r="R43" s="19">
        <v>135.62088299999999</v>
      </c>
      <c r="S43" s="19">
        <v>1187.046973</v>
      </c>
      <c r="T43" s="19">
        <v>1388.5549186976143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>
        <v>1.894357510983242</v>
      </c>
      <c r="AQ43" s="19">
        <v>1.2532425534844638</v>
      </c>
      <c r="AR43" s="19"/>
      <c r="AS43" s="19"/>
      <c r="AT43" s="19"/>
      <c r="AU43" s="19">
        <v>0.93074169173846433</v>
      </c>
      <c r="AV43" s="19">
        <v>0.25500174686443411</v>
      </c>
      <c r="AW43" s="19">
        <v>0.35986596790620851</v>
      </c>
      <c r="AX43" s="19">
        <v>0.96992299082036926</v>
      </c>
      <c r="AY43" s="19">
        <v>0.34491520291930278</v>
      </c>
      <c r="AZ43" s="19">
        <v>0.25090846360162905</v>
      </c>
      <c r="BA43" s="19"/>
      <c r="BB43" s="19"/>
      <c r="BC43" s="19"/>
      <c r="BD43" s="19"/>
      <c r="BE43" s="19"/>
      <c r="BF43" s="19"/>
      <c r="BG43" s="19"/>
      <c r="BH43" s="19"/>
      <c r="BI43" s="19"/>
    </row>
    <row r="44" spans="1:61" x14ac:dyDescent="0.55000000000000004">
      <c r="A44" s="19" t="s">
        <v>404</v>
      </c>
      <c r="B44" s="19" t="s">
        <v>405</v>
      </c>
      <c r="C44" s="19" t="s">
        <v>322</v>
      </c>
      <c r="D44" s="19" t="s">
        <v>9</v>
      </c>
      <c r="E44" s="19">
        <v>2083</v>
      </c>
      <c r="F44" s="19">
        <v>69.793528999999992</v>
      </c>
      <c r="G44" s="19">
        <v>25.645810999999998</v>
      </c>
      <c r="H44" s="19">
        <v>53420.224312999999</v>
      </c>
      <c r="I44" s="19">
        <v>43.334693000000001</v>
      </c>
      <c r="J44" s="19">
        <v>9.0994270000000004</v>
      </c>
      <c r="K44" s="19">
        <v>21.984090999999999</v>
      </c>
      <c r="L44" s="19">
        <v>45.112786</v>
      </c>
      <c r="M44" s="19">
        <v>39.576768999999999</v>
      </c>
      <c r="N44" s="19">
        <v>15.911079000000001</v>
      </c>
      <c r="O44" s="19">
        <v>8.5470129999999997</v>
      </c>
      <c r="P44" s="19">
        <v>40.358507000000003</v>
      </c>
      <c r="Q44" s="19">
        <v>520.70386800000006</v>
      </c>
      <c r="R44" s="19">
        <v>148.45553000000001</v>
      </c>
      <c r="S44" s="19">
        <v>1048.784373</v>
      </c>
      <c r="T44" s="19">
        <v>1105.137361989119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>
        <v>1.7590703604576983</v>
      </c>
      <c r="AQ44" s="19">
        <v>1.5736880771678465</v>
      </c>
      <c r="AR44" s="19"/>
      <c r="AS44" s="19"/>
      <c r="AT44" s="19"/>
      <c r="AU44" s="19">
        <v>0.96058560870082377</v>
      </c>
      <c r="AV44" s="19">
        <v>0.20170394708054609</v>
      </c>
      <c r="AW44" s="19">
        <v>0.48731397347084704</v>
      </c>
      <c r="AX44" s="19">
        <v>0.98063015561997857</v>
      </c>
      <c r="AY44" s="19">
        <v>0.39424349865073055</v>
      </c>
      <c r="AZ44" s="19">
        <v>0.21177723447500174</v>
      </c>
      <c r="BA44" s="19"/>
      <c r="BB44" s="19"/>
      <c r="BC44" s="19"/>
      <c r="BD44" s="19"/>
      <c r="BE44" s="19"/>
      <c r="BF44" s="19"/>
      <c r="BG44" s="19"/>
      <c r="BH44" s="19"/>
      <c r="BI44" s="19"/>
    </row>
    <row r="45" spans="1:61" x14ac:dyDescent="0.55000000000000004">
      <c r="A45" s="19" t="s">
        <v>406</v>
      </c>
      <c r="B45" s="19" t="s">
        <v>407</v>
      </c>
      <c r="C45" s="19" t="s">
        <v>322</v>
      </c>
      <c r="D45" s="19" t="s">
        <v>9</v>
      </c>
      <c r="E45" s="19">
        <v>2065</v>
      </c>
      <c r="F45" s="19">
        <v>70.50393600000001</v>
      </c>
      <c r="G45" s="19">
        <v>39.684595999999999</v>
      </c>
      <c r="H45" s="19">
        <v>81948.690739999991</v>
      </c>
      <c r="I45" s="19">
        <v>50.868434999999998</v>
      </c>
      <c r="J45" s="19">
        <v>7.779426</v>
      </c>
      <c r="K45" s="19">
        <v>21.491340000000001</v>
      </c>
      <c r="L45" s="19">
        <v>54.375739000000003</v>
      </c>
      <c r="M45" s="19">
        <v>44.742466</v>
      </c>
      <c r="N45" s="19">
        <v>6.7430190000000003</v>
      </c>
      <c r="O45" s="19">
        <v>8.8680529999999997</v>
      </c>
      <c r="P45" s="19">
        <v>44.834395999999998</v>
      </c>
      <c r="Q45" s="19">
        <v>972.09350300000006</v>
      </c>
      <c r="R45" s="19">
        <v>754.91663900000003</v>
      </c>
      <c r="S45" s="19">
        <v>1066.251698</v>
      </c>
      <c r="T45" s="19">
        <v>1207.6008851385843</v>
      </c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>
        <v>1.3701976202554766</v>
      </c>
      <c r="AQ45" s="19">
        <v>1.1297682355138503</v>
      </c>
      <c r="AR45" s="19"/>
      <c r="AS45" s="19"/>
      <c r="AT45" s="19"/>
      <c r="AU45" s="19">
        <v>0.93549873409536555</v>
      </c>
      <c r="AV45" s="19">
        <v>0.14306795903960035</v>
      </c>
      <c r="AW45" s="19">
        <v>0.39523766288491269</v>
      </c>
      <c r="AX45" s="19">
        <v>0.99794956532926193</v>
      </c>
      <c r="AY45" s="19">
        <v>0.15039834594849902</v>
      </c>
      <c r="AZ45" s="19">
        <v>0.19779575038771571</v>
      </c>
      <c r="BA45" s="19"/>
      <c r="BB45" s="19"/>
      <c r="BC45" s="19"/>
      <c r="BD45" s="19"/>
      <c r="BE45" s="19"/>
      <c r="BF45" s="19"/>
      <c r="BG45" s="19"/>
      <c r="BH45" s="19"/>
      <c r="BI45" s="19"/>
    </row>
    <row r="46" spans="1:61" x14ac:dyDescent="0.55000000000000004">
      <c r="A46" s="19" t="s">
        <v>408</v>
      </c>
      <c r="B46" s="19" t="s">
        <v>409</v>
      </c>
      <c r="C46" s="19" t="s">
        <v>322</v>
      </c>
      <c r="D46" s="19" t="s">
        <v>9</v>
      </c>
      <c r="E46" s="19">
        <v>1885</v>
      </c>
      <c r="F46" s="19">
        <v>69.813106000000005</v>
      </c>
      <c r="G46" s="19">
        <v>35.154612</v>
      </c>
      <c r="H46" s="19">
        <v>66266.443620000005</v>
      </c>
      <c r="I46" s="19">
        <v>82.875556000000003</v>
      </c>
      <c r="J46" s="19">
        <v>29.603473000000001</v>
      </c>
      <c r="K46" s="19">
        <v>26.416947</v>
      </c>
      <c r="L46" s="19">
        <v>85.640399000000002</v>
      </c>
      <c r="M46" s="19">
        <v>60.828977000000002</v>
      </c>
      <c r="N46" s="19">
        <v>17.892195999999998</v>
      </c>
      <c r="O46" s="19">
        <v>20.785104</v>
      </c>
      <c r="P46" s="19">
        <v>65.693515000000005</v>
      </c>
      <c r="Q46" s="19">
        <v>706.20414800000003</v>
      </c>
      <c r="R46" s="19">
        <v>952.95352100000002</v>
      </c>
      <c r="S46" s="19">
        <v>1332.5571399999999</v>
      </c>
      <c r="T46" s="19">
        <v>1403.5570973635645</v>
      </c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>
        <v>2.4361070746563782</v>
      </c>
      <c r="AQ46" s="19">
        <v>1.8687026043695207</v>
      </c>
      <c r="AR46" s="19"/>
      <c r="AS46" s="19"/>
      <c r="AT46" s="19"/>
      <c r="AU46" s="19">
        <v>0.96771566886324289</v>
      </c>
      <c r="AV46" s="19">
        <v>0.34567182481249298</v>
      </c>
      <c r="AW46" s="19">
        <v>0.30846361423421204</v>
      </c>
      <c r="AX46" s="19">
        <v>0.92595101662622248</v>
      </c>
      <c r="AY46" s="19">
        <v>0.27235863387733167</v>
      </c>
      <c r="AZ46" s="19">
        <v>0.31639506578389054</v>
      </c>
      <c r="BA46" s="19"/>
      <c r="BB46" s="19"/>
      <c r="BC46" s="19"/>
      <c r="BD46" s="19"/>
      <c r="BE46" s="19"/>
      <c r="BF46" s="19"/>
      <c r="BG46" s="19"/>
      <c r="BH46" s="19"/>
      <c r="BI46" s="19"/>
    </row>
    <row r="47" spans="1:61" x14ac:dyDescent="0.55000000000000004">
      <c r="A47" s="19" t="s">
        <v>410</v>
      </c>
      <c r="B47" s="19" t="s">
        <v>411</v>
      </c>
      <c r="C47" s="19" t="s">
        <v>322</v>
      </c>
      <c r="D47" s="19" t="s">
        <v>9</v>
      </c>
      <c r="E47" s="19">
        <v>1896</v>
      </c>
      <c r="F47" s="19">
        <v>66.846624000000006</v>
      </c>
      <c r="G47" s="19">
        <v>54.894964000000002</v>
      </c>
      <c r="H47" s="19">
        <v>104080.851744</v>
      </c>
      <c r="I47" s="19">
        <v>49.734259999999999</v>
      </c>
      <c r="J47" s="19">
        <v>18.344132999999999</v>
      </c>
      <c r="K47" s="19">
        <v>25.631872000000001</v>
      </c>
      <c r="L47" s="19">
        <v>51.784357999999997</v>
      </c>
      <c r="M47" s="19">
        <v>43.338642</v>
      </c>
      <c r="N47" s="19">
        <v>16.808112000000001</v>
      </c>
      <c r="O47" s="19">
        <v>13.476265</v>
      </c>
      <c r="P47" s="19">
        <v>44.962257999999999</v>
      </c>
      <c r="Q47" s="19">
        <v>547.36506899999995</v>
      </c>
      <c r="R47" s="19">
        <v>1435.1298859999999</v>
      </c>
      <c r="S47" s="19">
        <v>1073.2715559999999</v>
      </c>
      <c r="T47" s="19">
        <v>1463.6017171940514</v>
      </c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>
        <v>0.94333531214265842</v>
      </c>
      <c r="AQ47" s="19">
        <v>0.8190597957218807</v>
      </c>
      <c r="AR47" s="19"/>
      <c r="AS47" s="19"/>
      <c r="AT47" s="19"/>
      <c r="AU47" s="19">
        <v>0.96041086383652763</v>
      </c>
      <c r="AV47" s="19">
        <v>0.35424081148210818</v>
      </c>
      <c r="AW47" s="19">
        <v>0.49497325041666063</v>
      </c>
      <c r="AX47" s="19">
        <v>0.96388935804780984</v>
      </c>
      <c r="AY47" s="19">
        <v>0.37382713297005682</v>
      </c>
      <c r="AZ47" s="19">
        <v>0.2997239373520787</v>
      </c>
      <c r="BA47" s="19"/>
      <c r="BB47" s="19"/>
      <c r="BC47" s="19"/>
      <c r="BD47" s="19"/>
      <c r="BE47" s="19"/>
      <c r="BF47" s="19"/>
      <c r="BG47" s="19"/>
      <c r="BH47" s="19"/>
      <c r="BI47" s="19"/>
    </row>
    <row r="48" spans="1:61" x14ac:dyDescent="0.55000000000000004">
      <c r="A48" s="19" t="s">
        <v>412</v>
      </c>
      <c r="B48" s="19" t="s">
        <v>413</v>
      </c>
      <c r="C48" s="19" t="s">
        <v>322</v>
      </c>
      <c r="D48" s="19" t="s">
        <v>9</v>
      </c>
      <c r="E48" s="19">
        <v>2067</v>
      </c>
      <c r="F48" s="19">
        <v>70.342963999999995</v>
      </c>
      <c r="G48" s="19">
        <v>48.756852000000002</v>
      </c>
      <c r="H48" s="19">
        <v>100780.413084</v>
      </c>
      <c r="I48" s="19">
        <v>53.636921999999998</v>
      </c>
      <c r="J48" s="19">
        <v>15.142576</v>
      </c>
      <c r="K48" s="19">
        <v>39.074686</v>
      </c>
      <c r="L48" s="19">
        <v>65.342969999999994</v>
      </c>
      <c r="M48" s="19">
        <v>37.777118000000002</v>
      </c>
      <c r="N48" s="19">
        <v>16.524885000000001</v>
      </c>
      <c r="O48" s="19">
        <v>23.031589</v>
      </c>
      <c r="P48" s="19">
        <v>42.838056999999999</v>
      </c>
      <c r="Q48" s="19">
        <v>674.54646200000002</v>
      </c>
      <c r="R48" s="19">
        <v>80.093030999999996</v>
      </c>
      <c r="S48" s="19">
        <v>1771.083746</v>
      </c>
      <c r="T48" s="19">
        <v>1862.1376522293874</v>
      </c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>
        <v>1.3401802478962339</v>
      </c>
      <c r="AQ48" s="19">
        <v>0.87860588292287611</v>
      </c>
      <c r="AR48" s="19"/>
      <c r="AS48" s="19"/>
      <c r="AT48" s="19"/>
      <c r="AU48" s="19">
        <v>0.82085222021588555</v>
      </c>
      <c r="AV48" s="19">
        <v>0.23173994080771049</v>
      </c>
      <c r="AW48" s="19">
        <v>0.59799372449706534</v>
      </c>
      <c r="AX48" s="19">
        <v>0.88185881072990779</v>
      </c>
      <c r="AY48" s="19">
        <v>0.38575243970565709</v>
      </c>
      <c r="AZ48" s="19">
        <v>0.53764317555299024</v>
      </c>
      <c r="BA48" s="19"/>
      <c r="BB48" s="19"/>
      <c r="BC48" s="19"/>
      <c r="BD48" s="19"/>
      <c r="BE48" s="19"/>
      <c r="BF48" s="19"/>
      <c r="BG48" s="19"/>
      <c r="BH48" s="19"/>
      <c r="BI48" s="19"/>
    </row>
    <row r="49" spans="1:61" x14ac:dyDescent="0.55000000000000004">
      <c r="A49" s="19" t="s">
        <v>414</v>
      </c>
      <c r="B49" s="19" t="s">
        <v>415</v>
      </c>
      <c r="C49" s="19" t="s">
        <v>322</v>
      </c>
      <c r="D49" s="19" t="s">
        <v>9</v>
      </c>
      <c r="E49" s="19">
        <v>2317</v>
      </c>
      <c r="F49" s="19">
        <v>71.170444000000003</v>
      </c>
      <c r="G49" s="19">
        <v>38.969271999999997</v>
      </c>
      <c r="H49" s="19">
        <v>90291.803223999988</v>
      </c>
      <c r="I49" s="19">
        <v>61.715778999999998</v>
      </c>
      <c r="J49" s="19">
        <v>12.889920999999999</v>
      </c>
      <c r="K49" s="19">
        <v>25.596321</v>
      </c>
      <c r="L49" s="19">
        <v>65.733079000000004</v>
      </c>
      <c r="M49" s="19">
        <v>45.594143000000003</v>
      </c>
      <c r="N49" s="19">
        <v>18.309691999999998</v>
      </c>
      <c r="O49" s="19">
        <v>17.291933</v>
      </c>
      <c r="P49" s="19">
        <v>51.053091999999999</v>
      </c>
      <c r="Q49" s="19">
        <v>396.59571099999999</v>
      </c>
      <c r="R49" s="19">
        <v>94.887607000000003</v>
      </c>
      <c r="S49" s="19">
        <v>1931.5045319999999</v>
      </c>
      <c r="T49" s="19">
        <v>1948.1260172747097</v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>
        <v>1.6867925836541162</v>
      </c>
      <c r="AQ49" s="19">
        <v>1.3100858543110583</v>
      </c>
      <c r="AR49" s="19"/>
      <c r="AS49" s="19"/>
      <c r="AT49" s="19"/>
      <c r="AU49" s="19">
        <v>0.9388846519725631</v>
      </c>
      <c r="AV49" s="19">
        <v>0.19609489158419002</v>
      </c>
      <c r="AW49" s="19">
        <v>0.3893978707432828</v>
      </c>
      <c r="AX49" s="19">
        <v>0.89307309731602547</v>
      </c>
      <c r="AY49" s="19">
        <v>0.35864021712925825</v>
      </c>
      <c r="AZ49" s="19">
        <v>0.33870491134993352</v>
      </c>
      <c r="BA49" s="19"/>
      <c r="BB49" s="19"/>
      <c r="BC49" s="19"/>
      <c r="BD49" s="19"/>
      <c r="BE49" s="19"/>
      <c r="BF49" s="19"/>
      <c r="BG49" s="19"/>
      <c r="BH49" s="19"/>
      <c r="BI49" s="19"/>
    </row>
    <row r="50" spans="1:61" x14ac:dyDescent="0.55000000000000004">
      <c r="A50" s="19" t="s">
        <v>416</v>
      </c>
      <c r="B50" s="19" t="s">
        <v>417</v>
      </c>
      <c r="C50" s="19" t="s">
        <v>322</v>
      </c>
      <c r="D50" s="19" t="s">
        <v>9</v>
      </c>
      <c r="E50" s="19">
        <v>2192</v>
      </c>
      <c r="F50" s="19">
        <v>69.930378999999988</v>
      </c>
      <c r="G50" s="19">
        <v>37.730713000000002</v>
      </c>
      <c r="H50" s="19">
        <v>82705.722896000007</v>
      </c>
      <c r="I50" s="19">
        <v>89.189406000000005</v>
      </c>
      <c r="J50" s="19">
        <v>40.645794000000002</v>
      </c>
      <c r="K50" s="19">
        <v>36.487054000000001</v>
      </c>
      <c r="L50" s="19">
        <v>98.308440000000004</v>
      </c>
      <c r="M50" s="19">
        <v>47.225124999999998</v>
      </c>
      <c r="N50" s="19">
        <v>31.883368000000001</v>
      </c>
      <c r="O50" s="19">
        <v>27.876480000000001</v>
      </c>
      <c r="P50" s="19">
        <v>58.365901999999998</v>
      </c>
      <c r="Q50" s="19">
        <v>2081.2506880000001</v>
      </c>
      <c r="R50" s="19">
        <v>1144.6995460000001</v>
      </c>
      <c r="S50" s="19">
        <v>1538.1837129999999</v>
      </c>
      <c r="T50" s="19">
        <v>2230.6185947263161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>
        <v>2.6055282867302294</v>
      </c>
      <c r="AQ50" s="19">
        <v>1.5469069455432765</v>
      </c>
      <c r="AR50" s="19"/>
      <c r="AS50" s="19"/>
      <c r="AT50" s="19"/>
      <c r="AU50" s="19">
        <v>0.90724057873362651</v>
      </c>
      <c r="AV50" s="19">
        <v>0.41345172398219321</v>
      </c>
      <c r="AW50" s="19">
        <v>0.37114874368874123</v>
      </c>
      <c r="AX50" s="19">
        <v>0.809121822532615</v>
      </c>
      <c r="AY50" s="19">
        <v>0.54626703104836793</v>
      </c>
      <c r="AZ50" s="19">
        <v>0.47761585180333549</v>
      </c>
      <c r="BA50" s="19"/>
      <c r="BB50" s="19"/>
      <c r="BC50" s="19"/>
      <c r="BD50" s="19"/>
      <c r="BE50" s="19"/>
      <c r="BF50" s="19"/>
      <c r="BG50" s="19"/>
      <c r="BH50" s="19"/>
      <c r="BI50" s="19"/>
    </row>
    <row r="51" spans="1:61" x14ac:dyDescent="0.55000000000000004">
      <c r="A51" s="19" t="s">
        <v>418</v>
      </c>
      <c r="B51" s="19" t="s">
        <v>419</v>
      </c>
      <c r="C51" s="19" t="s">
        <v>322</v>
      </c>
      <c r="D51" s="19" t="s">
        <v>9</v>
      </c>
      <c r="E51" s="19">
        <v>1656</v>
      </c>
      <c r="F51" s="19">
        <v>70.092733260000003</v>
      </c>
      <c r="G51" s="19">
        <v>58.653197339999998</v>
      </c>
      <c r="H51" s="19">
        <v>97129.694795039992</v>
      </c>
      <c r="I51" s="19">
        <v>73.050510509999995</v>
      </c>
      <c r="J51" s="19">
        <v>21.751818020000002</v>
      </c>
      <c r="K51" s="19">
        <v>29.011930410000002</v>
      </c>
      <c r="L51" s="19">
        <v>78.378943899999996</v>
      </c>
      <c r="M51" s="19">
        <v>47.34549818</v>
      </c>
      <c r="N51" s="19">
        <v>17.365394370000001</v>
      </c>
      <c r="O51" s="19">
        <v>17.559057299999999</v>
      </c>
      <c r="P51" s="19">
        <v>50.391783169999997</v>
      </c>
      <c r="Q51" s="19">
        <v>658.31406285000003</v>
      </c>
      <c r="R51" s="19">
        <v>2164.1999796999999</v>
      </c>
      <c r="S51" s="19">
        <v>1483.0679491999999</v>
      </c>
      <c r="T51" s="19">
        <v>2247.6661521931678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>
        <v>1.3363115303954203</v>
      </c>
      <c r="AQ51" s="19">
        <v>0.85914810198478431</v>
      </c>
      <c r="AR51" s="19"/>
      <c r="AS51" s="19"/>
      <c r="AT51" s="19"/>
      <c r="AU51" s="19">
        <v>0.9320170300227788</v>
      </c>
      <c r="AV51" s="19">
        <v>0.27752119303562089</v>
      </c>
      <c r="AW51" s="19">
        <v>0.37014954484478585</v>
      </c>
      <c r="AX51" s="19">
        <v>0.93954798186594923</v>
      </c>
      <c r="AY51" s="19">
        <v>0.34460765778850688</v>
      </c>
      <c r="AZ51" s="19">
        <v>0.34845080279781654</v>
      </c>
      <c r="BA51" s="19"/>
      <c r="BB51" s="19"/>
      <c r="BC51" s="19"/>
      <c r="BD51" s="19"/>
      <c r="BE51" s="19"/>
      <c r="BF51" s="19"/>
      <c r="BG51" s="19"/>
      <c r="BH51" s="19"/>
      <c r="BI51" s="19"/>
    </row>
    <row r="52" spans="1:61" x14ac:dyDescent="0.55000000000000004">
      <c r="A52" s="19" t="s">
        <v>420</v>
      </c>
      <c r="B52" s="19" t="s">
        <v>421</v>
      </c>
      <c r="C52" s="19" t="s">
        <v>322</v>
      </c>
      <c r="D52" s="19" t="s">
        <v>9</v>
      </c>
      <c r="E52" s="19">
        <v>1791</v>
      </c>
      <c r="F52" s="19">
        <v>67.478062959999988</v>
      </c>
      <c r="G52" s="19">
        <v>45.338842110000002</v>
      </c>
      <c r="H52" s="19">
        <v>81201.86621901</v>
      </c>
      <c r="I52" s="19">
        <v>61.887231409999998</v>
      </c>
      <c r="J52" s="19">
        <v>10.34210991</v>
      </c>
      <c r="K52" s="19">
        <v>32.284707310000002</v>
      </c>
      <c r="L52" s="19">
        <v>70.092101029999995</v>
      </c>
      <c r="M52" s="19">
        <v>52.727912420000003</v>
      </c>
      <c r="N52" s="19">
        <v>20.27167017</v>
      </c>
      <c r="O52" s="19">
        <v>8.2057350200000005</v>
      </c>
      <c r="P52" s="19">
        <v>55.577466880000003</v>
      </c>
      <c r="Q52" s="19">
        <v>1045.6803037</v>
      </c>
      <c r="R52" s="19">
        <v>356.11655839999997</v>
      </c>
      <c r="S52" s="19">
        <v>1352.7102396299999</v>
      </c>
      <c r="T52" s="19">
        <v>1396.9026412688215</v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>
        <v>1.5459614266271784</v>
      </c>
      <c r="AQ52" s="19">
        <v>1.2258245754304731</v>
      </c>
      <c r="AR52" s="19"/>
      <c r="AS52" s="19"/>
      <c r="AT52" s="19"/>
      <c r="AU52" s="19">
        <v>0.88294159399661531</v>
      </c>
      <c r="AV52" s="19">
        <v>0.14755029108877035</v>
      </c>
      <c r="AW52" s="19">
        <v>0.46060407429050931</v>
      </c>
      <c r="AX52" s="19">
        <v>0.9487282414984366</v>
      </c>
      <c r="AY52" s="19">
        <v>0.36474620575582445</v>
      </c>
      <c r="AZ52" s="19">
        <v>0.14764499860559316</v>
      </c>
      <c r="BA52" s="19"/>
      <c r="BB52" s="19"/>
      <c r="BC52" s="19"/>
      <c r="BD52" s="19"/>
      <c r="BE52" s="19"/>
      <c r="BF52" s="19"/>
      <c r="BG52" s="19"/>
      <c r="BH52" s="19"/>
      <c r="BI52" s="19"/>
    </row>
    <row r="53" spans="1:61" x14ac:dyDescent="0.55000000000000004">
      <c r="A53" s="19" t="s">
        <v>422</v>
      </c>
      <c r="B53" s="19" t="s">
        <v>423</v>
      </c>
      <c r="C53" s="19" t="s">
        <v>322</v>
      </c>
      <c r="D53" s="19" t="s">
        <v>9</v>
      </c>
      <c r="E53" s="19">
        <v>1668</v>
      </c>
      <c r="F53" s="19">
        <v>72.307011920000008</v>
      </c>
      <c r="G53" s="19">
        <v>42.231462380000004</v>
      </c>
      <c r="H53" s="19">
        <v>70442.079249840011</v>
      </c>
      <c r="I53" s="19">
        <v>72.956319500000006</v>
      </c>
      <c r="J53" s="19">
        <v>14.79976647</v>
      </c>
      <c r="K53" s="19">
        <v>29.57426899</v>
      </c>
      <c r="L53" s="19">
        <v>73.35726502</v>
      </c>
      <c r="M53" s="19">
        <v>42.159392990000001</v>
      </c>
      <c r="N53" s="19">
        <v>16.650850869999999</v>
      </c>
      <c r="O53" s="19">
        <v>12.37313464</v>
      </c>
      <c r="P53" s="19">
        <v>45.01351657</v>
      </c>
      <c r="Q53" s="19">
        <v>953.56046714000001</v>
      </c>
      <c r="R53" s="19">
        <v>218.15580671999999</v>
      </c>
      <c r="S53" s="19">
        <v>1348.03733128</v>
      </c>
      <c r="T53" s="19">
        <v>1358.307308290829</v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>
        <v>1.7370287668451796</v>
      </c>
      <c r="AQ53" s="19">
        <v>1.0658763403683962</v>
      </c>
      <c r="AR53" s="19"/>
      <c r="AS53" s="19"/>
      <c r="AT53" s="19"/>
      <c r="AU53" s="19">
        <v>0.9945343447592998</v>
      </c>
      <c r="AV53" s="19">
        <v>0.20174915825944462</v>
      </c>
      <c r="AW53" s="19">
        <v>0.403153920500402</v>
      </c>
      <c r="AX53" s="19">
        <v>0.93659407668002159</v>
      </c>
      <c r="AY53" s="19">
        <v>0.36990779967404797</v>
      </c>
      <c r="AZ53" s="19">
        <v>0.27487598354504655</v>
      </c>
      <c r="BA53" s="19"/>
      <c r="BB53" s="19"/>
      <c r="BC53" s="19"/>
      <c r="BD53" s="19"/>
      <c r="BE53" s="19"/>
      <c r="BF53" s="19"/>
      <c r="BG53" s="19"/>
      <c r="BH53" s="19"/>
      <c r="BI53" s="19"/>
    </row>
    <row r="54" spans="1:61" x14ac:dyDescent="0.55000000000000004">
      <c r="A54" s="19" t="s">
        <v>424</v>
      </c>
      <c r="B54" s="19" t="s">
        <v>425</v>
      </c>
      <c r="C54" s="19" t="s">
        <v>322</v>
      </c>
      <c r="D54" s="19" t="s">
        <v>9</v>
      </c>
      <c r="E54" s="19">
        <v>2308</v>
      </c>
      <c r="F54" s="19">
        <v>73.030110000000008</v>
      </c>
      <c r="G54" s="19">
        <v>52.435774000000002</v>
      </c>
      <c r="H54" s="19">
        <v>121021.766392</v>
      </c>
      <c r="I54" s="19">
        <v>40.538246000000001</v>
      </c>
      <c r="J54" s="19">
        <v>39.050651999999999</v>
      </c>
      <c r="K54" s="19">
        <v>14.827640000000001</v>
      </c>
      <c r="L54" s="19">
        <v>57.111508000000001</v>
      </c>
      <c r="M54" s="19">
        <v>39.931629000000001</v>
      </c>
      <c r="N54" s="19">
        <v>18.632204999999999</v>
      </c>
      <c r="O54" s="19">
        <v>6.9252339999999997</v>
      </c>
      <c r="P54" s="19">
        <v>43.621816000000003</v>
      </c>
      <c r="Q54" s="19">
        <v>410.59866899999997</v>
      </c>
      <c r="R54" s="19">
        <v>66.718800999999999</v>
      </c>
      <c r="S54" s="19">
        <v>902.92637300000001</v>
      </c>
      <c r="T54" s="19">
        <v>935.18075128594717</v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>
        <v>1.0891706871724636</v>
      </c>
      <c r="AQ54" s="19">
        <v>0.8319094517418586</v>
      </c>
      <c r="AR54" s="19"/>
      <c r="AS54" s="19"/>
      <c r="AT54" s="19"/>
      <c r="AU54" s="19">
        <v>0.70980871315812566</v>
      </c>
      <c r="AV54" s="19">
        <v>0.68376152841210214</v>
      </c>
      <c r="AW54" s="19">
        <v>0.25962613349309566</v>
      </c>
      <c r="AX54" s="19">
        <v>0.91540501202425861</v>
      </c>
      <c r="AY54" s="19">
        <v>0.42713042941632684</v>
      </c>
      <c r="AZ54" s="19">
        <v>0.15875620583975686</v>
      </c>
      <c r="BA54" s="19"/>
      <c r="BB54" s="19"/>
      <c r="BC54" s="19"/>
      <c r="BD54" s="19"/>
      <c r="BE54" s="19"/>
      <c r="BF54" s="19"/>
      <c r="BG54" s="19"/>
      <c r="BH54" s="19"/>
      <c r="BI54" s="19"/>
    </row>
    <row r="55" spans="1:61" x14ac:dyDescent="0.55000000000000004">
      <c r="A55" s="19" t="s">
        <v>426</v>
      </c>
      <c r="B55" s="19" t="s">
        <v>427</v>
      </c>
      <c r="C55" s="19" t="s">
        <v>322</v>
      </c>
      <c r="D55" s="19" t="s">
        <v>9</v>
      </c>
      <c r="E55" s="19">
        <v>2439</v>
      </c>
      <c r="F55" s="19">
        <v>69.921036739999991</v>
      </c>
      <c r="G55" s="19">
        <v>49.675948839999997</v>
      </c>
      <c r="H55" s="19">
        <v>121159.63922075999</v>
      </c>
      <c r="I55" s="19">
        <v>45.260211150000003</v>
      </c>
      <c r="J55" s="19">
        <v>6.4094072200000003</v>
      </c>
      <c r="K55" s="19">
        <v>33.351224219999999</v>
      </c>
      <c r="L55" s="19">
        <v>53.788380619999998</v>
      </c>
      <c r="M55" s="19">
        <v>48.278718300000001</v>
      </c>
      <c r="N55" s="19">
        <v>11.843290229999999</v>
      </c>
      <c r="O55" s="19">
        <v>7.6527690100000001</v>
      </c>
      <c r="P55" s="19">
        <v>49.118879440000001</v>
      </c>
      <c r="Q55" s="19">
        <v>408.55009299</v>
      </c>
      <c r="R55" s="19">
        <v>171.89812792000001</v>
      </c>
      <c r="S55" s="19">
        <v>1662.2149682300001</v>
      </c>
      <c r="T55" s="19">
        <v>1709.4076701300112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>
        <v>1.0827851681956921</v>
      </c>
      <c r="AQ55" s="19">
        <v>0.98878593337403087</v>
      </c>
      <c r="AR55" s="19"/>
      <c r="AS55" s="19"/>
      <c r="AT55" s="19"/>
      <c r="AU55" s="19">
        <v>0.8414495961451387</v>
      </c>
      <c r="AV55" s="19">
        <v>0.11915969854680486</v>
      </c>
      <c r="AW55" s="19">
        <v>0.62004514424067081</v>
      </c>
      <c r="AX55" s="19">
        <v>0.98289535206058032</v>
      </c>
      <c r="AY55" s="19">
        <v>0.2411148292677745</v>
      </c>
      <c r="AZ55" s="19">
        <v>0.15580096894001946</v>
      </c>
      <c r="BA55" s="19"/>
      <c r="BB55" s="19"/>
      <c r="BC55" s="19"/>
      <c r="BD55" s="19"/>
      <c r="BE55" s="19"/>
      <c r="BF55" s="19"/>
      <c r="BG55" s="19"/>
      <c r="BH55" s="19"/>
      <c r="BI55" s="19"/>
    </row>
    <row r="56" spans="1:61" x14ac:dyDescent="0.55000000000000004">
      <c r="A56" s="19" t="s">
        <v>428</v>
      </c>
      <c r="B56" s="19" t="s">
        <v>429</v>
      </c>
      <c r="C56" s="19" t="s">
        <v>322</v>
      </c>
      <c r="D56" s="19" t="s">
        <v>9</v>
      </c>
      <c r="E56" s="19">
        <v>1799</v>
      </c>
      <c r="F56" s="19">
        <v>70.359529929999994</v>
      </c>
      <c r="G56" s="19">
        <v>41.144531890000003</v>
      </c>
      <c r="H56" s="19">
        <v>74019.012870110004</v>
      </c>
      <c r="I56" s="19">
        <v>44.45924574</v>
      </c>
      <c r="J56" s="19">
        <v>18.33072357</v>
      </c>
      <c r="K56" s="19">
        <v>30.477501499999999</v>
      </c>
      <c r="L56" s="19">
        <v>52.54300516</v>
      </c>
      <c r="M56" s="19">
        <v>44.172982089999998</v>
      </c>
      <c r="N56" s="19">
        <v>20.324161310000001</v>
      </c>
      <c r="O56" s="19">
        <v>8.9842749800000004</v>
      </c>
      <c r="P56" s="19">
        <v>48.427502189999998</v>
      </c>
      <c r="Q56" s="19">
        <v>419.31443582999998</v>
      </c>
      <c r="R56" s="19">
        <v>691.60290812000005</v>
      </c>
      <c r="S56" s="19">
        <v>1583.3538009399999</v>
      </c>
      <c r="T56" s="19">
        <v>1636.1684390129612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>
        <v>1.2770349484221584</v>
      </c>
      <c r="AQ56" s="19">
        <v>1.177009433950325</v>
      </c>
      <c r="AR56" s="19"/>
      <c r="AS56" s="19"/>
      <c r="AT56" s="19"/>
      <c r="AU56" s="19">
        <v>0.84614965597449276</v>
      </c>
      <c r="AV56" s="19">
        <v>0.34887086328961697</v>
      </c>
      <c r="AW56" s="19">
        <v>0.58004869358332678</v>
      </c>
      <c r="AX56" s="19">
        <v>0.91214661282120524</v>
      </c>
      <c r="AY56" s="19">
        <v>0.4196822134303021</v>
      </c>
      <c r="AZ56" s="19">
        <v>0.18552009857438406</v>
      </c>
      <c r="BA56" s="19"/>
      <c r="BB56" s="19"/>
      <c r="BC56" s="19"/>
      <c r="BD56" s="19"/>
      <c r="BE56" s="19"/>
      <c r="BF56" s="19"/>
      <c r="BG56" s="19"/>
      <c r="BH56" s="19"/>
      <c r="BI56" s="19"/>
    </row>
    <row r="57" spans="1:61" x14ac:dyDescent="0.55000000000000004">
      <c r="A57" s="19" t="s">
        <v>430</v>
      </c>
      <c r="B57" s="19" t="s">
        <v>431</v>
      </c>
      <c r="C57" s="19" t="s">
        <v>322</v>
      </c>
      <c r="D57" s="19" t="s">
        <v>9</v>
      </c>
      <c r="E57" s="19">
        <v>1724</v>
      </c>
      <c r="F57" s="19">
        <v>68.106703999999993</v>
      </c>
      <c r="G57" s="19">
        <v>49.789591999999999</v>
      </c>
      <c r="H57" s="19">
        <v>85837.256607999996</v>
      </c>
      <c r="I57" s="19">
        <v>44.590122999999998</v>
      </c>
      <c r="J57" s="19">
        <v>27.780472</v>
      </c>
      <c r="K57" s="19">
        <v>29.797879999999999</v>
      </c>
      <c r="L57" s="19">
        <v>52.76943</v>
      </c>
      <c r="M57" s="19">
        <v>39.078265000000002</v>
      </c>
      <c r="N57" s="19">
        <v>13.438129</v>
      </c>
      <c r="O57" s="19">
        <v>8.0771040000000003</v>
      </c>
      <c r="P57" s="19">
        <v>40.043835999999999</v>
      </c>
      <c r="Q57" s="19">
        <v>605.55944499999998</v>
      </c>
      <c r="R57" s="19">
        <v>481.21338500000002</v>
      </c>
      <c r="S57" s="19">
        <v>1277.1869999999999</v>
      </c>
      <c r="T57" s="19">
        <v>1313.3634176582636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>
        <v>1.0598486125373352</v>
      </c>
      <c r="AQ57" s="19">
        <v>0.80426117972607603</v>
      </c>
      <c r="AR57" s="19"/>
      <c r="AS57" s="19"/>
      <c r="AT57" s="19"/>
      <c r="AU57" s="19">
        <v>0.8449991406009123</v>
      </c>
      <c r="AV57" s="19">
        <v>0.52645010567671469</v>
      </c>
      <c r="AW57" s="19">
        <v>0.56468072518501711</v>
      </c>
      <c r="AX57" s="19">
        <v>0.975887150272017</v>
      </c>
      <c r="AY57" s="19">
        <v>0.33558545689778574</v>
      </c>
      <c r="AZ57" s="19">
        <v>0.20170654979208286</v>
      </c>
      <c r="BA57" s="19"/>
      <c r="BB57" s="19"/>
      <c r="BC57" s="19"/>
      <c r="BD57" s="19"/>
      <c r="BE57" s="19"/>
      <c r="BF57" s="19"/>
      <c r="BG57" s="19"/>
      <c r="BH57" s="19"/>
      <c r="BI57" s="19"/>
    </row>
    <row r="58" spans="1:61" x14ac:dyDescent="0.55000000000000004">
      <c r="A58" s="19" t="s">
        <v>432</v>
      </c>
      <c r="B58" s="19" t="s">
        <v>433</v>
      </c>
      <c r="C58" s="19" t="s">
        <v>322</v>
      </c>
      <c r="D58" s="19" t="s">
        <v>9</v>
      </c>
      <c r="E58" s="19">
        <v>1961</v>
      </c>
      <c r="F58" s="19">
        <v>68.467364000000003</v>
      </c>
      <c r="G58" s="19">
        <v>50.831794000000002</v>
      </c>
      <c r="H58" s="19">
        <v>99681.148033999998</v>
      </c>
      <c r="I58" s="19">
        <v>78.656493999999995</v>
      </c>
      <c r="J58" s="19">
        <v>29.538720999999999</v>
      </c>
      <c r="K58" s="19">
        <v>31.022202</v>
      </c>
      <c r="L58" s="19">
        <v>87.625539000000003</v>
      </c>
      <c r="M58" s="19">
        <v>46.438870000000001</v>
      </c>
      <c r="N58" s="19">
        <v>22.173735000000001</v>
      </c>
      <c r="O58" s="19">
        <v>13.235555</v>
      </c>
      <c r="P58" s="19">
        <v>51.591755999999997</v>
      </c>
      <c r="Q58" s="19">
        <v>841.55753200000004</v>
      </c>
      <c r="R58" s="19">
        <v>354.35167000000001</v>
      </c>
      <c r="S58" s="19">
        <v>1517.3353999999999</v>
      </c>
      <c r="T58" s="19">
        <v>1715.349467462846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>
        <v>1.723833296145322</v>
      </c>
      <c r="AQ58" s="19">
        <v>1.0149505248624511</v>
      </c>
      <c r="AR58" s="19"/>
      <c r="AS58" s="19"/>
      <c r="AT58" s="19"/>
      <c r="AU58" s="19">
        <v>0.89764348268374128</v>
      </c>
      <c r="AV58" s="19">
        <v>0.33710173240703256</v>
      </c>
      <c r="AW58" s="19">
        <v>0.35403151129261529</v>
      </c>
      <c r="AX58" s="19">
        <v>0.90012191095026894</v>
      </c>
      <c r="AY58" s="19">
        <v>0.42979221331408068</v>
      </c>
      <c r="AZ58" s="19">
        <v>0.25654399125317617</v>
      </c>
      <c r="BA58" s="19"/>
      <c r="BB58" s="19"/>
      <c r="BC58" s="19"/>
      <c r="BD58" s="19"/>
      <c r="BE58" s="19"/>
      <c r="BF58" s="19"/>
      <c r="BG58" s="19"/>
      <c r="BH58" s="19"/>
      <c r="BI58" s="19"/>
    </row>
    <row r="59" spans="1:61" x14ac:dyDescent="0.55000000000000004">
      <c r="A59" s="19" t="s">
        <v>434</v>
      </c>
      <c r="B59" s="19" t="s">
        <v>435</v>
      </c>
      <c r="C59" s="19" t="s">
        <v>322</v>
      </c>
      <c r="D59" s="19" t="s">
        <v>9</v>
      </c>
      <c r="E59" s="19">
        <v>2051</v>
      </c>
      <c r="F59" s="19">
        <v>68.031502000000003</v>
      </c>
      <c r="G59" s="19">
        <v>41.919100999999998</v>
      </c>
      <c r="H59" s="19">
        <v>85976.076151000001</v>
      </c>
      <c r="I59" s="19">
        <v>46.687313000000003</v>
      </c>
      <c r="J59" s="19">
        <v>12.864526</v>
      </c>
      <c r="K59" s="19">
        <v>47.457979000000002</v>
      </c>
      <c r="L59" s="19">
        <v>66.592984000000001</v>
      </c>
      <c r="M59" s="19">
        <v>43.987890999999998</v>
      </c>
      <c r="N59" s="19">
        <v>18.077954999999999</v>
      </c>
      <c r="O59" s="19">
        <v>13.911015000000001</v>
      </c>
      <c r="P59" s="19">
        <v>47.801760999999999</v>
      </c>
      <c r="Q59" s="19">
        <v>544.04792799999996</v>
      </c>
      <c r="R59" s="19">
        <v>39.668809000000003</v>
      </c>
      <c r="S59" s="19">
        <v>1565.4336619999999</v>
      </c>
      <c r="T59" s="19">
        <v>1640.1280714084253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>
        <v>1.588607160253747</v>
      </c>
      <c r="AQ59" s="19">
        <v>1.1403336393115873</v>
      </c>
      <c r="AR59" s="19"/>
      <c r="AS59" s="19"/>
      <c r="AT59" s="19"/>
      <c r="AU59" s="19">
        <v>0.70108456170097444</v>
      </c>
      <c r="AV59" s="19">
        <v>0.19318140181253929</v>
      </c>
      <c r="AW59" s="19">
        <v>0.71265734240111545</v>
      </c>
      <c r="AX59" s="19">
        <v>0.92021486405071973</v>
      </c>
      <c r="AY59" s="19">
        <v>0.37818596264685728</v>
      </c>
      <c r="AZ59" s="19">
        <v>0.29101469713636702</v>
      </c>
      <c r="BA59" s="19"/>
      <c r="BB59" s="19"/>
      <c r="BC59" s="19"/>
      <c r="BD59" s="19"/>
      <c r="BE59" s="19"/>
      <c r="BF59" s="19"/>
      <c r="BG59" s="19"/>
      <c r="BH59" s="19"/>
      <c r="BI59" s="19"/>
    </row>
    <row r="60" spans="1:61" x14ac:dyDescent="0.55000000000000004">
      <c r="A60" s="19" t="s">
        <v>436</v>
      </c>
      <c r="B60" s="19" t="s">
        <v>437</v>
      </c>
      <c r="C60" s="19" t="s">
        <v>322</v>
      </c>
      <c r="D60" s="19" t="s">
        <v>9</v>
      </c>
      <c r="E60" s="19">
        <v>2049</v>
      </c>
      <c r="F60" s="19">
        <v>70.064425999999997</v>
      </c>
      <c r="G60" s="19">
        <v>40.297176999999998</v>
      </c>
      <c r="H60" s="19">
        <v>82568.915672999996</v>
      </c>
      <c r="I60" s="19">
        <v>42.159872</v>
      </c>
      <c r="J60" s="19">
        <v>24.768322000000001</v>
      </c>
      <c r="K60" s="19">
        <v>19.599046000000001</v>
      </c>
      <c r="L60" s="19">
        <v>46.301037000000001</v>
      </c>
      <c r="M60" s="19">
        <v>31.95317</v>
      </c>
      <c r="N60" s="19">
        <v>17.539187999999999</v>
      </c>
      <c r="O60" s="19">
        <v>6.0098120000000002</v>
      </c>
      <c r="P60" s="19">
        <v>36.321395000000003</v>
      </c>
      <c r="Q60" s="19">
        <v>455.040434</v>
      </c>
      <c r="R60" s="19">
        <v>236.368166</v>
      </c>
      <c r="S60" s="19">
        <v>896.67758700000002</v>
      </c>
      <c r="T60" s="19">
        <v>913.69737860601924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>
        <v>1.1489895929930776</v>
      </c>
      <c r="AQ60" s="19">
        <v>0.90133844859653578</v>
      </c>
      <c r="AR60" s="19"/>
      <c r="AS60" s="19"/>
      <c r="AT60" s="19"/>
      <c r="AU60" s="19">
        <v>0.91055999458500247</v>
      </c>
      <c r="AV60" s="19">
        <v>0.53494097767183924</v>
      </c>
      <c r="AW60" s="19">
        <v>0.42329604842327834</v>
      </c>
      <c r="AX60" s="19">
        <v>0.8797341071288699</v>
      </c>
      <c r="AY60" s="19">
        <v>0.48288861151946388</v>
      </c>
      <c r="AZ60" s="19">
        <v>0.16546203690689743</v>
      </c>
      <c r="BA60" s="19"/>
      <c r="BB60" s="19"/>
      <c r="BC60" s="19"/>
      <c r="BD60" s="19"/>
      <c r="BE60" s="19"/>
      <c r="BF60" s="19"/>
      <c r="BG60" s="19"/>
      <c r="BH60" s="19"/>
      <c r="BI60" s="19"/>
    </row>
    <row r="61" spans="1:61" x14ac:dyDescent="0.55000000000000004">
      <c r="A61" s="19" t="s">
        <v>438</v>
      </c>
      <c r="B61" s="19" t="s">
        <v>439</v>
      </c>
      <c r="C61" s="19" t="s">
        <v>322</v>
      </c>
      <c r="D61" s="19" t="s">
        <v>9</v>
      </c>
      <c r="E61" s="19">
        <v>2004</v>
      </c>
      <c r="F61" s="19">
        <v>70.433895000000007</v>
      </c>
      <c r="G61" s="19">
        <v>37.322429999999997</v>
      </c>
      <c r="H61" s="19">
        <v>74794.149720000001</v>
      </c>
      <c r="I61" s="19">
        <v>43.682859000000001</v>
      </c>
      <c r="J61" s="19">
        <v>15.475534</v>
      </c>
      <c r="K61" s="19">
        <v>16.313345000000002</v>
      </c>
      <c r="L61" s="19">
        <v>46.915629000000003</v>
      </c>
      <c r="M61" s="19">
        <v>43.752443</v>
      </c>
      <c r="N61" s="19">
        <v>10.71724</v>
      </c>
      <c r="O61" s="19">
        <v>14.657685000000001</v>
      </c>
      <c r="P61" s="19">
        <v>45.797680999999997</v>
      </c>
      <c r="Q61" s="19">
        <v>476.07970799999998</v>
      </c>
      <c r="R61" s="19">
        <v>188.64142699999999</v>
      </c>
      <c r="S61" s="19">
        <v>1032.8077720000001</v>
      </c>
      <c r="T61" s="19">
        <v>1040.4679459333017</v>
      </c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>
        <v>1.2570357557104404</v>
      </c>
      <c r="AQ61" s="19">
        <v>1.2270819718866108</v>
      </c>
      <c r="AR61" s="19"/>
      <c r="AS61" s="19"/>
      <c r="AT61" s="19"/>
      <c r="AU61" s="19">
        <v>0.93109396444413006</v>
      </c>
      <c r="AV61" s="19">
        <v>0.32985881954177781</v>
      </c>
      <c r="AW61" s="19">
        <v>0.34771664257128476</v>
      </c>
      <c r="AX61" s="19">
        <v>0.95534188728900926</v>
      </c>
      <c r="AY61" s="19">
        <v>0.23401272217254845</v>
      </c>
      <c r="AZ61" s="19">
        <v>0.32005299569644152</v>
      </c>
      <c r="BA61" s="19"/>
      <c r="BB61" s="19"/>
      <c r="BC61" s="19"/>
      <c r="BD61" s="19"/>
      <c r="BE61" s="19"/>
      <c r="BF61" s="19"/>
      <c r="BG61" s="19"/>
      <c r="BH61" s="19"/>
      <c r="BI61" s="19"/>
    </row>
    <row r="62" spans="1:61" x14ac:dyDescent="0.55000000000000004">
      <c r="A62" s="19" t="s">
        <v>440</v>
      </c>
      <c r="B62" s="19" t="s">
        <v>441</v>
      </c>
      <c r="C62" s="19" t="s">
        <v>322</v>
      </c>
      <c r="D62" s="19" t="s">
        <v>9</v>
      </c>
      <c r="E62" s="19">
        <v>1932</v>
      </c>
      <c r="F62" s="19">
        <v>69.678424000000007</v>
      </c>
      <c r="G62" s="19">
        <v>52.422179999999997</v>
      </c>
      <c r="H62" s="19">
        <v>101279.65175999999</v>
      </c>
      <c r="I62" s="19">
        <v>65.361711</v>
      </c>
      <c r="J62" s="19">
        <v>24.166134</v>
      </c>
      <c r="K62" s="19">
        <v>30.049906</v>
      </c>
      <c r="L62" s="19">
        <v>74.689871999999994</v>
      </c>
      <c r="M62" s="19">
        <v>35.881833999999998</v>
      </c>
      <c r="N62" s="19">
        <v>16.733823999999998</v>
      </c>
      <c r="O62" s="19">
        <v>7.7709060000000001</v>
      </c>
      <c r="P62" s="19">
        <v>39.849916</v>
      </c>
      <c r="Q62" s="19">
        <v>346.17202200000003</v>
      </c>
      <c r="R62" s="19">
        <v>97.38073</v>
      </c>
      <c r="S62" s="19">
        <v>1090.003694</v>
      </c>
      <c r="T62" s="19">
        <v>1103.4823293383124</v>
      </c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>
        <v>1.4247761539104249</v>
      </c>
      <c r="AQ62" s="19">
        <v>0.76017281234775058</v>
      </c>
      <c r="AR62" s="19"/>
      <c r="AS62" s="19"/>
      <c r="AT62" s="19"/>
      <c r="AU62" s="19">
        <v>0.87510808694383635</v>
      </c>
      <c r="AV62" s="19">
        <v>0.3235530246992524</v>
      </c>
      <c r="AW62" s="19">
        <v>0.40232906008996777</v>
      </c>
      <c r="AX62" s="19">
        <v>0.90042433213660966</v>
      </c>
      <c r="AY62" s="19">
        <v>0.41992118628305258</v>
      </c>
      <c r="AZ62" s="19">
        <v>0.19500432573057369</v>
      </c>
      <c r="BA62" s="19"/>
      <c r="BB62" s="19"/>
      <c r="BC62" s="19"/>
      <c r="BD62" s="19"/>
      <c r="BE62" s="19"/>
      <c r="BF62" s="19"/>
      <c r="BG62" s="19"/>
      <c r="BH62" s="19"/>
      <c r="BI62" s="19"/>
    </row>
    <row r="63" spans="1:61" x14ac:dyDescent="0.55000000000000004">
      <c r="A63" s="19" t="s">
        <v>442</v>
      </c>
      <c r="B63" s="19" t="s">
        <v>443</v>
      </c>
      <c r="C63" s="19" t="s">
        <v>322</v>
      </c>
      <c r="D63" s="19" t="s">
        <v>9</v>
      </c>
      <c r="E63" s="19">
        <v>1640</v>
      </c>
      <c r="F63" s="19">
        <v>67.192667</v>
      </c>
      <c r="G63" s="19">
        <v>41.262847999999998</v>
      </c>
      <c r="H63" s="19">
        <v>67671.070720000003</v>
      </c>
      <c r="I63" s="19">
        <v>45.058627000000001</v>
      </c>
      <c r="J63" s="19">
        <v>8.5957070000000009</v>
      </c>
      <c r="K63" s="19">
        <v>25.988574</v>
      </c>
      <c r="L63" s="19">
        <v>50.623035999999999</v>
      </c>
      <c r="M63" s="19">
        <v>36.262973000000002</v>
      </c>
      <c r="N63" s="19">
        <v>8.9196399999999993</v>
      </c>
      <c r="O63" s="19">
        <v>7.4209240000000003</v>
      </c>
      <c r="P63" s="19">
        <v>36.957689999999999</v>
      </c>
      <c r="Q63" s="19">
        <v>444.44920000000002</v>
      </c>
      <c r="R63" s="19">
        <v>120.799114</v>
      </c>
      <c r="S63" s="19">
        <v>884.50113699999997</v>
      </c>
      <c r="T63" s="19">
        <v>884.62893387539361</v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>
        <v>1.2268429944535093</v>
      </c>
      <c r="AQ63" s="19">
        <v>0.89566503019859423</v>
      </c>
      <c r="AR63" s="19"/>
      <c r="AS63" s="19"/>
      <c r="AT63" s="19"/>
      <c r="AU63" s="19">
        <v>0.89008148385252917</v>
      </c>
      <c r="AV63" s="19">
        <v>0.16979833054659149</v>
      </c>
      <c r="AW63" s="19">
        <v>0.51337446454218982</v>
      </c>
      <c r="AX63" s="19">
        <v>0.98120236952038953</v>
      </c>
      <c r="AY63" s="19">
        <v>0.24134733529070673</v>
      </c>
      <c r="AZ63" s="19">
        <v>0.20079512545291658</v>
      </c>
      <c r="BA63" s="19"/>
      <c r="BB63" s="19"/>
      <c r="BC63" s="19"/>
      <c r="BD63" s="19"/>
      <c r="BE63" s="19"/>
      <c r="BF63" s="19"/>
      <c r="BG63" s="19"/>
      <c r="BH63" s="19"/>
      <c r="BI63" s="19"/>
    </row>
    <row r="64" spans="1:61" x14ac:dyDescent="0.55000000000000004">
      <c r="A64" s="19" t="s">
        <v>586</v>
      </c>
      <c r="B64" s="19" t="s">
        <v>587</v>
      </c>
      <c r="C64" s="19" t="s">
        <v>322</v>
      </c>
      <c r="D64" s="19" t="s">
        <v>9</v>
      </c>
      <c r="E64" s="19">
        <v>1948</v>
      </c>
      <c r="F64" s="19">
        <v>68.69368880786223</v>
      </c>
      <c r="G64" s="19">
        <v>65.547708260833062</v>
      </c>
      <c r="H64" s="19">
        <v>127686.93569210281</v>
      </c>
      <c r="I64" s="19">
        <v>48.854607010339699</v>
      </c>
      <c r="J64" s="19">
        <v>20.76552817073518</v>
      </c>
      <c r="K64" s="19">
        <v>24.524678265141411</v>
      </c>
      <c r="L64" s="19">
        <v>52.712895861849404</v>
      </c>
      <c r="M64" s="19">
        <v>45.019854606920035</v>
      </c>
      <c r="N64" s="19">
        <v>20.146988009022195</v>
      </c>
      <c r="O64" s="19">
        <v>14.715894810775296</v>
      </c>
      <c r="P64" s="19">
        <v>48.609071735029332</v>
      </c>
      <c r="Q64" s="19">
        <v>794.99791123706859</v>
      </c>
      <c r="R64" s="19">
        <v>191.86722353890212</v>
      </c>
      <c r="S64" s="19">
        <v>1236.523887272177</v>
      </c>
      <c r="T64" s="19">
        <v>1279.5754872961097</v>
      </c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>
        <v>0.80419128693393416</v>
      </c>
      <c r="AQ64" s="19">
        <v>0.74158308543145313</v>
      </c>
      <c r="AR64" s="19"/>
      <c r="AS64" s="19"/>
      <c r="AT64" s="19"/>
      <c r="AU64" s="19">
        <v>0.92680559873580926</v>
      </c>
      <c r="AV64" s="19">
        <v>0.39393639509310452</v>
      </c>
      <c r="AW64" s="19">
        <v>0.46525006574133176</v>
      </c>
      <c r="AX64" s="19">
        <v>0.92616157848735903</v>
      </c>
      <c r="AY64" s="19">
        <v>0.41446971295490914</v>
      </c>
      <c r="AZ64" s="19">
        <v>0.30273967976579413</v>
      </c>
      <c r="BA64" s="19"/>
      <c r="BB64" s="19"/>
      <c r="BC64" s="19"/>
      <c r="BD64" s="19"/>
      <c r="BE64" s="19"/>
      <c r="BF64" s="19"/>
      <c r="BG64" s="19"/>
      <c r="BH64" s="19"/>
      <c r="BI64" s="19"/>
    </row>
    <row r="65" spans="1:61" x14ac:dyDescent="0.55000000000000004">
      <c r="A65" s="19" t="s">
        <v>615</v>
      </c>
      <c r="B65" s="19" t="s">
        <v>616</v>
      </c>
      <c r="C65" s="19" t="s">
        <v>322</v>
      </c>
      <c r="D65" s="19" t="s">
        <v>9</v>
      </c>
      <c r="E65" s="19">
        <v>1669</v>
      </c>
      <c r="F65" s="19">
        <v>67.575659045575236</v>
      </c>
      <c r="G65" s="19">
        <v>42.401409420144333</v>
      </c>
      <c r="H65" s="19">
        <v>70767.952322220895</v>
      </c>
      <c r="I65" s="19">
        <v>32.134518706273113</v>
      </c>
      <c r="J65" s="19">
        <v>54.258194453954786</v>
      </c>
      <c r="K65" s="19">
        <v>25.049914080578159</v>
      </c>
      <c r="L65" s="19">
        <v>63.166657251300002</v>
      </c>
      <c r="M65" s="19">
        <v>35.703513056353131</v>
      </c>
      <c r="N65" s="19">
        <v>21.567847239821251</v>
      </c>
      <c r="O65" s="19">
        <v>7.1476160852983277</v>
      </c>
      <c r="P65" s="19">
        <v>41.60196123342093</v>
      </c>
      <c r="Q65" s="19">
        <v>422.28116561052684</v>
      </c>
      <c r="R65" s="19">
        <v>209.29086668282989</v>
      </c>
      <c r="S65" s="19">
        <v>1011.5400976636023</v>
      </c>
      <c r="T65" s="19">
        <v>1015.2495403393029</v>
      </c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>
        <v>1.4897301319726977</v>
      </c>
      <c r="AQ65" s="19">
        <v>0.98114571667177652</v>
      </c>
      <c r="AR65" s="19"/>
      <c r="AS65" s="19"/>
      <c r="AT65" s="19"/>
      <c r="AU65" s="19">
        <v>0.50872596563769834</v>
      </c>
      <c r="AV65" s="19">
        <v>0.85896890566958295</v>
      </c>
      <c r="AW65" s="19">
        <v>0.39656861975330537</v>
      </c>
      <c r="AX65" s="19">
        <v>0.85821706472027381</v>
      </c>
      <c r="AY65" s="19">
        <v>0.5184334247803376</v>
      </c>
      <c r="AZ65" s="19">
        <v>0.17180959438893692</v>
      </c>
      <c r="BA65" s="19"/>
      <c r="BB65" s="19"/>
      <c r="BC65" s="19"/>
      <c r="BD65" s="19"/>
      <c r="BE65" s="19"/>
      <c r="BF65" s="19"/>
      <c r="BG65" s="19"/>
      <c r="BH65" s="19"/>
      <c r="BI65" s="19"/>
    </row>
    <row r="66" spans="1:61" x14ac:dyDescent="0.55000000000000004">
      <c r="A66" s="19" t="s">
        <v>623</v>
      </c>
      <c r="B66" s="19" t="s">
        <v>624</v>
      </c>
      <c r="C66" s="19" t="s">
        <v>322</v>
      </c>
      <c r="D66" s="19" t="s">
        <v>9</v>
      </c>
      <c r="E66" s="19">
        <v>1791</v>
      </c>
      <c r="F66" s="19">
        <v>69.638934074004837</v>
      </c>
      <c r="G66" s="19">
        <v>36.989939961033102</v>
      </c>
      <c r="H66" s="19">
        <v>66248.982470210278</v>
      </c>
      <c r="I66" s="19">
        <v>47.918618653363097</v>
      </c>
      <c r="J66" s="19">
        <v>20.494719371160862</v>
      </c>
      <c r="K66" s="19">
        <v>23.660536802585941</v>
      </c>
      <c r="L66" s="19">
        <v>54.883726607819874</v>
      </c>
      <c r="M66" s="19">
        <v>30.199086802980666</v>
      </c>
      <c r="N66" s="19">
        <v>11.781684004226825</v>
      </c>
      <c r="O66" s="19">
        <v>17.097447577699416</v>
      </c>
      <c r="P66" s="19">
        <v>35.614543371983686</v>
      </c>
      <c r="Q66" s="19">
        <v>961.20225021776298</v>
      </c>
      <c r="R66" s="19">
        <v>263.60488865353477</v>
      </c>
      <c r="S66" s="19">
        <v>1097.1661873505805</v>
      </c>
      <c r="T66" s="19">
        <v>1430.4572647322577</v>
      </c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>
        <v>1.483747382819137</v>
      </c>
      <c r="AQ66" s="19">
        <v>0.96281700942206661</v>
      </c>
      <c r="AR66" s="19"/>
      <c r="AS66" s="19"/>
      <c r="AT66" s="19"/>
      <c r="AU66" s="19">
        <v>0.87309338514443402</v>
      </c>
      <c r="AV66" s="19">
        <v>0.37342069567558772</v>
      </c>
      <c r="AW66" s="19">
        <v>0.43110295646751456</v>
      </c>
      <c r="AX66" s="19">
        <v>0.84794255221974546</v>
      </c>
      <c r="AY66" s="19">
        <v>0.33081103641202181</v>
      </c>
      <c r="AZ66" s="19">
        <v>0.48006926269197059</v>
      </c>
      <c r="BA66" s="19"/>
      <c r="BB66" s="19"/>
      <c r="BC66" s="19"/>
      <c r="BD66" s="19"/>
      <c r="BE66" s="19"/>
      <c r="BF66" s="19"/>
      <c r="BG66" s="19"/>
      <c r="BH66" s="19"/>
      <c r="BI66" s="19"/>
    </row>
    <row r="67" spans="1:61" x14ac:dyDescent="0.55000000000000004">
      <c r="A67" s="19" t="s">
        <v>631</v>
      </c>
      <c r="B67" s="19" t="s">
        <v>632</v>
      </c>
      <c r="C67" s="19" t="s">
        <v>322</v>
      </c>
      <c r="D67" s="19" t="s">
        <v>9</v>
      </c>
      <c r="E67" s="19">
        <v>1845</v>
      </c>
      <c r="F67" s="19">
        <v>69.787627007713255</v>
      </c>
      <c r="G67" s="19">
        <v>57.211432734584179</v>
      </c>
      <c r="H67" s="19"/>
      <c r="I67" s="19">
        <v>47.947416099003888</v>
      </c>
      <c r="J67" s="19">
        <v>22.254158379411933</v>
      </c>
      <c r="K67" s="19">
        <v>21.384196976467081</v>
      </c>
      <c r="L67" s="19">
        <v>53.709992550685968</v>
      </c>
      <c r="M67" s="19">
        <v>43.969269144276311</v>
      </c>
      <c r="N67" s="19">
        <v>15.984555389439414</v>
      </c>
      <c r="O67" s="19">
        <v>12.640705463624375</v>
      </c>
      <c r="P67" s="19">
        <v>48.241899284181052</v>
      </c>
      <c r="Q67" s="19">
        <v>1102.9602257852862</v>
      </c>
      <c r="R67" s="19">
        <v>173.05851191615724</v>
      </c>
      <c r="S67" s="19">
        <v>926.62757305113655</v>
      </c>
      <c r="T67" s="19">
        <v>1423.5156222991561</v>
      </c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>
        <v>0.9387982433486306</v>
      </c>
      <c r="AQ67" s="19">
        <v>0.84322131046753068</v>
      </c>
      <c r="AR67" s="19"/>
      <c r="AS67" s="19"/>
      <c r="AT67" s="19"/>
      <c r="AU67" s="19">
        <v>0.89270941629262091</v>
      </c>
      <c r="AV67" s="19">
        <v>0.41433925648771497</v>
      </c>
      <c r="AW67" s="19">
        <v>0.39814187194844375</v>
      </c>
      <c r="AX67" s="19">
        <v>0.91143321048087811</v>
      </c>
      <c r="AY67" s="19">
        <v>0.33134175118766296</v>
      </c>
      <c r="AZ67" s="19">
        <v>0.26202752485264141</v>
      </c>
      <c r="BA67" s="19"/>
      <c r="BB67" s="19"/>
      <c r="BC67" s="19"/>
      <c r="BD67" s="19"/>
      <c r="BE67" s="19"/>
      <c r="BF67" s="19"/>
      <c r="BG67" s="19"/>
      <c r="BH67" s="19"/>
      <c r="BI67" s="19"/>
    </row>
    <row r="68" spans="1:61" x14ac:dyDescent="0.55000000000000004">
      <c r="A68" s="19" t="s">
        <v>633</v>
      </c>
      <c r="B68" s="19" t="s">
        <v>634</v>
      </c>
      <c r="C68" s="19" t="s">
        <v>322</v>
      </c>
      <c r="D68" s="19" t="s">
        <v>9</v>
      </c>
      <c r="E68" s="19">
        <v>1643</v>
      </c>
      <c r="F68" s="19">
        <v>69.09030805157326</v>
      </c>
      <c r="G68" s="19">
        <v>43.746587693238801</v>
      </c>
      <c r="H68" s="19">
        <v>71875.643579991345</v>
      </c>
      <c r="I68" s="19">
        <v>34.18043289424579</v>
      </c>
      <c r="J68" s="19">
        <v>26.106318388120073</v>
      </c>
      <c r="K68" s="19">
        <v>26.458321169172557</v>
      </c>
      <c r="L68" s="19">
        <v>45.289297581886245</v>
      </c>
      <c r="M68" s="19">
        <v>34.296715570248594</v>
      </c>
      <c r="N68" s="19">
        <v>12.138071153521434</v>
      </c>
      <c r="O68" s="19">
        <v>19.47605954615009</v>
      </c>
      <c r="P68" s="19">
        <v>37.173147482704756</v>
      </c>
      <c r="Q68" s="19">
        <v>709.90930343680907</v>
      </c>
      <c r="R68" s="19">
        <v>146.64653596183351</v>
      </c>
      <c r="S68" s="19">
        <v>1192.3787788991524</v>
      </c>
      <c r="T68" s="19">
        <v>1307.2298910522554</v>
      </c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>
        <v>1.035264690802064</v>
      </c>
      <c r="AQ68" s="19">
        <v>0.84973821828965201</v>
      </c>
      <c r="AR68" s="19"/>
      <c r="AS68" s="19"/>
      <c r="AT68" s="19"/>
      <c r="AU68" s="19">
        <v>0.75471324836613229</v>
      </c>
      <c r="AV68" s="19">
        <v>0.57643460556918569</v>
      </c>
      <c r="AW68" s="19">
        <v>0.58420692264732177</v>
      </c>
      <c r="AX68" s="19">
        <v>0.92262070587930556</v>
      </c>
      <c r="AY68" s="19">
        <v>0.32652793684389558</v>
      </c>
      <c r="AZ68" s="19">
        <v>0.52392818109393491</v>
      </c>
      <c r="BA68" s="19"/>
      <c r="BB68" s="19"/>
      <c r="BC68" s="19"/>
      <c r="BD68" s="19"/>
      <c r="BE68" s="19"/>
      <c r="BF68" s="19"/>
      <c r="BG68" s="19"/>
      <c r="BH68" s="19"/>
      <c r="BI68" s="19"/>
    </row>
    <row r="69" spans="1:61" x14ac:dyDescent="0.55000000000000004">
      <c r="A69" s="19" t="s">
        <v>637</v>
      </c>
      <c r="B69" s="19" t="s">
        <v>638</v>
      </c>
      <c r="C69" s="19" t="s">
        <v>322</v>
      </c>
      <c r="D69" s="19" t="s">
        <v>9</v>
      </c>
      <c r="E69" s="19">
        <v>1933</v>
      </c>
      <c r="F69" s="19">
        <v>61.759759170475533</v>
      </c>
      <c r="G69" s="19">
        <v>41.180229022778299</v>
      </c>
      <c r="H69" s="19">
        <v>79601.382701030452</v>
      </c>
      <c r="I69" s="19">
        <v>44.980805117136313</v>
      </c>
      <c r="J69" s="19">
        <v>20.21048340360624</v>
      </c>
      <c r="K69" s="19">
        <v>17.79391111866061</v>
      </c>
      <c r="L69" s="19">
        <v>48.38785238680498</v>
      </c>
      <c r="M69" s="19">
        <v>38.767967787897199</v>
      </c>
      <c r="N69" s="19">
        <v>22.927188555749158</v>
      </c>
      <c r="O69" s="19">
        <v>23.973794829560408</v>
      </c>
      <c r="P69" s="19">
        <v>48.307182173332102</v>
      </c>
      <c r="Q69" s="19">
        <v>554.5011571124428</v>
      </c>
      <c r="R69" s="19">
        <v>26.054730849589699</v>
      </c>
      <c r="S69" s="19">
        <v>1604.6048655072225</v>
      </c>
      <c r="T69" s="19">
        <v>1687.1393826160413</v>
      </c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>
        <v>1.1750263059498742</v>
      </c>
      <c r="AQ69" s="19">
        <v>1.1730673510002001</v>
      </c>
      <c r="AR69" s="19"/>
      <c r="AS69" s="19"/>
      <c r="AT69" s="19"/>
      <c r="AU69" s="19">
        <v>0.92958878930122257</v>
      </c>
      <c r="AV69" s="19">
        <v>0.41767680123611961</v>
      </c>
      <c r="AW69" s="19">
        <v>0.36773508723674792</v>
      </c>
      <c r="AX69" s="19">
        <v>0.80253010098566646</v>
      </c>
      <c r="AY69" s="19">
        <v>0.47461241836635371</v>
      </c>
      <c r="AZ69" s="19">
        <v>0.49627806365396121</v>
      </c>
      <c r="BA69" s="19"/>
      <c r="BB69" s="19"/>
      <c r="BC69" s="19"/>
      <c r="BD69" s="19"/>
      <c r="BE69" s="19"/>
      <c r="BF69" s="19"/>
      <c r="BG69" s="19"/>
      <c r="BH69" s="19"/>
      <c r="BI69" s="19"/>
    </row>
    <row r="70" spans="1:61" x14ac:dyDescent="0.55000000000000004">
      <c r="A70" s="19" t="s">
        <v>647</v>
      </c>
      <c r="B70" s="19" t="s">
        <v>648</v>
      </c>
      <c r="C70" s="19" t="s">
        <v>322</v>
      </c>
      <c r="D70" s="19" t="s">
        <v>9</v>
      </c>
      <c r="E70" s="19">
        <v>1720</v>
      </c>
      <c r="F70" s="19">
        <v>62.567083889105277</v>
      </c>
      <c r="G70" s="19">
        <v>34.554341365121225</v>
      </c>
      <c r="H70" s="19">
        <v>59433.467148008509</v>
      </c>
      <c r="I70" s="19">
        <v>55.798316370813829</v>
      </c>
      <c r="J70" s="19">
        <v>11.160382339852539</v>
      </c>
      <c r="K70" s="19">
        <v>25.906475046017462</v>
      </c>
      <c r="L70" s="19">
        <v>61.305315970810383</v>
      </c>
      <c r="M70" s="19">
        <v>37.090668532721743</v>
      </c>
      <c r="N70" s="19">
        <v>9.6297062258214083</v>
      </c>
      <c r="O70" s="19">
        <v>6.879454610801031</v>
      </c>
      <c r="P70" s="19">
        <v>38.732322920762044</v>
      </c>
      <c r="Q70" s="19">
        <v>590.77549502121087</v>
      </c>
      <c r="R70" s="19">
        <v>121.89171290017904</v>
      </c>
      <c r="S70" s="19">
        <v>1013.4160507604913</v>
      </c>
      <c r="T70" s="19">
        <v>1029.9473518993179</v>
      </c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>
        <v>1.7741711619684148</v>
      </c>
      <c r="AQ70" s="19">
        <v>1.1209104671246326</v>
      </c>
      <c r="AR70" s="19"/>
      <c r="AS70" s="19"/>
      <c r="AT70" s="19"/>
      <c r="AU70" s="19">
        <v>0.9101709286904478</v>
      </c>
      <c r="AV70" s="19">
        <v>0.18204591499318573</v>
      </c>
      <c r="AW70" s="19">
        <v>0.42258121723656794</v>
      </c>
      <c r="AX70" s="19">
        <v>0.95761539034468002</v>
      </c>
      <c r="AY70" s="19">
        <v>0.24862196479983151</v>
      </c>
      <c r="AZ70" s="19">
        <v>0.17761533757928508</v>
      </c>
      <c r="BA70" s="19"/>
      <c r="BB70" s="19"/>
      <c r="BC70" s="19"/>
      <c r="BD70" s="19"/>
      <c r="BE70" s="19"/>
      <c r="BF70" s="19"/>
      <c r="BG70" s="19"/>
      <c r="BH70" s="19"/>
      <c r="BI70" s="19"/>
    </row>
    <row r="71" spans="1:61" x14ac:dyDescent="0.55000000000000004">
      <c r="A71" s="19" t="s">
        <v>657</v>
      </c>
      <c r="B71" s="19" t="s">
        <v>658</v>
      </c>
      <c r="C71" s="19" t="s">
        <v>322</v>
      </c>
      <c r="D71" s="19" t="s">
        <v>9</v>
      </c>
      <c r="E71" s="19">
        <v>1777</v>
      </c>
      <c r="F71" s="19">
        <v>67.20294047706065</v>
      </c>
      <c r="G71" s="19">
        <v>42.839185003503928</v>
      </c>
      <c r="H71" s="19">
        <v>76125.231751226485</v>
      </c>
      <c r="I71" s="19">
        <v>45.898894936518403</v>
      </c>
      <c r="J71" s="19">
        <v>19.287987833769613</v>
      </c>
      <c r="K71" s="19">
        <v>31.649573756851677</v>
      </c>
      <c r="L71" s="19">
        <v>49.131319822442357</v>
      </c>
      <c r="M71" s="19">
        <v>38.476549562024914</v>
      </c>
      <c r="N71" s="19">
        <v>16.417534044297543</v>
      </c>
      <c r="O71" s="19">
        <v>12.830692653733159</v>
      </c>
      <c r="P71" s="19">
        <v>41.836695881982386</v>
      </c>
      <c r="Q71" s="19">
        <v>369.86156648222345</v>
      </c>
      <c r="R71" s="19">
        <v>195.01219360539062</v>
      </c>
      <c r="S71" s="19">
        <v>1223.2896918664476</v>
      </c>
      <c r="T71" s="19">
        <v>1224.1651710452948</v>
      </c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>
        <v>1.1468780234363418</v>
      </c>
      <c r="AQ71" s="19">
        <v>0.9765987816659083</v>
      </c>
      <c r="AR71" s="19"/>
      <c r="AS71" s="19"/>
      <c r="AT71" s="19"/>
      <c r="AU71" s="19">
        <v>0.93420846625725207</v>
      </c>
      <c r="AV71" s="19">
        <v>0.39258029101345626</v>
      </c>
      <c r="AW71" s="19">
        <v>0.64418325970544532</v>
      </c>
      <c r="AX71" s="19">
        <v>0.91968423296533386</v>
      </c>
      <c r="AY71" s="19">
        <v>0.3924194704718067</v>
      </c>
      <c r="AZ71" s="19">
        <v>0.30668513330802716</v>
      </c>
      <c r="BA71" s="19"/>
      <c r="BB71" s="19"/>
      <c r="BC71" s="19"/>
      <c r="BD71" s="19"/>
      <c r="BE71" s="19"/>
      <c r="BF71" s="19"/>
      <c r="BG71" s="19"/>
      <c r="BH71" s="19"/>
      <c r="BI71" s="19"/>
    </row>
    <row r="72" spans="1:61" x14ac:dyDescent="0.55000000000000004">
      <c r="A72" s="19" t="s">
        <v>659</v>
      </c>
      <c r="B72" s="19" t="s">
        <v>660</v>
      </c>
      <c r="C72" s="19" t="s">
        <v>322</v>
      </c>
      <c r="D72" s="19" t="s">
        <v>9</v>
      </c>
      <c r="E72" s="19">
        <v>1657</v>
      </c>
      <c r="F72" s="19">
        <v>69.096231138307772</v>
      </c>
      <c r="G72" s="19">
        <v>49.242288162920133</v>
      </c>
      <c r="H72" s="19">
        <v>81594.471485958653</v>
      </c>
      <c r="I72" s="19">
        <v>59.644030879171154</v>
      </c>
      <c r="J72" s="19">
        <v>6.1698759542017463</v>
      </c>
      <c r="K72" s="19">
        <v>39.222626269597349</v>
      </c>
      <c r="L72" s="19">
        <v>68.023179230645582</v>
      </c>
      <c r="M72" s="19">
        <v>41.059488129207793</v>
      </c>
      <c r="N72" s="19">
        <v>7.0299605650977561</v>
      </c>
      <c r="O72" s="19">
        <v>22.133699447584295</v>
      </c>
      <c r="P72" s="19">
        <v>42.921285627263146</v>
      </c>
      <c r="Q72" s="19">
        <v>922.60593016150483</v>
      </c>
      <c r="R72" s="19">
        <v>81.174625563154379</v>
      </c>
      <c r="S72" s="19">
        <v>1572.6013449827201</v>
      </c>
      <c r="T72" s="19">
        <v>1637.421615328657</v>
      </c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>
        <v>1.3813976110449639</v>
      </c>
      <c r="AQ72" s="19">
        <v>0.87163467069719236</v>
      </c>
      <c r="AR72" s="19"/>
      <c r="AS72" s="19"/>
      <c r="AT72" s="19"/>
      <c r="AU72" s="19">
        <v>0.87681921888620751</v>
      </c>
      <c r="AV72" s="19">
        <v>9.0702552041585754E-2</v>
      </c>
      <c r="AW72" s="19">
        <v>0.57660677894230061</v>
      </c>
      <c r="AX72" s="19">
        <v>0.95662297923171347</v>
      </c>
      <c r="AY72" s="19">
        <v>0.163787278557947</v>
      </c>
      <c r="AZ72" s="19">
        <v>0.51568118531671392</v>
      </c>
      <c r="BA72" s="19"/>
      <c r="BB72" s="19"/>
      <c r="BC72" s="19"/>
      <c r="BD72" s="19"/>
      <c r="BE72" s="19"/>
      <c r="BF72" s="19"/>
      <c r="BG72" s="19"/>
      <c r="BH72" s="19"/>
      <c r="BI72" s="19"/>
    </row>
    <row r="73" spans="1:61" x14ac:dyDescent="0.55000000000000004">
      <c r="A73" s="19" t="s">
        <v>669</v>
      </c>
      <c r="B73" s="19" t="s">
        <v>670</v>
      </c>
      <c r="C73" s="19" t="s">
        <v>322</v>
      </c>
      <c r="D73" s="19" t="s">
        <v>9</v>
      </c>
      <c r="E73" s="19">
        <v>1834</v>
      </c>
      <c r="F73" s="19">
        <v>67.139267121286608</v>
      </c>
      <c r="G73" s="19">
        <v>44.004017986448154</v>
      </c>
      <c r="H73" s="19">
        <v>80703.368987145921</v>
      </c>
      <c r="I73" s="19">
        <v>34.426545052793173</v>
      </c>
      <c r="J73" s="19">
        <v>31.875421547394332</v>
      </c>
      <c r="K73" s="19">
        <v>33.05370220698785</v>
      </c>
      <c r="L73" s="19">
        <v>50.339302779990561</v>
      </c>
      <c r="M73" s="19">
        <v>39.867019552328159</v>
      </c>
      <c r="N73" s="19">
        <v>18.200588919381904</v>
      </c>
      <c r="O73" s="19">
        <v>17.934905187167821</v>
      </c>
      <c r="P73" s="19">
        <v>42.568718226054237</v>
      </c>
      <c r="Q73" s="19">
        <v>382.34091405039158</v>
      </c>
      <c r="R73" s="19">
        <v>103.92670084693262</v>
      </c>
      <c r="S73" s="19">
        <v>1560.8068681327536</v>
      </c>
      <c r="T73" s="19">
        <v>1605.7519307554583</v>
      </c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>
        <v>1.1439705982188597</v>
      </c>
      <c r="AQ73" s="19">
        <v>0.96738252945819758</v>
      </c>
      <c r="AR73" s="19"/>
      <c r="AS73" s="19"/>
      <c r="AT73" s="19"/>
      <c r="AU73" s="19">
        <v>0.68388998558949898</v>
      </c>
      <c r="AV73" s="19">
        <v>0.63321142302480471</v>
      </c>
      <c r="AW73" s="19">
        <v>0.6566181965501201</v>
      </c>
      <c r="AX73" s="19">
        <v>0.9365332388121449</v>
      </c>
      <c r="AY73" s="19">
        <v>0.42755783302496081</v>
      </c>
      <c r="AZ73" s="19">
        <v>0.4213165426294358</v>
      </c>
      <c r="BA73" s="19"/>
      <c r="BB73" s="19"/>
      <c r="BC73" s="19"/>
      <c r="BD73" s="19"/>
      <c r="BE73" s="19"/>
      <c r="BF73" s="19"/>
      <c r="BG73" s="19"/>
      <c r="BH73" s="19"/>
      <c r="BI73" s="19"/>
    </row>
    <row r="74" spans="1:61" x14ac:dyDescent="0.55000000000000004">
      <c r="A74" s="19" t="s">
        <v>678</v>
      </c>
      <c r="B74" s="19" t="s">
        <v>679</v>
      </c>
      <c r="C74" s="19" t="s">
        <v>322</v>
      </c>
      <c r="D74" s="19" t="s">
        <v>9</v>
      </c>
      <c r="E74" s="19">
        <v>1443</v>
      </c>
      <c r="F74" s="19">
        <v>67.386814713478913</v>
      </c>
      <c r="G74" s="19">
        <v>41.359575909734133</v>
      </c>
      <c r="H74" s="19">
        <v>59681.868037746353</v>
      </c>
      <c r="I74" s="19">
        <v>38.190953690070209</v>
      </c>
      <c r="J74" s="19">
        <v>23.638425813645746</v>
      </c>
      <c r="K74" s="19">
        <v>30.772257804822011</v>
      </c>
      <c r="L74" s="19">
        <v>50.929104954634859</v>
      </c>
      <c r="M74" s="19">
        <v>37.968957021385343</v>
      </c>
      <c r="N74" s="19">
        <v>17.077764644046745</v>
      </c>
      <c r="O74" s="19">
        <v>16.264173037921424</v>
      </c>
      <c r="P74" s="19">
        <v>41.522727716166735</v>
      </c>
      <c r="Q74" s="19">
        <v>475.97054414192877</v>
      </c>
      <c r="R74" s="19">
        <v>203.59816929431642</v>
      </c>
      <c r="S74" s="19">
        <v>1497.1823619901411</v>
      </c>
      <c r="T74" s="19">
        <v>1528.9856272452291</v>
      </c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>
        <v>1.2313739644184432</v>
      </c>
      <c r="AQ74" s="19">
        <v>1.0039447166186779</v>
      </c>
      <c r="AR74" s="19"/>
      <c r="AS74" s="19"/>
      <c r="AT74" s="19"/>
      <c r="AU74" s="19">
        <v>0.74988464305604485</v>
      </c>
      <c r="AV74" s="19">
        <v>0.46414375109677841</v>
      </c>
      <c r="AW74" s="19">
        <v>0.60421752615194058</v>
      </c>
      <c r="AX74" s="19">
        <v>0.91441384296634864</v>
      </c>
      <c r="AY74" s="19">
        <v>0.41128715725960302</v>
      </c>
      <c r="AZ74" s="19">
        <v>0.39169327095023726</v>
      </c>
      <c r="BA74" s="19"/>
      <c r="BB74" s="19"/>
      <c r="BC74" s="19"/>
      <c r="BD74" s="19"/>
      <c r="BE74" s="19"/>
      <c r="BF74" s="19"/>
      <c r="BG74" s="19"/>
      <c r="BH74" s="19"/>
      <c r="BI74" s="19"/>
    </row>
    <row r="75" spans="1:61" x14ac:dyDescent="0.55000000000000004">
      <c r="A75" s="19" t="s">
        <v>680</v>
      </c>
      <c r="B75" s="19" t="s">
        <v>681</v>
      </c>
      <c r="C75" s="19" t="s">
        <v>322</v>
      </c>
      <c r="D75" s="19" t="s">
        <v>9</v>
      </c>
      <c r="E75" s="19">
        <v>1965</v>
      </c>
      <c r="F75" s="19">
        <v>69.093427788851841</v>
      </c>
      <c r="G75" s="19">
        <v>37.245527073020497</v>
      </c>
      <c r="H75" s="19">
        <v>73187.460698485273</v>
      </c>
      <c r="I75" s="19">
        <v>37.4929267123321</v>
      </c>
      <c r="J75" s="19">
        <v>28.079840833351092</v>
      </c>
      <c r="K75" s="19">
        <v>23.894452017714226</v>
      </c>
      <c r="L75" s="19">
        <v>43.95987779993964</v>
      </c>
      <c r="M75" s="19">
        <v>39.032768092053253</v>
      </c>
      <c r="N75" s="19">
        <v>19.213367410545853</v>
      </c>
      <c r="O75" s="19">
        <v>11.917237772333978</v>
      </c>
      <c r="P75" s="19">
        <v>43.155290115071907</v>
      </c>
      <c r="Q75" s="19">
        <v>757.18388822060433</v>
      </c>
      <c r="R75" s="19">
        <v>111.63617963565696</v>
      </c>
      <c r="S75" s="19">
        <v>1575.7042994828284</v>
      </c>
      <c r="T75" s="19">
        <v>1748.1909163445346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>
        <v>1.1802726731120101</v>
      </c>
      <c r="AQ75" s="19">
        <v>1.1586704097505511</v>
      </c>
      <c r="AR75" s="19"/>
      <c r="AS75" s="19"/>
      <c r="AT75" s="19"/>
      <c r="AU75" s="19">
        <v>0.85288969371028556</v>
      </c>
      <c r="AV75" s="19">
        <v>0.63876066628623906</v>
      </c>
      <c r="AW75" s="19">
        <v>0.5435513748800056</v>
      </c>
      <c r="AX75" s="19">
        <v>0.90447238306066047</v>
      </c>
      <c r="AY75" s="19">
        <v>0.44521465060978976</v>
      </c>
      <c r="AZ75" s="19">
        <v>0.27614778490787867</v>
      </c>
      <c r="BA75" s="19"/>
      <c r="BB75" s="19"/>
      <c r="BC75" s="19"/>
      <c r="BD75" s="19"/>
      <c r="BE75" s="19"/>
      <c r="BF75" s="19"/>
      <c r="BG75" s="19"/>
      <c r="BH75" s="19"/>
      <c r="BI75" s="19"/>
    </row>
    <row r="76" spans="1:61" x14ac:dyDescent="0.55000000000000004">
      <c r="A76" s="19" t="s">
        <v>688</v>
      </c>
      <c r="B76" s="19" t="s">
        <v>689</v>
      </c>
      <c r="C76" s="19" t="s">
        <v>322</v>
      </c>
      <c r="D76" s="19" t="s">
        <v>9</v>
      </c>
      <c r="E76" s="19">
        <v>1693</v>
      </c>
      <c r="F76" s="19">
        <v>72.568553719100493</v>
      </c>
      <c r="G76" s="19">
        <v>61.326152981968626</v>
      </c>
      <c r="H76" s="19">
        <v>103825.17699847289</v>
      </c>
      <c r="I76" s="19">
        <v>39.03617707911225</v>
      </c>
      <c r="J76" s="19">
        <v>29.868990631685726</v>
      </c>
      <c r="K76" s="19">
        <v>27.833451937676642</v>
      </c>
      <c r="L76" s="19">
        <v>48.956552394622264</v>
      </c>
      <c r="M76" s="19">
        <v>38.783672247431248</v>
      </c>
      <c r="N76" s="19">
        <v>16.340653406127501</v>
      </c>
      <c r="O76" s="19">
        <v>14.490765194731553</v>
      </c>
      <c r="P76" s="19">
        <v>43.746890885113153</v>
      </c>
      <c r="Q76" s="19">
        <v>449.32227871092635</v>
      </c>
      <c r="R76" s="19">
        <v>120.20399021153018</v>
      </c>
      <c r="S76" s="19">
        <v>1165.6900187182225</v>
      </c>
      <c r="T76" s="19">
        <v>1182.6295364432228</v>
      </c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>
        <v>0.79829811612374701</v>
      </c>
      <c r="AQ76" s="19">
        <v>0.71334803763046739</v>
      </c>
      <c r="AR76" s="19"/>
      <c r="AS76" s="19"/>
      <c r="AT76" s="19"/>
      <c r="AU76" s="19">
        <v>0.79736368616104314</v>
      </c>
      <c r="AV76" s="19">
        <v>0.61011221523365988</v>
      </c>
      <c r="AW76" s="19">
        <v>0.56853374219084241</v>
      </c>
      <c r="AX76" s="19">
        <v>0.88654693997074741</v>
      </c>
      <c r="AY76" s="19">
        <v>0.37352719417342967</v>
      </c>
      <c r="AZ76" s="19">
        <v>0.33124102996911919</v>
      </c>
      <c r="BA76" s="19"/>
      <c r="BB76" s="19"/>
      <c r="BC76" s="19"/>
      <c r="BD76" s="19"/>
      <c r="BE76" s="19"/>
      <c r="BF76" s="19"/>
      <c r="BG76" s="19"/>
      <c r="BH76" s="19"/>
      <c r="BI76" s="19"/>
    </row>
    <row r="77" spans="1:61" x14ac:dyDescent="0.55000000000000004">
      <c r="A77" s="19" t="s">
        <v>692</v>
      </c>
      <c r="B77" s="19" t="s">
        <v>693</v>
      </c>
      <c r="C77" s="19" t="s">
        <v>322</v>
      </c>
      <c r="D77" s="19" t="s">
        <v>9</v>
      </c>
      <c r="E77" s="19">
        <v>1524</v>
      </c>
      <c r="F77" s="19">
        <v>70.323296715093534</v>
      </c>
      <c r="G77" s="19">
        <v>43.980689527433128</v>
      </c>
      <c r="H77" s="19">
        <v>67026.57083980809</v>
      </c>
      <c r="I77" s="19">
        <v>42.834831400990161</v>
      </c>
      <c r="J77" s="19">
        <v>24.797319946069308</v>
      </c>
      <c r="K77" s="19">
        <v>36.334569900207882</v>
      </c>
      <c r="L77" s="19">
        <v>55.467659885963307</v>
      </c>
      <c r="M77" s="19">
        <v>42.480174974415661</v>
      </c>
      <c r="N77" s="19">
        <v>14.481616872293687</v>
      </c>
      <c r="O77" s="19">
        <v>8.4645159644093706</v>
      </c>
      <c r="P77" s="19">
        <v>44.416524840458003</v>
      </c>
      <c r="Q77" s="19">
        <v>616.96990938605495</v>
      </c>
      <c r="R77" s="19">
        <v>284.04150896441206</v>
      </c>
      <c r="S77" s="19">
        <v>1171.7614476942601</v>
      </c>
      <c r="T77" s="19">
        <v>1251.333155120401</v>
      </c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>
        <v>1.2611821342947598</v>
      </c>
      <c r="AQ77" s="19">
        <v>1.0099096971354444</v>
      </c>
      <c r="AR77" s="19"/>
      <c r="AS77" s="19"/>
      <c r="AT77" s="19"/>
      <c r="AU77" s="19">
        <v>0.77224875700642237</v>
      </c>
      <c r="AV77" s="19">
        <v>0.44705906102854248</v>
      </c>
      <c r="AW77" s="19">
        <v>0.65505864092533561</v>
      </c>
      <c r="AX77" s="19">
        <v>0.95640474186133162</v>
      </c>
      <c r="AY77" s="19">
        <v>0.32604119580068341</v>
      </c>
      <c r="AZ77" s="19">
        <v>0.19057132440715477</v>
      </c>
      <c r="BA77" s="19"/>
      <c r="BB77" s="19"/>
      <c r="BC77" s="19"/>
      <c r="BD77" s="19"/>
      <c r="BE77" s="19"/>
      <c r="BF77" s="19"/>
      <c r="BG77" s="19"/>
      <c r="BH77" s="19"/>
      <c r="BI77" s="19"/>
    </row>
    <row r="78" spans="1:61" x14ac:dyDescent="0.55000000000000004">
      <c r="A78" s="19" t="s">
        <v>694</v>
      </c>
      <c r="B78" s="19" t="s">
        <v>695</v>
      </c>
      <c r="C78" s="19" t="s">
        <v>322</v>
      </c>
      <c r="D78" s="19" t="s">
        <v>9</v>
      </c>
      <c r="E78" s="19">
        <v>2097</v>
      </c>
      <c r="F78" s="19">
        <v>71.277298512053562</v>
      </c>
      <c r="G78" s="19">
        <v>40.796479013772412</v>
      </c>
      <c r="H78" s="19">
        <v>85550.216491880754</v>
      </c>
      <c r="I78" s="19">
        <v>34.904196656505171</v>
      </c>
      <c r="J78" s="19">
        <v>14.89166848760604</v>
      </c>
      <c r="K78" s="19">
        <v>30.429296039501445</v>
      </c>
      <c r="L78" s="19">
        <v>47.108715915642463</v>
      </c>
      <c r="M78" s="19">
        <v>40.046045877108568</v>
      </c>
      <c r="N78" s="19">
        <v>15.00094425878375</v>
      </c>
      <c r="O78" s="19">
        <v>13.033486854169716</v>
      </c>
      <c r="P78" s="19">
        <v>42.935815012270297</v>
      </c>
      <c r="Q78" s="19">
        <v>570.43450662048531</v>
      </c>
      <c r="R78" s="19">
        <v>97.184464984696973</v>
      </c>
      <c r="S78" s="19">
        <v>1263.9651310055929</v>
      </c>
      <c r="T78" s="19">
        <v>1271.3437140270307</v>
      </c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>
        <v>1.1547250413384722</v>
      </c>
      <c r="AQ78" s="19">
        <v>1.0524392312820836</v>
      </c>
      <c r="AR78" s="19"/>
      <c r="AS78" s="19"/>
      <c r="AT78" s="19"/>
      <c r="AU78" s="19">
        <v>0.74092863662444308</v>
      </c>
      <c r="AV78" s="19">
        <v>0.31611280838714723</v>
      </c>
      <c r="AW78" s="19">
        <v>0.64593770914900672</v>
      </c>
      <c r="AX78" s="19">
        <v>0.93269560309182709</v>
      </c>
      <c r="AY78" s="19">
        <v>0.34938068031308467</v>
      </c>
      <c r="AZ78" s="19">
        <v>0.30355745781103671</v>
      </c>
      <c r="BA78" s="19"/>
      <c r="BB78" s="19"/>
      <c r="BC78" s="19"/>
      <c r="BD78" s="19"/>
      <c r="BE78" s="19"/>
      <c r="BF78" s="19"/>
      <c r="BG78" s="19"/>
      <c r="BH78" s="19"/>
      <c r="BI78" s="19"/>
    </row>
    <row r="79" spans="1:61" x14ac:dyDescent="0.55000000000000004">
      <c r="A79" s="19" t="s">
        <v>698</v>
      </c>
      <c r="B79" s="19" t="s">
        <v>699</v>
      </c>
      <c r="C79" s="19" t="s">
        <v>322</v>
      </c>
      <c r="D79" s="19" t="s">
        <v>9</v>
      </c>
      <c r="E79" s="19">
        <v>1869</v>
      </c>
      <c r="F79" s="19">
        <v>69.873679761550449</v>
      </c>
      <c r="G79" s="19">
        <v>36.343789440363054</v>
      </c>
      <c r="H79" s="19">
        <v>67926.542464038546</v>
      </c>
      <c r="I79" s="19">
        <v>34.335899618979354</v>
      </c>
      <c r="J79" s="19">
        <v>16.598330753499638</v>
      </c>
      <c r="K79" s="19">
        <v>38.500110189826842</v>
      </c>
      <c r="L79" s="19">
        <v>53.386303777214614</v>
      </c>
      <c r="M79" s="19">
        <v>33.702133948114451</v>
      </c>
      <c r="N79" s="19">
        <v>18.077965731930032</v>
      </c>
      <c r="O79" s="19">
        <v>16.192110308548894</v>
      </c>
      <c r="P79" s="19">
        <v>40.475868514559735</v>
      </c>
      <c r="Q79" s="19">
        <v>370.11924348918188</v>
      </c>
      <c r="R79" s="19">
        <v>93.003060710025977</v>
      </c>
      <c r="S79" s="19">
        <v>1054.1956245092447</v>
      </c>
      <c r="T79" s="19">
        <v>1074.6434456059458</v>
      </c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>
        <v>1.4689250790652093</v>
      </c>
      <c r="AQ79" s="19">
        <v>1.113694227757319</v>
      </c>
      <c r="AR79" s="19"/>
      <c r="AS79" s="19"/>
      <c r="AT79" s="19"/>
      <c r="AU79" s="19">
        <v>0.6431593346912694</v>
      </c>
      <c r="AV79" s="19">
        <v>0.31090990720702116</v>
      </c>
      <c r="AW79" s="19">
        <v>0.72116081215307448</v>
      </c>
      <c r="AX79" s="19">
        <v>0.83264757953226676</v>
      </c>
      <c r="AY79" s="19">
        <v>0.44663564724811611</v>
      </c>
      <c r="AZ79" s="19">
        <v>0.40004355441377043</v>
      </c>
      <c r="BA79" s="19"/>
      <c r="BB79" s="19"/>
      <c r="BC79" s="19"/>
      <c r="BD79" s="19"/>
      <c r="BE79" s="19"/>
      <c r="BF79" s="19"/>
      <c r="BG79" s="19"/>
      <c r="BH79" s="19"/>
      <c r="BI79" s="19"/>
    </row>
    <row r="80" spans="1:61" x14ac:dyDescent="0.55000000000000004">
      <c r="A80" s="19" t="s">
        <v>700</v>
      </c>
      <c r="B80" s="19" t="s">
        <v>701</v>
      </c>
      <c r="C80" s="19" t="s">
        <v>322</v>
      </c>
      <c r="D80" s="19" t="s">
        <v>9</v>
      </c>
      <c r="E80" s="19">
        <v>1937</v>
      </c>
      <c r="F80" s="19">
        <v>72.020988790514878</v>
      </c>
      <c r="G80" s="19">
        <v>42.38670549873428</v>
      </c>
      <c r="H80" s="19">
        <v>82103.048551048298</v>
      </c>
      <c r="I80" s="19">
        <v>41.246330332852992</v>
      </c>
      <c r="J80" s="19">
        <v>19.200098844269487</v>
      </c>
      <c r="K80" s="19">
        <v>27.095918808128985</v>
      </c>
      <c r="L80" s="19">
        <v>48.289399212182346</v>
      </c>
      <c r="M80" s="19">
        <v>40.522209380865178</v>
      </c>
      <c r="N80" s="19">
        <v>19.646254890076076</v>
      </c>
      <c r="O80" s="19">
        <v>12.302183848598958</v>
      </c>
      <c r="P80" s="19">
        <v>42.946251237722393</v>
      </c>
      <c r="Q80" s="19">
        <v>443.03353915446257</v>
      </c>
      <c r="R80" s="19">
        <v>56.362756313950655</v>
      </c>
      <c r="S80" s="19">
        <v>951.44331745137379</v>
      </c>
      <c r="T80" s="19">
        <v>1045.7175782155302</v>
      </c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>
        <v>1.1392581387016343</v>
      </c>
      <c r="AQ80" s="19">
        <v>1.0132009726258349</v>
      </c>
      <c r="AR80" s="19"/>
      <c r="AS80" s="19"/>
      <c r="AT80" s="19"/>
      <c r="AU80" s="19">
        <v>0.85414875740362195</v>
      </c>
      <c r="AV80" s="19">
        <v>0.39760483993401446</v>
      </c>
      <c r="AW80" s="19">
        <v>0.56111526028870706</v>
      </c>
      <c r="AX80" s="19">
        <v>0.94355638066197434</v>
      </c>
      <c r="AY80" s="19">
        <v>0.45746146226657231</v>
      </c>
      <c r="AZ80" s="19">
        <v>0.28645535975892528</v>
      </c>
      <c r="BA80" s="19"/>
      <c r="BB80" s="19"/>
      <c r="BC80" s="19"/>
      <c r="BD80" s="19"/>
      <c r="BE80" s="19"/>
      <c r="BF80" s="19"/>
      <c r="BG80" s="19"/>
      <c r="BH80" s="19"/>
      <c r="BI80" s="19"/>
    </row>
    <row r="81" spans="1:61" x14ac:dyDescent="0.55000000000000004">
      <c r="A81" s="19" t="s">
        <v>702</v>
      </c>
      <c r="B81" s="19" t="s">
        <v>703</v>
      </c>
      <c r="C81" s="19" t="s">
        <v>322</v>
      </c>
      <c r="D81" s="19" t="s">
        <v>9</v>
      </c>
      <c r="E81" s="19">
        <v>2769</v>
      </c>
      <c r="F81" s="19">
        <v>69.509369035129652</v>
      </c>
      <c r="G81" s="19">
        <v>35.492994958420034</v>
      </c>
      <c r="H81" s="19">
        <v>98280.103039865076</v>
      </c>
      <c r="I81" s="19">
        <v>41.303319189881591</v>
      </c>
      <c r="J81" s="19">
        <v>15.2304732163248</v>
      </c>
      <c r="K81" s="19">
        <v>31.23438164637281</v>
      </c>
      <c r="L81" s="19">
        <v>46.073987823763296</v>
      </c>
      <c r="M81" s="19">
        <v>32.308466281711318</v>
      </c>
      <c r="N81" s="19">
        <v>9.14004985305227</v>
      </c>
      <c r="O81" s="19">
        <v>19.6228069436421</v>
      </c>
      <c r="P81" s="19">
        <v>33.859690511573369</v>
      </c>
      <c r="Q81" s="19">
        <v>292.17672844866047</v>
      </c>
      <c r="R81" s="19">
        <v>43.402576087156859</v>
      </c>
      <c r="S81" s="19">
        <v>1070.1077088585262</v>
      </c>
      <c r="T81" s="19">
        <v>1072.8037868660599</v>
      </c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>
        <v>1.2981149626211841</v>
      </c>
      <c r="AQ81" s="19">
        <v>0.95398234359314904</v>
      </c>
      <c r="AR81" s="19"/>
      <c r="AS81" s="19"/>
      <c r="AT81" s="19"/>
      <c r="AU81" s="19">
        <v>0.89645635511017852</v>
      </c>
      <c r="AV81" s="19">
        <v>0.33056555196790394</v>
      </c>
      <c r="AW81" s="19">
        <v>0.67791791250730948</v>
      </c>
      <c r="AX81" s="19">
        <v>0.95418669791645505</v>
      </c>
      <c r="AY81" s="19">
        <v>0.26993896621495012</v>
      </c>
      <c r="AZ81" s="19">
        <v>0.57953296817450095</v>
      </c>
      <c r="BA81" s="19"/>
      <c r="BB81" s="19"/>
      <c r="BC81" s="19"/>
      <c r="BD81" s="19"/>
      <c r="BE81" s="19"/>
      <c r="BF81" s="19"/>
      <c r="BG81" s="19"/>
      <c r="BH81" s="19"/>
      <c r="BI81" s="19"/>
    </row>
    <row r="82" spans="1:61" x14ac:dyDescent="0.55000000000000004">
      <c r="A82" s="19" t="s">
        <v>706</v>
      </c>
      <c r="B82" s="19" t="s">
        <v>707</v>
      </c>
      <c r="C82" s="19" t="s">
        <v>322</v>
      </c>
      <c r="D82" s="19" t="s">
        <v>9</v>
      </c>
      <c r="E82" s="19">
        <v>2231</v>
      </c>
      <c r="F82" s="19">
        <v>69.183693597943346</v>
      </c>
      <c r="G82" s="19">
        <v>30.198812125381512</v>
      </c>
      <c r="H82" s="19">
        <v>67373.549851726159</v>
      </c>
      <c r="I82" s="19">
        <v>29.327993519106684</v>
      </c>
      <c r="J82" s="19">
        <v>6.6816117651578981</v>
      </c>
      <c r="K82" s="19">
        <v>31.231760214649746</v>
      </c>
      <c r="L82" s="19">
        <v>38.401944720274081</v>
      </c>
      <c r="M82" s="19">
        <v>25.883211008649369</v>
      </c>
      <c r="N82" s="19">
        <v>8.897032756990253</v>
      </c>
      <c r="O82" s="19">
        <v>23.053608491629046</v>
      </c>
      <c r="P82" s="19">
        <v>32.439606200414715</v>
      </c>
      <c r="Q82" s="19">
        <v>416.12127041361401</v>
      </c>
      <c r="R82" s="19">
        <v>87.95796315736429</v>
      </c>
      <c r="S82" s="19">
        <v>930.55040042161363</v>
      </c>
      <c r="T82" s="19">
        <v>973.24079530503252</v>
      </c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>
        <v>1.2716375915991078</v>
      </c>
      <c r="AQ82" s="19">
        <v>1.0742013979135907</v>
      </c>
      <c r="AR82" s="19"/>
      <c r="AS82" s="19"/>
      <c r="AT82" s="19"/>
      <c r="AU82" s="19">
        <v>0.76371115402452894</v>
      </c>
      <c r="AV82" s="19">
        <v>0.17399149480131354</v>
      </c>
      <c r="AW82" s="19">
        <v>0.81328590106951337</v>
      </c>
      <c r="AX82" s="19">
        <v>0.79788918671640574</v>
      </c>
      <c r="AY82" s="19">
        <v>0.27426451178302252</v>
      </c>
      <c r="AZ82" s="19">
        <v>0.7106624029034706</v>
      </c>
      <c r="BA82" s="19"/>
      <c r="BB82" s="19"/>
      <c r="BC82" s="19"/>
      <c r="BD82" s="19"/>
      <c r="BE82" s="19"/>
      <c r="BF82" s="19"/>
      <c r="BG82" s="19"/>
      <c r="BH82" s="19"/>
      <c r="BI82" s="19"/>
    </row>
    <row r="83" spans="1:61" x14ac:dyDescent="0.55000000000000004">
      <c r="A83" s="19" t="s">
        <v>708</v>
      </c>
      <c r="B83" s="19" t="s">
        <v>709</v>
      </c>
      <c r="C83" s="19" t="s">
        <v>322</v>
      </c>
      <c r="D83" s="19" t="s">
        <v>9</v>
      </c>
      <c r="E83" s="19">
        <v>2300</v>
      </c>
      <c r="F83" s="19">
        <v>70.062221185943699</v>
      </c>
      <c r="G83" s="19">
        <v>37.807745630653805</v>
      </c>
      <c r="H83" s="19">
        <v>86957.814950503758</v>
      </c>
      <c r="I83" s="19">
        <v>37.327061950928908</v>
      </c>
      <c r="J83" s="19">
        <v>12.496414243846607</v>
      </c>
      <c r="K83" s="19">
        <v>38.787758158255421</v>
      </c>
      <c r="L83" s="19">
        <v>52.782343508636693</v>
      </c>
      <c r="M83" s="19">
        <v>33.60140396695094</v>
      </c>
      <c r="N83" s="19">
        <v>15.409982827576769</v>
      </c>
      <c r="O83" s="19">
        <v>18.195653750078264</v>
      </c>
      <c r="P83" s="19">
        <v>40.437771303486755</v>
      </c>
      <c r="Q83" s="19">
        <v>385.35096817146871</v>
      </c>
      <c r="R83" s="19">
        <v>157.51632626027171</v>
      </c>
      <c r="S83" s="19">
        <v>1148.8976401044306</v>
      </c>
      <c r="T83" s="19">
        <v>1157.9233021167308</v>
      </c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>
        <v>1.3960722235139502</v>
      </c>
      <c r="AQ83" s="19">
        <v>1.0695631445081606</v>
      </c>
      <c r="AR83" s="19"/>
      <c r="AS83" s="19"/>
      <c r="AT83" s="19"/>
      <c r="AU83" s="19">
        <v>0.70718841699063895</v>
      </c>
      <c r="AV83" s="19">
        <v>0.23675368339417968</v>
      </c>
      <c r="AW83" s="19">
        <v>0.73486237214739514</v>
      </c>
      <c r="AX83" s="19">
        <v>0.83094104555791015</v>
      </c>
      <c r="AY83" s="19">
        <v>0.38107893513528129</v>
      </c>
      <c r="AZ83" s="19">
        <v>0.44996678015510072</v>
      </c>
      <c r="BA83" s="19"/>
      <c r="BB83" s="19"/>
      <c r="BC83" s="19"/>
      <c r="BD83" s="19"/>
      <c r="BE83" s="19"/>
      <c r="BF83" s="19"/>
      <c r="BG83" s="19"/>
      <c r="BH83" s="19"/>
      <c r="BI83" s="19"/>
    </row>
    <row r="84" spans="1:61" x14ac:dyDescent="0.55000000000000004">
      <c r="A84" s="19" t="s">
        <v>722</v>
      </c>
      <c r="B84" s="19" t="s">
        <v>723</v>
      </c>
      <c r="C84" s="19" t="s">
        <v>322</v>
      </c>
      <c r="D84" s="19" t="s">
        <v>9</v>
      </c>
      <c r="E84" s="19">
        <v>1700</v>
      </c>
      <c r="F84" s="19">
        <v>68.755033016406557</v>
      </c>
      <c r="G84" s="19">
        <v>39.630569310933566</v>
      </c>
      <c r="H84" s="19">
        <v>67371.967828587061</v>
      </c>
      <c r="I84" s="19">
        <v>44.407390169832922</v>
      </c>
      <c r="J84" s="19">
        <v>27.778528392859428</v>
      </c>
      <c r="K84" s="19">
        <v>21.761140294482267</v>
      </c>
      <c r="L84" s="19">
        <v>51.097337269673496</v>
      </c>
      <c r="M84" s="19">
        <v>34.384344417756658</v>
      </c>
      <c r="N84" s="19">
        <v>14.345545438771358</v>
      </c>
      <c r="O84" s="19">
        <v>11.657564665736839</v>
      </c>
      <c r="P84" s="19">
        <v>38.616103389473032</v>
      </c>
      <c r="Q84" s="19">
        <v>620.77827077944892</v>
      </c>
      <c r="R84" s="19">
        <v>121.43989470259362</v>
      </c>
      <c r="S84" s="19">
        <v>523.16292428226109</v>
      </c>
      <c r="T84" s="19">
        <v>673.32781659000489</v>
      </c>
      <c r="U84" s="19">
        <v>52.085528458583596</v>
      </c>
      <c r="V84" s="19">
        <v>15.659501447755174</v>
      </c>
      <c r="W84" s="19">
        <v>70.197987762529777</v>
      </c>
      <c r="X84" s="19">
        <v>77.031871962405503</v>
      </c>
      <c r="Y84" s="19">
        <v>54.209122835776839</v>
      </c>
      <c r="Z84" s="19">
        <v>20.013140187409746</v>
      </c>
      <c r="AA84" s="19">
        <v>10.337108271505503</v>
      </c>
      <c r="AB84" s="19">
        <v>55.449707475761151</v>
      </c>
      <c r="AC84" s="19">
        <v>61.671393792608711</v>
      </c>
      <c r="AD84" s="19">
        <v>16.482069881803834</v>
      </c>
      <c r="AE84" s="19">
        <v>26.774286843049961</v>
      </c>
      <c r="AF84" s="19">
        <v>65.220046097036416</v>
      </c>
      <c r="AG84" s="19">
        <v>1400.1863230408785</v>
      </c>
      <c r="AH84" s="19">
        <v>1092.3936535956354</v>
      </c>
      <c r="AI84" s="19">
        <v>2541.5990997663675</v>
      </c>
      <c r="AJ84" s="19">
        <v>2743.5549771618771</v>
      </c>
      <c r="AK84" s="19">
        <v>1358.7130443617536</v>
      </c>
      <c r="AL84" s="19">
        <v>1428.2943695009567</v>
      </c>
      <c r="AM84" s="19">
        <v>1474.7638997999948</v>
      </c>
      <c r="AN84" s="19">
        <v>1936.4768347500856</v>
      </c>
      <c r="AO84" s="19"/>
      <c r="AP84" s="19">
        <v>1.2893414896156032</v>
      </c>
      <c r="AQ84" s="19">
        <v>0.97440193418617749</v>
      </c>
      <c r="AR84" s="19">
        <v>1.9437488106221426</v>
      </c>
      <c r="AS84" s="19">
        <v>1.3991650496038492</v>
      </c>
      <c r="AT84" s="19">
        <v>1.6457004587880861</v>
      </c>
      <c r="AU84" s="19">
        <v>0.86907444776361986</v>
      </c>
      <c r="AV84" s="19">
        <v>0.54363945123508639</v>
      </c>
      <c r="AW84" s="19">
        <v>0.42587620915811603</v>
      </c>
      <c r="AX84" s="19">
        <v>0.89041465605589876</v>
      </c>
      <c r="AY84" s="19">
        <v>0.37149127383686348</v>
      </c>
      <c r="AZ84" s="19">
        <v>0.3018835056494788</v>
      </c>
      <c r="BA84" s="19">
        <v>0.67615555914314696</v>
      </c>
      <c r="BB84" s="19">
        <v>0.20328600420612405</v>
      </c>
      <c r="BC84" s="19">
        <v>0.91128497820732013</v>
      </c>
      <c r="BD84" s="19">
        <v>0.97762684969029612</v>
      </c>
      <c r="BE84" s="19">
        <v>0.36092417973815522</v>
      </c>
      <c r="BF84" s="19">
        <v>0.18642313444167735</v>
      </c>
      <c r="BG84" s="19">
        <v>0.94558954620872382</v>
      </c>
      <c r="BH84" s="19">
        <v>0.25271478430544647</v>
      </c>
      <c r="BI84" s="19">
        <v>0.41052235386669833</v>
      </c>
    </row>
    <row r="85" spans="1:61" x14ac:dyDescent="0.55000000000000004">
      <c r="A85" s="19" t="s">
        <v>724</v>
      </c>
      <c r="B85" s="19" t="s">
        <v>725</v>
      </c>
      <c r="C85" s="19" t="s">
        <v>322</v>
      </c>
      <c r="D85" s="19" t="s">
        <v>9</v>
      </c>
      <c r="E85" s="19">
        <v>1737</v>
      </c>
      <c r="F85" s="19">
        <v>71.151519972171783</v>
      </c>
      <c r="G85" s="19">
        <v>32.569267436720381</v>
      </c>
      <c r="H85" s="19">
        <v>56572.817537583302</v>
      </c>
      <c r="I85" s="19">
        <v>38.952005959946391</v>
      </c>
      <c r="J85" s="19">
        <v>11.440786839235026</v>
      </c>
      <c r="K85" s="19">
        <v>21.269810181106934</v>
      </c>
      <c r="L85" s="19">
        <v>43.657471123524317</v>
      </c>
      <c r="M85" s="19">
        <v>36.579394126782248</v>
      </c>
      <c r="N85" s="19">
        <v>17.455052371827033</v>
      </c>
      <c r="O85" s="19">
        <v>9.6342196805826443</v>
      </c>
      <c r="P85" s="19">
        <v>37.626391021958931</v>
      </c>
      <c r="Q85" s="19">
        <v>537.46610316731801</v>
      </c>
      <c r="R85" s="19">
        <v>48.101019220204094</v>
      </c>
      <c r="S85" s="19">
        <v>928.88928363144487</v>
      </c>
      <c r="T85" s="19">
        <v>986.04923916522569</v>
      </c>
      <c r="U85" s="19">
        <v>63.091209949401922</v>
      </c>
      <c r="V85" s="19">
        <v>14.376122242122047</v>
      </c>
      <c r="W85" s="19">
        <v>80.600081750094716</v>
      </c>
      <c r="X85" s="19">
        <v>91.863319779342717</v>
      </c>
      <c r="Y85" s="19">
        <v>50.716980210535709</v>
      </c>
      <c r="Z85" s="19">
        <v>26.421907570853428</v>
      </c>
      <c r="AA85" s="19">
        <v>12.105918806249084</v>
      </c>
      <c r="AB85" s="19">
        <v>53.277298483206842</v>
      </c>
      <c r="AC85" s="19">
        <v>46.618497202198256</v>
      </c>
      <c r="AD85" s="19">
        <v>23.227721747804722</v>
      </c>
      <c r="AE85" s="19">
        <v>28.066585906185548</v>
      </c>
      <c r="AF85" s="19">
        <v>57.702194529704101</v>
      </c>
      <c r="AG85" s="19">
        <v>1685.9252042817507</v>
      </c>
      <c r="AH85" s="19">
        <v>444.00529935697364</v>
      </c>
      <c r="AI85" s="19">
        <v>2965.0054979148626</v>
      </c>
      <c r="AJ85" s="19">
        <v>3329.3467100302405</v>
      </c>
      <c r="AK85" s="19">
        <v>1678.4806417782131</v>
      </c>
      <c r="AL85" s="19">
        <v>1560.6021057323915</v>
      </c>
      <c r="AM85" s="19">
        <v>880.13486083556154</v>
      </c>
      <c r="AN85" s="19">
        <v>1702.6516254652738</v>
      </c>
      <c r="AO85" s="19"/>
      <c r="AP85" s="19">
        <v>1.3404498952378181</v>
      </c>
      <c r="AQ85" s="19">
        <v>1.1552728686656573</v>
      </c>
      <c r="AR85" s="19">
        <v>2.8205522263534539</v>
      </c>
      <c r="AS85" s="19">
        <v>1.6358150697347</v>
      </c>
      <c r="AT85" s="19">
        <v>1.7716761558059324</v>
      </c>
      <c r="AU85" s="19">
        <v>0.89221855864568289</v>
      </c>
      <c r="AV85" s="19">
        <v>0.26205793750317097</v>
      </c>
      <c r="AW85" s="19">
        <v>0.48719748610555563</v>
      </c>
      <c r="AX85" s="19">
        <v>0.97217386874639</v>
      </c>
      <c r="AY85" s="19">
        <v>0.46390450685637608</v>
      </c>
      <c r="AZ85" s="19">
        <v>0.25604952850673535</v>
      </c>
      <c r="BA85" s="19">
        <v>0.68679436037090869</v>
      </c>
      <c r="BB85" s="19">
        <v>0.15649469534362292</v>
      </c>
      <c r="BC85" s="19">
        <v>0.87739134557402787</v>
      </c>
      <c r="BD85" s="19">
        <v>0.9519435417041997</v>
      </c>
      <c r="BE85" s="19">
        <v>0.49593181942552306</v>
      </c>
      <c r="BF85" s="19">
        <v>0.22722471204250164</v>
      </c>
      <c r="BG85" s="19">
        <v>0.80791549753276459</v>
      </c>
      <c r="BH85" s="19">
        <v>0.40254485877218221</v>
      </c>
      <c r="BI85" s="19">
        <v>0.48640413306529184</v>
      </c>
    </row>
    <row r="86" spans="1:61" x14ac:dyDescent="0.55000000000000004">
      <c r="A86" s="19" t="s">
        <v>726</v>
      </c>
      <c r="B86" s="19" t="s">
        <v>727</v>
      </c>
      <c r="C86" s="19" t="s">
        <v>322</v>
      </c>
      <c r="D86" s="19" t="s">
        <v>9</v>
      </c>
      <c r="E86" s="19">
        <v>1961</v>
      </c>
      <c r="F86" s="19">
        <v>68.695438818889784</v>
      </c>
      <c r="G86" s="19">
        <v>46.092086420174674</v>
      </c>
      <c r="H86" s="19">
        <v>90386.581469962533</v>
      </c>
      <c r="I86" s="19">
        <v>46.938238394341091</v>
      </c>
      <c r="J86" s="19">
        <v>13.699282969622605</v>
      </c>
      <c r="K86" s="19">
        <v>30.438244974304808</v>
      </c>
      <c r="L86" s="19">
        <v>54.370176176814709</v>
      </c>
      <c r="M86" s="19">
        <v>43.990285564503928</v>
      </c>
      <c r="N86" s="19">
        <v>13.402465226092627</v>
      </c>
      <c r="O86" s="19">
        <v>16.778955485461541</v>
      </c>
      <c r="P86" s="19">
        <v>48.23952018565668</v>
      </c>
      <c r="Q86" s="19">
        <v>544.950133823584</v>
      </c>
      <c r="R86" s="19">
        <v>64.161510752960652</v>
      </c>
      <c r="S86" s="19">
        <v>1236.9523146403749</v>
      </c>
      <c r="T86" s="19">
        <v>1322.8622709543938</v>
      </c>
      <c r="U86" s="19">
        <v>24.108826759663529</v>
      </c>
      <c r="V86" s="19">
        <v>13.829089640839985</v>
      </c>
      <c r="W86" s="19">
        <v>65.850637630600986</v>
      </c>
      <c r="X86" s="19">
        <v>70.61746530958294</v>
      </c>
      <c r="Y86" s="19">
        <v>36.597600850250458</v>
      </c>
      <c r="Z86" s="19">
        <v>43.180831902157614</v>
      </c>
      <c r="AA86" s="19">
        <v>24.404388472292311</v>
      </c>
      <c r="AB86" s="19">
        <v>56.598342963341864</v>
      </c>
      <c r="AC86" s="19">
        <v>39.542585710007231</v>
      </c>
      <c r="AD86" s="19">
        <v>29.762252366925637</v>
      </c>
      <c r="AE86" s="19">
        <v>45.322910617666295</v>
      </c>
      <c r="AF86" s="19">
        <v>52.40948727966186</v>
      </c>
      <c r="AG86" s="19">
        <v>803.37442312464998</v>
      </c>
      <c r="AH86" s="19">
        <v>192.59060242575612</v>
      </c>
      <c r="AI86" s="19">
        <v>2360.1278046477391</v>
      </c>
      <c r="AJ86" s="19">
        <v>2475.2854544742777</v>
      </c>
      <c r="AK86" s="19">
        <v>1398.3628443075568</v>
      </c>
      <c r="AL86" s="19">
        <v>3203.1735037768026</v>
      </c>
      <c r="AM86" s="19">
        <v>1603.8551305347278</v>
      </c>
      <c r="AN86" s="19">
        <v>3221.72844042098</v>
      </c>
      <c r="AO86" s="19"/>
      <c r="AP86" s="19">
        <v>1.179598937682645</v>
      </c>
      <c r="AQ86" s="19">
        <v>1.0465900750490233</v>
      </c>
      <c r="AR86" s="19">
        <v>1.5320952205512097</v>
      </c>
      <c r="AS86" s="19">
        <v>1.2279405719973779</v>
      </c>
      <c r="AT86" s="19">
        <v>1.1370604229519548</v>
      </c>
      <c r="AU86" s="19">
        <v>0.86330855801709083</v>
      </c>
      <c r="AV86" s="19">
        <v>0.25196318888266622</v>
      </c>
      <c r="AW86" s="19">
        <v>0.55983348068098981</v>
      </c>
      <c r="AX86" s="19">
        <v>0.91191382905968044</v>
      </c>
      <c r="AY86" s="19">
        <v>0.2778316445626185</v>
      </c>
      <c r="AZ86" s="19">
        <v>0.34782591992800377</v>
      </c>
      <c r="BA86" s="19">
        <v>0.34140034131743202</v>
      </c>
      <c r="BB86" s="19">
        <v>0.19583101121251018</v>
      </c>
      <c r="BC86" s="19">
        <v>0.93249789328908295</v>
      </c>
      <c r="BD86" s="19">
        <v>0.64661965234484564</v>
      </c>
      <c r="BE86" s="19">
        <v>0.7629345602949078</v>
      </c>
      <c r="BF86" s="19">
        <v>0.43118556470988506</v>
      </c>
      <c r="BG86" s="19">
        <v>0.75449289360539518</v>
      </c>
      <c r="BH86" s="19">
        <v>0.56787909807458159</v>
      </c>
      <c r="BI86" s="19">
        <v>0.86478446880846327</v>
      </c>
    </row>
    <row r="87" spans="1:61" x14ac:dyDescent="0.55000000000000004">
      <c r="A87" s="19" t="s">
        <v>710</v>
      </c>
      <c r="B87" s="19" t="s">
        <v>711</v>
      </c>
      <c r="C87" s="19" t="s">
        <v>322</v>
      </c>
      <c r="D87" s="19" t="s">
        <v>9</v>
      </c>
      <c r="E87" s="19">
        <v>2220</v>
      </c>
      <c r="F87" s="19">
        <v>69.311039060437793</v>
      </c>
      <c r="G87" s="19">
        <v>27.998060630667581</v>
      </c>
      <c r="H87" s="19">
        <v>62155.694600082032</v>
      </c>
      <c r="I87" s="19">
        <v>46.599623058940409</v>
      </c>
      <c r="J87" s="19">
        <v>13.615098984476688</v>
      </c>
      <c r="K87" s="19">
        <v>25.878142486905318</v>
      </c>
      <c r="L87" s="19">
        <v>49.955233209342012</v>
      </c>
      <c r="M87" s="19">
        <v>34.371154384825374</v>
      </c>
      <c r="N87" s="19">
        <v>8.3861086498088788</v>
      </c>
      <c r="O87" s="19">
        <v>15.01253726308453</v>
      </c>
      <c r="P87" s="19">
        <v>35.931449485817765</v>
      </c>
      <c r="Q87" s="19">
        <v>581.56115229582338</v>
      </c>
      <c r="R87" s="19">
        <v>53.996766377368303</v>
      </c>
      <c r="S87" s="19">
        <v>930.91882758029476</v>
      </c>
      <c r="T87" s="19">
        <v>1026.4619172538426</v>
      </c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>
        <v>1.7842390538515984</v>
      </c>
      <c r="AQ87" s="19">
        <v>1.2833549423226969</v>
      </c>
      <c r="AR87" s="19"/>
      <c r="AS87" s="19"/>
      <c r="AT87" s="19"/>
      <c r="AU87" s="19">
        <v>0.93282765518600208</v>
      </c>
      <c r="AV87" s="19">
        <v>0.27254599988396333</v>
      </c>
      <c r="AW87" s="19">
        <v>0.51802665755678845</v>
      </c>
      <c r="AX87" s="19">
        <v>0.95657578184792558</v>
      </c>
      <c r="AY87" s="19">
        <v>0.23339188287182505</v>
      </c>
      <c r="AZ87" s="19">
        <v>0.41781051078971965</v>
      </c>
      <c r="BA87" s="19"/>
      <c r="BB87" s="19"/>
      <c r="BC87" s="19"/>
      <c r="BD87" s="19"/>
      <c r="BE87" s="19"/>
      <c r="BF87" s="19"/>
      <c r="BG87" s="19"/>
      <c r="BH87" s="19"/>
      <c r="BI87" s="19"/>
    </row>
    <row r="88" spans="1:61" x14ac:dyDescent="0.55000000000000004">
      <c r="A88" s="19" t="s">
        <v>728</v>
      </c>
      <c r="B88" s="19" t="s">
        <v>729</v>
      </c>
      <c r="C88" s="19" t="s">
        <v>322</v>
      </c>
      <c r="D88" s="19" t="s">
        <v>9</v>
      </c>
      <c r="E88" s="19">
        <v>1765</v>
      </c>
      <c r="F88" s="19">
        <v>67.397455712348219</v>
      </c>
      <c r="G88" s="19">
        <v>74.648794215863049</v>
      </c>
      <c r="H88" s="19">
        <v>131755.1217909983</v>
      </c>
      <c r="I88" s="19">
        <v>41.122696873448639</v>
      </c>
      <c r="J88" s="19">
        <v>24.278438655773908</v>
      </c>
      <c r="K88" s="19">
        <v>27.942533544143572</v>
      </c>
      <c r="L88" s="19">
        <v>49.077735772615696</v>
      </c>
      <c r="M88" s="19">
        <v>34.446715784436812</v>
      </c>
      <c r="N88" s="19">
        <v>14.387673582554834</v>
      </c>
      <c r="O88" s="19">
        <v>18.246061103755558</v>
      </c>
      <c r="P88" s="19">
        <v>38.077324293491607</v>
      </c>
      <c r="Q88" s="19">
        <v>307.33594512163688</v>
      </c>
      <c r="R88" s="19">
        <v>57.082116580898131</v>
      </c>
      <c r="S88" s="19">
        <v>1656.9812128254507</v>
      </c>
      <c r="T88" s="19">
        <v>1673.2150023367453</v>
      </c>
      <c r="U88" s="19">
        <v>61.526320478485189</v>
      </c>
      <c r="V88" s="19">
        <v>7.4586219934740328</v>
      </c>
      <c r="W88" s="19">
        <v>87.906614948570265</v>
      </c>
      <c r="X88" s="19">
        <v>97.652281917249582</v>
      </c>
      <c r="Y88" s="19">
        <v>59.854459698055834</v>
      </c>
      <c r="Z88" s="19">
        <v>18.043902026258497</v>
      </c>
      <c r="AA88" s="19">
        <v>20.154309300463879</v>
      </c>
      <c r="AB88" s="19">
        <v>62.263841621359717</v>
      </c>
      <c r="AC88" s="19">
        <v>74.323299349364873</v>
      </c>
      <c r="AD88" s="19">
        <v>21.61311888836633</v>
      </c>
      <c r="AE88" s="19">
        <v>37.572911810627438</v>
      </c>
      <c r="AF88" s="19">
        <v>85.27287055563373</v>
      </c>
      <c r="AG88" s="19">
        <v>1444.7645920788766</v>
      </c>
      <c r="AH88" s="19">
        <v>48.691275696761551</v>
      </c>
      <c r="AI88" s="19">
        <v>3278.127143745663</v>
      </c>
      <c r="AJ88" s="19">
        <v>3571.0608946483881</v>
      </c>
      <c r="AK88" s="19">
        <v>1598.5503245372622</v>
      </c>
      <c r="AL88" s="19">
        <v>2587.9689275835908</v>
      </c>
      <c r="AM88" s="19">
        <v>1887.1310964173431</v>
      </c>
      <c r="AN88" s="19">
        <v>2806.3965714560463</v>
      </c>
      <c r="AO88" s="19"/>
      <c r="AP88" s="19">
        <v>0.65744847305499488</v>
      </c>
      <c r="AQ88" s="19">
        <v>0.51008626051457484</v>
      </c>
      <c r="AR88" s="19">
        <v>1.3081561858168398</v>
      </c>
      <c r="AS88" s="19">
        <v>0.83409038652801848</v>
      </c>
      <c r="AT88" s="19">
        <v>1.142320803053414</v>
      </c>
      <c r="AU88" s="19">
        <v>0.83790941505484462</v>
      </c>
      <c r="AV88" s="19">
        <v>0.49469353615373479</v>
      </c>
      <c r="AW88" s="19">
        <v>0.56935254050034834</v>
      </c>
      <c r="AX88" s="19">
        <v>0.90465169030599768</v>
      </c>
      <c r="AY88" s="19">
        <v>0.37785411263821544</v>
      </c>
      <c r="AZ88" s="19">
        <v>0.47918443436621094</v>
      </c>
      <c r="BA88" s="19">
        <v>0.63005512283494325</v>
      </c>
      <c r="BB88" s="19">
        <v>7.6379392749822875E-2</v>
      </c>
      <c r="BC88" s="19">
        <v>0.90020031506342291</v>
      </c>
      <c r="BD88" s="19">
        <v>0.9613036738408165</v>
      </c>
      <c r="BE88" s="19">
        <v>0.28979744192443957</v>
      </c>
      <c r="BF88" s="19">
        <v>0.32369203016779341</v>
      </c>
      <c r="BG88" s="19">
        <v>0.87159373039840216</v>
      </c>
      <c r="BH88" s="19">
        <v>0.2534583244065356</v>
      </c>
      <c r="BI88" s="19">
        <v>0.44061976060855274</v>
      </c>
    </row>
    <row r="89" spans="1:61" x14ac:dyDescent="0.55000000000000004">
      <c r="A89" s="19" t="s">
        <v>730</v>
      </c>
      <c r="B89" s="19" t="s">
        <v>731</v>
      </c>
      <c r="C89" s="19" t="s">
        <v>322</v>
      </c>
      <c r="D89" s="19" t="s">
        <v>9</v>
      </c>
      <c r="E89" s="19">
        <v>1911</v>
      </c>
      <c r="F89" s="19">
        <v>66.235402069832432</v>
      </c>
      <c r="G89" s="19">
        <v>43.51681399888318</v>
      </c>
      <c r="H89" s="19">
        <v>83160.63155186575</v>
      </c>
      <c r="I89" s="19">
        <v>35.828558021438511</v>
      </c>
      <c r="J89" s="19">
        <v>18.313210865068697</v>
      </c>
      <c r="K89" s="19">
        <v>36.699755441903179</v>
      </c>
      <c r="L89" s="19">
        <v>49.846052650480743</v>
      </c>
      <c r="M89" s="19">
        <v>30.627751660386068</v>
      </c>
      <c r="N89" s="19">
        <v>16.000851798211322</v>
      </c>
      <c r="O89" s="19">
        <v>20.471401733333938</v>
      </c>
      <c r="P89" s="19">
        <v>40.086303141390793</v>
      </c>
      <c r="Q89" s="19">
        <v>386.54847057210191</v>
      </c>
      <c r="R89" s="19">
        <v>141.76426300020952</v>
      </c>
      <c r="S89" s="19">
        <v>1229.6400247103029</v>
      </c>
      <c r="T89" s="19">
        <v>1242.5264097841123</v>
      </c>
      <c r="U89" s="19">
        <v>48.512797114602684</v>
      </c>
      <c r="V89" s="19">
        <v>12.046736449783872</v>
      </c>
      <c r="W89" s="19">
        <v>50.590225460633192</v>
      </c>
      <c r="X89" s="19">
        <v>57.0189546915093</v>
      </c>
      <c r="Y89" s="19">
        <v>30.525798781159175</v>
      </c>
      <c r="Z89" s="19">
        <v>29.865467331717046</v>
      </c>
      <c r="AA89" s="19">
        <v>12.580660141303408</v>
      </c>
      <c r="AB89" s="19">
        <v>42.626885955479608</v>
      </c>
      <c r="AC89" s="19">
        <v>31.936683515516361</v>
      </c>
      <c r="AD89" s="19">
        <v>16.790850186547054</v>
      </c>
      <c r="AE89" s="19">
        <v>27.234275270419612</v>
      </c>
      <c r="AF89" s="19">
        <v>41.59360773569982</v>
      </c>
      <c r="AG89" s="19">
        <v>754.85000194277632</v>
      </c>
      <c r="AH89" s="19">
        <v>368.9798141067867</v>
      </c>
      <c r="AI89" s="19">
        <v>1815.1075303795276</v>
      </c>
      <c r="AJ89" s="19">
        <v>1939.9589341043556</v>
      </c>
      <c r="AK89" s="19">
        <v>1537.7004593187821</v>
      </c>
      <c r="AL89" s="19">
        <v>2206.8764920483486</v>
      </c>
      <c r="AM89" s="19">
        <v>935.72277649119326</v>
      </c>
      <c r="AN89" s="19">
        <v>2248.4892850717897</v>
      </c>
      <c r="AO89" s="19"/>
      <c r="AP89" s="19">
        <v>1.1454435210206335</v>
      </c>
      <c r="AQ89" s="19">
        <v>0.92116815220938675</v>
      </c>
      <c r="AR89" s="19">
        <v>1.3102741090598371</v>
      </c>
      <c r="AS89" s="19">
        <v>0.97954978865349818</v>
      </c>
      <c r="AT89" s="19">
        <v>0.95580544423052849</v>
      </c>
      <c r="AU89" s="19">
        <v>0.71878425905993903</v>
      </c>
      <c r="AV89" s="19">
        <v>0.3673954082880036</v>
      </c>
      <c r="AW89" s="19">
        <v>0.73626202057043377</v>
      </c>
      <c r="AX89" s="19">
        <v>0.76404530376266167</v>
      </c>
      <c r="AY89" s="19">
        <v>0.39916007574392087</v>
      </c>
      <c r="AZ89" s="19">
        <v>0.51068320421386915</v>
      </c>
      <c r="BA89" s="19">
        <v>0.85081877381078563</v>
      </c>
      <c r="BB89" s="19">
        <v>0.21127599611323203</v>
      </c>
      <c r="BC89" s="19">
        <v>0.88725276944031017</v>
      </c>
      <c r="BD89" s="19">
        <v>0.71611608722816256</v>
      </c>
      <c r="BE89" s="19">
        <v>0.70062512572251112</v>
      </c>
      <c r="BF89" s="19">
        <v>0.29513439368859612</v>
      </c>
      <c r="BG89" s="19">
        <v>0.76782672276117769</v>
      </c>
      <c r="BH89" s="19">
        <v>0.403688237222458</v>
      </c>
      <c r="BI89" s="19">
        <v>0.65477069081084827</v>
      </c>
    </row>
    <row r="90" spans="1:61" x14ac:dyDescent="0.55000000000000004">
      <c r="A90" s="19" t="s">
        <v>732</v>
      </c>
      <c r="B90" s="19" t="s">
        <v>733</v>
      </c>
      <c r="C90" s="19" t="s">
        <v>322</v>
      </c>
      <c r="D90" s="19" t="s">
        <v>9</v>
      </c>
      <c r="E90" s="19">
        <v>1794</v>
      </c>
      <c r="F90" s="19">
        <v>65.526584751138628</v>
      </c>
      <c r="G90" s="19">
        <v>41.285092830448882</v>
      </c>
      <c r="H90" s="19">
        <v>74065.456537825288</v>
      </c>
      <c r="I90" s="19">
        <v>33.332119589438349</v>
      </c>
      <c r="J90" s="19">
        <v>11.473569538016978</v>
      </c>
      <c r="K90" s="19">
        <v>26.265130274706824</v>
      </c>
      <c r="L90" s="19">
        <v>37.661597158887403</v>
      </c>
      <c r="M90" s="19">
        <v>35.323400095973867</v>
      </c>
      <c r="N90" s="19">
        <v>12.379628287297585</v>
      </c>
      <c r="O90" s="19">
        <v>6.7074971825527943</v>
      </c>
      <c r="P90" s="19">
        <v>37.859961569364216</v>
      </c>
      <c r="Q90" s="19">
        <v>711.57931877202032</v>
      </c>
      <c r="R90" s="19">
        <v>167.69563716069496</v>
      </c>
      <c r="S90" s="19">
        <v>1123.7705541269638</v>
      </c>
      <c r="T90" s="19">
        <v>1156.7770486159557</v>
      </c>
      <c r="U90" s="19">
        <v>65.578351879139575</v>
      </c>
      <c r="V90" s="19">
        <v>26.296033803250019</v>
      </c>
      <c r="W90" s="19">
        <v>52.247354257657157</v>
      </c>
      <c r="X90" s="19">
        <v>70.587106773008045</v>
      </c>
      <c r="Y90" s="19">
        <v>40.012029476576323</v>
      </c>
      <c r="Z90" s="19">
        <v>36.601621191475417</v>
      </c>
      <c r="AA90" s="19">
        <v>28.990122866743938</v>
      </c>
      <c r="AB90" s="19">
        <v>46.08196612201904</v>
      </c>
      <c r="AC90" s="19">
        <v>37.619328817458829</v>
      </c>
      <c r="AD90" s="19">
        <v>25.105335836738352</v>
      </c>
      <c r="AE90" s="19">
        <v>42.497473903441673</v>
      </c>
      <c r="AF90" s="19">
        <v>48.094069995456401</v>
      </c>
      <c r="AG90" s="19">
        <v>1576.2365444407994</v>
      </c>
      <c r="AH90" s="19">
        <v>276.14642166193835</v>
      </c>
      <c r="AI90" s="19">
        <v>3729.3547981357078</v>
      </c>
      <c r="AJ90" s="19">
        <v>4043.8070443984448</v>
      </c>
      <c r="AK90" s="19">
        <v>2247.0129432977324</v>
      </c>
      <c r="AL90" s="19">
        <v>3196.05748525425</v>
      </c>
      <c r="AM90" s="19">
        <v>1392.4745382090423</v>
      </c>
      <c r="AN90" s="19">
        <v>3337.7782040379334</v>
      </c>
      <c r="AO90" s="19"/>
      <c r="AP90" s="19">
        <v>0.91223234772796602</v>
      </c>
      <c r="AQ90" s="19">
        <v>0.91703709435385994</v>
      </c>
      <c r="AR90" s="19">
        <v>1.7097480454482139</v>
      </c>
      <c r="AS90" s="19">
        <v>1.1161889912969345</v>
      </c>
      <c r="AT90" s="19">
        <v>1.164925804889694</v>
      </c>
      <c r="AU90" s="19">
        <v>0.88504264566412894</v>
      </c>
      <c r="AV90" s="19">
        <v>0.30464904315162428</v>
      </c>
      <c r="AW90" s="19">
        <v>0.69739820549561493</v>
      </c>
      <c r="AX90" s="19">
        <v>0.93300147786090459</v>
      </c>
      <c r="AY90" s="19">
        <v>0.32698470294579002</v>
      </c>
      <c r="AZ90" s="19">
        <v>0.17716597969239389</v>
      </c>
      <c r="BA90" s="19">
        <v>0.92904150456292989</v>
      </c>
      <c r="BB90" s="19">
        <v>0.37253310137518508</v>
      </c>
      <c r="BC90" s="19">
        <v>0.74018268556710609</v>
      </c>
      <c r="BD90" s="19">
        <v>0.86827956451835597</v>
      </c>
      <c r="BE90" s="19">
        <v>0.79427212577169759</v>
      </c>
      <c r="BF90" s="19">
        <v>0.62909908813312942</v>
      </c>
      <c r="BG90" s="19">
        <v>0.78220306206176449</v>
      </c>
      <c r="BH90" s="19">
        <v>0.52200480930622284</v>
      </c>
      <c r="BI90" s="19">
        <v>0.88363230451189811</v>
      </c>
    </row>
    <row r="91" spans="1:61" x14ac:dyDescent="0.55000000000000004">
      <c r="A91" s="19" t="s">
        <v>734</v>
      </c>
      <c r="B91" s="19" t="s">
        <v>735</v>
      </c>
      <c r="C91" s="19" t="s">
        <v>322</v>
      </c>
      <c r="D91" s="19" t="s">
        <v>9</v>
      </c>
      <c r="E91" s="19">
        <v>1763</v>
      </c>
      <c r="F91" s="19">
        <v>69.68129047495917</v>
      </c>
      <c r="G91" s="19">
        <v>106.46199976286061</v>
      </c>
      <c r="H91" s="19">
        <v>187692.50558192327</v>
      </c>
      <c r="I91" s="19">
        <v>49.43758556418873</v>
      </c>
      <c r="J91" s="19">
        <v>18.651175137331876</v>
      </c>
      <c r="K91" s="19">
        <v>37.079104699330451</v>
      </c>
      <c r="L91" s="19">
        <v>60.342098897566636</v>
      </c>
      <c r="M91" s="19">
        <v>42.78594584121241</v>
      </c>
      <c r="N91" s="19">
        <v>17.539039914742141</v>
      </c>
      <c r="O91" s="19">
        <v>13.849536778771009</v>
      </c>
      <c r="P91" s="19">
        <v>46.370792576963588</v>
      </c>
      <c r="Q91" s="19">
        <v>399.91045271233486</v>
      </c>
      <c r="R91" s="19">
        <v>209.38524150680587</v>
      </c>
      <c r="S91" s="19">
        <v>1407.9198836504868</v>
      </c>
      <c r="T91" s="19">
        <v>1412.5655617750554</v>
      </c>
      <c r="U91" s="19">
        <v>31.373569071680063</v>
      </c>
      <c r="V91" s="19">
        <v>15.028206067296233</v>
      </c>
      <c r="W91" s="19">
        <v>56.149137204851897</v>
      </c>
      <c r="X91" s="19">
        <v>61.692015865912374</v>
      </c>
      <c r="Y91" s="19">
        <v>27.188535967741263</v>
      </c>
      <c r="Z91" s="19">
        <v>28.459286015143405</v>
      </c>
      <c r="AA91" s="19">
        <v>30.14425493381902</v>
      </c>
      <c r="AB91" s="19">
        <v>42.149924013869665</v>
      </c>
      <c r="AC91" s="19">
        <v>37.674839523304243</v>
      </c>
      <c r="AD91" s="19">
        <v>20.601945422252268</v>
      </c>
      <c r="AE91" s="19">
        <v>40.098672393992445</v>
      </c>
      <c r="AF91" s="19">
        <v>44.99695581150776</v>
      </c>
      <c r="AG91" s="19">
        <v>764.48109248509263</v>
      </c>
      <c r="AH91" s="19">
        <v>65.183137558656767</v>
      </c>
      <c r="AI91" s="19">
        <v>2027.199266939796</v>
      </c>
      <c r="AJ91" s="19">
        <v>2165.3519638704029</v>
      </c>
      <c r="AK91" s="19">
        <v>1756.4513366970953</v>
      </c>
      <c r="AL91" s="19">
        <v>2656.2941808404039</v>
      </c>
      <c r="AM91" s="19">
        <v>2621.4218017622334</v>
      </c>
      <c r="AN91" s="19">
        <v>3130.6604589652002</v>
      </c>
      <c r="AO91" s="19"/>
      <c r="AP91" s="19">
        <v>0.56679471578568863</v>
      </c>
      <c r="AQ91" s="19">
        <v>0.43556191580331455</v>
      </c>
      <c r="AR91" s="19">
        <v>0.57947451676023942</v>
      </c>
      <c r="AS91" s="19">
        <v>0.3959152008017579</v>
      </c>
      <c r="AT91" s="19">
        <v>0.42265743562713914</v>
      </c>
      <c r="AU91" s="19">
        <v>0.81928846472694306</v>
      </c>
      <c r="AV91" s="19">
        <v>0.30909059310305176</v>
      </c>
      <c r="AW91" s="19">
        <v>0.61448152080811536</v>
      </c>
      <c r="AX91" s="19">
        <v>0.92269170879921336</v>
      </c>
      <c r="AY91" s="19">
        <v>0.37823463736643809</v>
      </c>
      <c r="AZ91" s="19">
        <v>0.29866939961796729</v>
      </c>
      <c r="BA91" s="19">
        <v>0.50855153023157051</v>
      </c>
      <c r="BB91" s="19">
        <v>0.24360050253439677</v>
      </c>
      <c r="BC91" s="19">
        <v>0.91015241464782204</v>
      </c>
      <c r="BD91" s="19">
        <v>0.64504353456947461</v>
      </c>
      <c r="BE91" s="19">
        <v>0.67519186999669845</v>
      </c>
      <c r="BF91" s="19">
        <v>0.71516747987255891</v>
      </c>
      <c r="BG91" s="19">
        <v>0.83727529660282218</v>
      </c>
      <c r="BH91" s="19">
        <v>0.45785198244418607</v>
      </c>
      <c r="BI91" s="19">
        <v>0.89114189328642091</v>
      </c>
    </row>
    <row r="92" spans="1:61" x14ac:dyDescent="0.55000000000000004">
      <c r="A92" s="19" t="s">
        <v>736</v>
      </c>
      <c r="B92" s="19" t="s">
        <v>737</v>
      </c>
      <c r="C92" s="19" t="s">
        <v>322</v>
      </c>
      <c r="D92" s="19" t="s">
        <v>9</v>
      </c>
      <c r="E92" s="19">
        <v>1588</v>
      </c>
      <c r="F92" s="19">
        <v>65.116695135902475</v>
      </c>
      <c r="G92" s="19">
        <v>50.473662857938351</v>
      </c>
      <c r="H92" s="19">
        <v>80152.176618406098</v>
      </c>
      <c r="I92" s="19">
        <v>43.373713510453534</v>
      </c>
      <c r="J92" s="19">
        <v>26.544011935779061</v>
      </c>
      <c r="K92" s="19">
        <v>30.648092033439312</v>
      </c>
      <c r="L92" s="19">
        <v>53.411445868727725</v>
      </c>
      <c r="M92" s="19">
        <v>36.146908720079281</v>
      </c>
      <c r="N92" s="19">
        <v>10.628337009291979</v>
      </c>
      <c r="O92" s="19">
        <v>17.64842141086584</v>
      </c>
      <c r="P92" s="19">
        <v>38.214875119440642</v>
      </c>
      <c r="Q92" s="19">
        <v>413.38083945093695</v>
      </c>
      <c r="R92" s="19">
        <v>135.5925221127527</v>
      </c>
      <c r="S92" s="19">
        <v>1319.7783588145799</v>
      </c>
      <c r="T92" s="19">
        <v>1331.2679999891732</v>
      </c>
      <c r="U92" s="19">
        <v>65.584694738174335</v>
      </c>
      <c r="V92" s="19">
        <v>18.680077543847439</v>
      </c>
      <c r="W92" s="19">
        <v>68.376738211519722</v>
      </c>
      <c r="X92" s="19">
        <v>79.36443471161148</v>
      </c>
      <c r="Y92" s="19">
        <v>44.203355680858508</v>
      </c>
      <c r="Z92" s="19">
        <v>25.783736110474848</v>
      </c>
      <c r="AA92" s="19">
        <v>24.340670868993218</v>
      </c>
      <c r="AB92" s="19">
        <v>45.841772527650605</v>
      </c>
      <c r="AC92" s="19">
        <v>49.954598700447249</v>
      </c>
      <c r="AD92" s="19">
        <v>27.100581333942397</v>
      </c>
      <c r="AE92" s="19">
        <v>33.216266002118125</v>
      </c>
      <c r="AF92" s="19">
        <v>59.193457052156077</v>
      </c>
      <c r="AG92" s="19">
        <v>1483.0165640662524</v>
      </c>
      <c r="AH92" s="19">
        <v>463.29941680369581</v>
      </c>
      <c r="AI92" s="19">
        <v>3700.0583695624891</v>
      </c>
      <c r="AJ92" s="19">
        <v>3963.3201504536828</v>
      </c>
      <c r="AK92" s="19">
        <v>1598.8173793182041</v>
      </c>
      <c r="AL92" s="19">
        <v>2059.9509460063837</v>
      </c>
      <c r="AM92" s="19">
        <v>1214.9357064687297</v>
      </c>
      <c r="AN92" s="19">
        <v>2061.3574573594651</v>
      </c>
      <c r="AO92" s="19"/>
      <c r="AP92" s="19">
        <v>1.0582042761401718</v>
      </c>
      <c r="AQ92" s="19">
        <v>0.75712506197537266</v>
      </c>
      <c r="AR92" s="19">
        <v>1.5723930108854636</v>
      </c>
      <c r="AS92" s="19">
        <v>0.90823153961850311</v>
      </c>
      <c r="AT92" s="19">
        <v>1.1727592906970155</v>
      </c>
      <c r="AU92" s="19">
        <v>0.81206776571927142</v>
      </c>
      <c r="AV92" s="19">
        <v>0.49697235309858023</v>
      </c>
      <c r="AW92" s="19">
        <v>0.5738113158135586</v>
      </c>
      <c r="AX92" s="19">
        <v>0.94588582605862437</v>
      </c>
      <c r="AY92" s="19">
        <v>0.27812041714314378</v>
      </c>
      <c r="AZ92" s="19">
        <v>0.46182072702594673</v>
      </c>
      <c r="BA92" s="19">
        <v>0.82637386603320584</v>
      </c>
      <c r="BB92" s="19">
        <v>0.23537088888399069</v>
      </c>
      <c r="BC92" s="19">
        <v>0.86155389955188333</v>
      </c>
      <c r="BD92" s="19">
        <v>0.9642593042011226</v>
      </c>
      <c r="BE92" s="19">
        <v>0.56245067956137051</v>
      </c>
      <c r="BF92" s="19">
        <v>0.53097141595717179</v>
      </c>
      <c r="BG92" s="19">
        <v>0.84392095323021332</v>
      </c>
      <c r="BH92" s="19">
        <v>0.45783069081543498</v>
      </c>
      <c r="BI92" s="19">
        <v>0.56114759394523739</v>
      </c>
    </row>
    <row r="93" spans="1:61" x14ac:dyDescent="0.55000000000000004">
      <c r="A93" s="19" t="s">
        <v>738</v>
      </c>
      <c r="B93" s="19" t="s">
        <v>739</v>
      </c>
      <c r="C93" s="19" t="s">
        <v>322</v>
      </c>
      <c r="D93" s="19" t="s">
        <v>9</v>
      </c>
      <c r="E93" s="19">
        <v>1764</v>
      </c>
      <c r="F93" s="19">
        <v>68.983390997740429</v>
      </c>
      <c r="G93" s="19">
        <v>46.697529856819443</v>
      </c>
      <c r="H93" s="19">
        <v>82374.442667429495</v>
      </c>
      <c r="I93" s="19">
        <v>40.929301548225517</v>
      </c>
      <c r="J93" s="19">
        <v>27.598662411298882</v>
      </c>
      <c r="K93" s="19">
        <v>25.992256543161286</v>
      </c>
      <c r="L93" s="19">
        <v>47.260016395090958</v>
      </c>
      <c r="M93" s="19">
        <v>36.728600902166377</v>
      </c>
      <c r="N93" s="19">
        <v>13.261186358791123</v>
      </c>
      <c r="O93" s="19">
        <v>15.69961086888414</v>
      </c>
      <c r="P93" s="19">
        <v>40.735519378109842</v>
      </c>
      <c r="Q93" s="19">
        <v>442.49559690471443</v>
      </c>
      <c r="R93" s="19">
        <v>214.59377628703857</v>
      </c>
      <c r="S93" s="19">
        <v>1178.3033041922904</v>
      </c>
      <c r="T93" s="19">
        <v>1227.364538640541</v>
      </c>
      <c r="U93" s="19">
        <v>31.003389824447165</v>
      </c>
      <c r="V93" s="19">
        <v>16.003954274381687</v>
      </c>
      <c r="W93" s="19">
        <v>68.356653011823582</v>
      </c>
      <c r="X93" s="19">
        <v>75.014126693740849</v>
      </c>
      <c r="Y93" s="19">
        <v>29.656472072989821</v>
      </c>
      <c r="Z93" s="19">
        <v>33.506684769209308</v>
      </c>
      <c r="AA93" s="19">
        <v>22.389529249040216</v>
      </c>
      <c r="AB93" s="19">
        <v>46.406057096328723</v>
      </c>
      <c r="AC93" s="19">
        <v>38.796525512992865</v>
      </c>
      <c r="AD93" s="19">
        <v>25.653650061717524</v>
      </c>
      <c r="AE93" s="19">
        <v>31.163668125892233</v>
      </c>
      <c r="AF93" s="19">
        <v>51.557905757461384</v>
      </c>
      <c r="AG93" s="19">
        <v>1052.4700281810954</v>
      </c>
      <c r="AH93" s="19">
        <v>43.090407984462814</v>
      </c>
      <c r="AI93" s="19">
        <v>2384.868365048435</v>
      </c>
      <c r="AJ93" s="19">
        <v>2591.4663833274672</v>
      </c>
      <c r="AK93" s="19">
        <v>1691.2218663718365</v>
      </c>
      <c r="AL93" s="19">
        <v>1557.3947399834979</v>
      </c>
      <c r="AM93" s="19">
        <v>998.81648605568228</v>
      </c>
      <c r="AN93" s="19">
        <v>2110.6211353577464</v>
      </c>
      <c r="AO93" s="19"/>
      <c r="AP93" s="19">
        <v>1.0120453167436516</v>
      </c>
      <c r="AQ93" s="19">
        <v>0.87232706961182138</v>
      </c>
      <c r="AR93" s="19">
        <v>1.6063831839444975</v>
      </c>
      <c r="AS93" s="19">
        <v>0.99375828311723524</v>
      </c>
      <c r="AT93" s="19">
        <v>1.1040820770508519</v>
      </c>
      <c r="AU93" s="19">
        <v>0.86604501373971099</v>
      </c>
      <c r="AV93" s="19">
        <v>0.58397488017303434</v>
      </c>
      <c r="AW93" s="19">
        <v>0.54998407799666316</v>
      </c>
      <c r="AX93" s="19">
        <v>0.90163575824942899</v>
      </c>
      <c r="AY93" s="19">
        <v>0.32554356888640346</v>
      </c>
      <c r="AZ93" s="19">
        <v>0.38540347855048296</v>
      </c>
      <c r="BA93" s="19">
        <v>0.41330068336360537</v>
      </c>
      <c r="BB93" s="19">
        <v>0.21334587203448777</v>
      </c>
      <c r="BC93" s="19">
        <v>0.91125040075321218</v>
      </c>
      <c r="BD93" s="19">
        <v>0.63906468096243418</v>
      </c>
      <c r="BE93" s="19">
        <v>0.72203257216308703</v>
      </c>
      <c r="BF93" s="19">
        <v>0.48246997590345803</v>
      </c>
      <c r="BG93" s="19">
        <v>0.75248451121151849</v>
      </c>
      <c r="BH93" s="19">
        <v>0.49756966821727366</v>
      </c>
      <c r="BI93" s="19">
        <v>0.60444014682233815</v>
      </c>
    </row>
    <row r="94" spans="1:61" x14ac:dyDescent="0.55000000000000004">
      <c r="A94" s="19" t="s">
        <v>740</v>
      </c>
      <c r="B94" s="19" t="s">
        <v>741</v>
      </c>
      <c r="C94" s="19" t="s">
        <v>322</v>
      </c>
      <c r="D94" s="19" t="s">
        <v>9</v>
      </c>
      <c r="E94" s="19">
        <v>1777</v>
      </c>
      <c r="F94" s="19">
        <v>66.916497388707199</v>
      </c>
      <c r="G94" s="19">
        <v>45.602122877387345</v>
      </c>
      <c r="H94" s="19">
        <v>81034.972353117308</v>
      </c>
      <c r="I94" s="19">
        <v>29.721082360396419</v>
      </c>
      <c r="J94" s="19">
        <v>18.903341962330845</v>
      </c>
      <c r="K94" s="19">
        <v>30.024908319798811</v>
      </c>
      <c r="L94" s="19">
        <v>45.334015651411576</v>
      </c>
      <c r="M94" s="19">
        <v>44.970852153533045</v>
      </c>
      <c r="N94" s="19">
        <v>22.833443534282004</v>
      </c>
      <c r="O94" s="19">
        <v>9.6604458750309945</v>
      </c>
      <c r="P94" s="19">
        <v>49.803835722864626</v>
      </c>
      <c r="Q94" s="19">
        <v>472.83582966879169</v>
      </c>
      <c r="R94" s="19">
        <v>211.68848732121853</v>
      </c>
      <c r="S94" s="19">
        <v>1247.4505797795739</v>
      </c>
      <c r="T94" s="19">
        <v>1247.7604108570092</v>
      </c>
      <c r="U94" s="19">
        <v>26.392159427868489</v>
      </c>
      <c r="V94" s="19">
        <v>31.864461165295303</v>
      </c>
      <c r="W94" s="19">
        <v>53.863477286590864</v>
      </c>
      <c r="X94" s="19">
        <v>55.364810439477488</v>
      </c>
      <c r="Y94" s="19">
        <v>30.329850020310865</v>
      </c>
      <c r="Z94" s="19">
        <v>17.331381685151143</v>
      </c>
      <c r="AA94" s="19">
        <v>18.735986853099174</v>
      </c>
      <c r="AB94" s="19">
        <v>34.320271386515742</v>
      </c>
      <c r="AC94" s="19">
        <v>56.307276341260867</v>
      </c>
      <c r="AD94" s="19">
        <v>25.143492287566549</v>
      </c>
      <c r="AE94" s="19">
        <v>46.968619221811139</v>
      </c>
      <c r="AF94" s="19">
        <v>67.891071209508169</v>
      </c>
      <c r="AG94" s="19">
        <v>652.64275206669868</v>
      </c>
      <c r="AH94" s="19">
        <v>65.36225878069952</v>
      </c>
      <c r="AI94" s="19">
        <v>1931.4556913097495</v>
      </c>
      <c r="AJ94" s="19">
        <v>1975.556474836377</v>
      </c>
      <c r="AK94" s="19">
        <v>1340.0885250366341</v>
      </c>
      <c r="AL94" s="19">
        <v>2808.4319205183451</v>
      </c>
      <c r="AM94" s="19">
        <v>2885.6707252497681</v>
      </c>
      <c r="AN94" s="19">
        <v>3142.3142700440449</v>
      </c>
      <c r="AO94" s="19"/>
      <c r="AP94" s="19">
        <v>0.99412072927620843</v>
      </c>
      <c r="AQ94" s="19">
        <v>1.092138536111019</v>
      </c>
      <c r="AR94" s="19">
        <v>1.2140840589447899</v>
      </c>
      <c r="AS94" s="19">
        <v>0.75260249350220676</v>
      </c>
      <c r="AT94" s="19">
        <v>1.4887699722236662</v>
      </c>
      <c r="AU94" s="19">
        <v>0.65560224333383066</v>
      </c>
      <c r="AV94" s="19">
        <v>0.41697920845320585</v>
      </c>
      <c r="AW94" s="19">
        <v>0.66230418568410931</v>
      </c>
      <c r="AX94" s="19">
        <v>0.90295961145995052</v>
      </c>
      <c r="AY94" s="19">
        <v>0.4584675698743283</v>
      </c>
      <c r="AZ94" s="19">
        <v>0.19396991687120085</v>
      </c>
      <c r="BA94" s="19">
        <v>0.4766955620071941</v>
      </c>
      <c r="BB94" s="19">
        <v>0.57553635445258522</v>
      </c>
      <c r="BC94" s="19">
        <v>0.97288289906586389</v>
      </c>
      <c r="BD94" s="19">
        <v>0.88372990058077761</v>
      </c>
      <c r="BE94" s="19">
        <v>0.50498964562269033</v>
      </c>
      <c r="BF94" s="19">
        <v>0.54591604600365851</v>
      </c>
      <c r="BG94" s="19">
        <v>0.82937675511849951</v>
      </c>
      <c r="BH94" s="19">
        <v>0.3703505017614922</v>
      </c>
      <c r="BI94" s="19">
        <v>0.6918232159994725</v>
      </c>
    </row>
    <row r="95" spans="1:61" x14ac:dyDescent="0.55000000000000004">
      <c r="A95" s="19" t="s">
        <v>742</v>
      </c>
      <c r="B95" s="19" t="s">
        <v>743</v>
      </c>
      <c r="C95" s="19" t="s">
        <v>322</v>
      </c>
      <c r="D95" s="19" t="s">
        <v>9</v>
      </c>
      <c r="E95" s="19">
        <v>1764</v>
      </c>
      <c r="F95" s="19">
        <v>69.220843847019168</v>
      </c>
      <c r="G95" s="19">
        <v>69.761114777828951</v>
      </c>
      <c r="H95" s="19">
        <v>123058.60646809026</v>
      </c>
      <c r="I95" s="19">
        <v>32.816955895157328</v>
      </c>
      <c r="J95" s="19">
        <v>29.720789929046777</v>
      </c>
      <c r="K95" s="19">
        <v>21.483221369609332</v>
      </c>
      <c r="L95" s="19">
        <v>44.751540253174781</v>
      </c>
      <c r="M95" s="19">
        <v>36.165005556913407</v>
      </c>
      <c r="N95" s="19">
        <v>16.435833039252159</v>
      </c>
      <c r="O95" s="19">
        <v>9.0750797663488267</v>
      </c>
      <c r="P95" s="19">
        <v>40.146996722579097</v>
      </c>
      <c r="Q95" s="19">
        <v>445.0651493542702</v>
      </c>
      <c r="R95" s="19">
        <v>139.3761225744322</v>
      </c>
      <c r="S95" s="19">
        <v>945.64245929905428</v>
      </c>
      <c r="T95" s="19">
        <v>1033.1188756738588</v>
      </c>
      <c r="U95" s="19">
        <v>81.802511029619893</v>
      </c>
      <c r="V95" s="19">
        <v>11.661683272933079</v>
      </c>
      <c r="W95" s="19">
        <v>97.553357666684661</v>
      </c>
      <c r="X95" s="19">
        <v>105.02418280017605</v>
      </c>
      <c r="Y95" s="19">
        <v>58.463706165284499</v>
      </c>
      <c r="Z95" s="19">
        <v>27.849992405980707</v>
      </c>
      <c r="AA95" s="19">
        <v>13.073334273171216</v>
      </c>
      <c r="AB95" s="19">
        <v>62.830810360528318</v>
      </c>
      <c r="AC95" s="19">
        <v>58.745295367577263</v>
      </c>
      <c r="AD95" s="19">
        <v>20.158344481305413</v>
      </c>
      <c r="AE95" s="19">
        <v>34.267231272619988</v>
      </c>
      <c r="AF95" s="19">
        <v>69.628419513705467</v>
      </c>
      <c r="AG95" s="19">
        <v>1605.3695311456877</v>
      </c>
      <c r="AH95" s="19">
        <v>455.73104114326122</v>
      </c>
      <c r="AI95" s="19">
        <v>4254.3647740159668</v>
      </c>
      <c r="AJ95" s="19">
        <v>4540.8109155458596</v>
      </c>
      <c r="AK95" s="19">
        <v>2374.8217392887045</v>
      </c>
      <c r="AL95" s="19">
        <v>475.95378632800657</v>
      </c>
      <c r="AM95" s="19">
        <v>2492.5586649650131</v>
      </c>
      <c r="AN95" s="19">
        <v>2654.875498783721</v>
      </c>
      <c r="AO95" s="19"/>
      <c r="AP95" s="19">
        <v>0.64149691981982837</v>
      </c>
      <c r="AQ95" s="19">
        <v>0.57549247672484682</v>
      </c>
      <c r="AR95" s="19">
        <v>1.5054831496694228</v>
      </c>
      <c r="AS95" s="19">
        <v>0.90065662741526054</v>
      </c>
      <c r="AT95" s="19">
        <v>0.99809786204612583</v>
      </c>
      <c r="AU95" s="19">
        <v>0.7333145565381789</v>
      </c>
      <c r="AV95" s="19">
        <v>0.66412887156299194</v>
      </c>
      <c r="AW95" s="19">
        <v>0.48005546285270617</v>
      </c>
      <c r="AX95" s="19">
        <v>0.90081471864055584</v>
      </c>
      <c r="AY95" s="19">
        <v>0.40939134632724528</v>
      </c>
      <c r="AZ95" s="19">
        <v>0.22604629255480288</v>
      </c>
      <c r="BA95" s="19">
        <v>0.7788921451096763</v>
      </c>
      <c r="BB95" s="19">
        <v>0.11103807677438582</v>
      </c>
      <c r="BC95" s="19">
        <v>0.92886566756053002</v>
      </c>
      <c r="BD95" s="19">
        <v>0.93049422456617992</v>
      </c>
      <c r="BE95" s="19">
        <v>0.44325375156193558</v>
      </c>
      <c r="BF95" s="19">
        <v>0.20807203023732079</v>
      </c>
      <c r="BG95" s="19">
        <v>0.84369709635609347</v>
      </c>
      <c r="BH95" s="19">
        <v>0.28951317037057689</v>
      </c>
      <c r="BI95" s="19">
        <v>0.49214432141282366</v>
      </c>
    </row>
    <row r="96" spans="1:61" x14ac:dyDescent="0.55000000000000004">
      <c r="A96" s="19" t="s">
        <v>744</v>
      </c>
      <c r="B96" s="19" t="s">
        <v>745</v>
      </c>
      <c r="C96" s="19" t="s">
        <v>322</v>
      </c>
      <c r="D96" s="19" t="s">
        <v>9</v>
      </c>
      <c r="E96" s="19">
        <v>1770</v>
      </c>
      <c r="F96" s="19">
        <v>70.900722873400113</v>
      </c>
      <c r="G96" s="19">
        <v>92.048147374731656</v>
      </c>
      <c r="H96" s="19">
        <v>162925.22085327504</v>
      </c>
      <c r="I96" s="19">
        <v>46.288262140132865</v>
      </c>
      <c r="J96" s="19">
        <v>28.410069416783131</v>
      </c>
      <c r="K96" s="19">
        <v>39.951972624346261</v>
      </c>
      <c r="L96" s="19">
        <v>60.858678353106647</v>
      </c>
      <c r="M96" s="19">
        <v>39.724214417427902</v>
      </c>
      <c r="N96" s="19">
        <v>16.718014002057068</v>
      </c>
      <c r="O96" s="19">
        <v>28.222078300836852</v>
      </c>
      <c r="P96" s="19">
        <v>50.507259824259819</v>
      </c>
      <c r="Q96" s="19">
        <v>450.29757271560902</v>
      </c>
      <c r="R96" s="19">
        <v>214.57150155656331</v>
      </c>
      <c r="S96" s="19">
        <v>1714.8488043714576</v>
      </c>
      <c r="T96" s="19">
        <v>1750.7726351246272</v>
      </c>
      <c r="U96" s="19">
        <v>62.029173052455249</v>
      </c>
      <c r="V96" s="19">
        <v>21.237330078904399</v>
      </c>
      <c r="W96" s="19">
        <v>69.358491144418423</v>
      </c>
      <c r="X96" s="19">
        <v>82.617401883001122</v>
      </c>
      <c r="Y96" s="19">
        <v>44.748035723146415</v>
      </c>
      <c r="Z96" s="19">
        <v>37.992977615232903</v>
      </c>
      <c r="AA96" s="19">
        <v>22.173089429375306</v>
      </c>
      <c r="AB96" s="19">
        <v>54.259146730188519</v>
      </c>
      <c r="AC96" s="19">
        <v>57.721476400649664</v>
      </c>
      <c r="AD96" s="19">
        <v>31.462205757947718</v>
      </c>
      <c r="AE96" s="19">
        <v>34.983017972678567</v>
      </c>
      <c r="AF96" s="19">
        <v>64.169540585665672</v>
      </c>
      <c r="AG96" s="19">
        <v>1620.5465795779801</v>
      </c>
      <c r="AH96" s="19">
        <v>58.514448516924396</v>
      </c>
      <c r="AI96" s="19">
        <v>3450.0820346353121</v>
      </c>
      <c r="AJ96" s="19">
        <v>3798.3780846912359</v>
      </c>
      <c r="AK96" s="19">
        <v>1511.1314774699167</v>
      </c>
      <c r="AL96" s="19">
        <v>4056.5454651225323</v>
      </c>
      <c r="AM96" s="19">
        <v>498.52978946680457</v>
      </c>
      <c r="AN96" s="19">
        <v>4130.4614185411856</v>
      </c>
      <c r="AO96" s="19"/>
      <c r="AP96" s="19">
        <v>0.66116136053611763</v>
      </c>
      <c r="AQ96" s="19">
        <v>0.54870479487917079</v>
      </c>
      <c r="AR96" s="19">
        <v>0.89754551546444938</v>
      </c>
      <c r="AS96" s="19">
        <v>0.58946484288594514</v>
      </c>
      <c r="AT96" s="19">
        <v>0.69713016954517215</v>
      </c>
      <c r="AU96" s="19">
        <v>0.76058605596994522</v>
      </c>
      <c r="AV96" s="19">
        <v>0.46682034815060824</v>
      </c>
      <c r="AW96" s="19">
        <v>0.65647124954869873</v>
      </c>
      <c r="AX96" s="19">
        <v>0.78650504017934131</v>
      </c>
      <c r="AY96" s="19">
        <v>0.33100219770835826</v>
      </c>
      <c r="AZ96" s="19">
        <v>0.55877270711251548</v>
      </c>
      <c r="BA96" s="19">
        <v>0.75080033550677427</v>
      </c>
      <c r="BB96" s="19">
        <v>0.25705637789215047</v>
      </c>
      <c r="BC96" s="19">
        <v>0.83951431010431254</v>
      </c>
      <c r="BD96" s="19">
        <v>0.8247095359914618</v>
      </c>
      <c r="BE96" s="19">
        <v>0.70021332632004885</v>
      </c>
      <c r="BF96" s="19">
        <v>0.40865164245273172</v>
      </c>
      <c r="BG96" s="19">
        <v>0.89951518857443102</v>
      </c>
      <c r="BH96" s="19">
        <v>0.49029813009095802</v>
      </c>
      <c r="BI96" s="19">
        <v>0.54516547342234123</v>
      </c>
    </row>
    <row r="97" spans="1:61" x14ac:dyDescent="0.55000000000000004">
      <c r="A97" s="19" t="s">
        <v>746</v>
      </c>
      <c r="B97" s="19" t="s">
        <v>747</v>
      </c>
      <c r="C97" s="19" t="s">
        <v>322</v>
      </c>
      <c r="D97" s="19" t="s">
        <v>9</v>
      </c>
      <c r="E97" s="19">
        <v>1759</v>
      </c>
      <c r="F97" s="19">
        <v>65.186478628143988</v>
      </c>
      <c r="G97" s="19">
        <v>47.406119608900752</v>
      </c>
      <c r="H97" s="19">
        <v>83387.364392056421</v>
      </c>
      <c r="I97" s="19">
        <v>48.276838035679717</v>
      </c>
      <c r="J97" s="19">
        <v>21.732456849574145</v>
      </c>
      <c r="K97" s="19">
        <v>28.484749125784589</v>
      </c>
      <c r="L97" s="19">
        <v>54.431894372840212</v>
      </c>
      <c r="M97" s="19">
        <v>37.627518695156873</v>
      </c>
      <c r="N97" s="19">
        <v>11.087452922173219</v>
      </c>
      <c r="O97" s="19">
        <v>19.664925957305964</v>
      </c>
      <c r="P97" s="19">
        <v>39.586092744338352</v>
      </c>
      <c r="Q97" s="19">
        <v>567.99515872106849</v>
      </c>
      <c r="R97" s="19">
        <v>61.687191170852003</v>
      </c>
      <c r="S97" s="19">
        <v>1428.0411398963756</v>
      </c>
      <c r="T97" s="19">
        <v>1428.1508992048921</v>
      </c>
      <c r="U97" s="19">
        <v>122.92705431799538</v>
      </c>
      <c r="V97" s="19">
        <v>21.369840384479222</v>
      </c>
      <c r="W97" s="19">
        <v>70.715567106957991</v>
      </c>
      <c r="X97" s="19">
        <v>124.63874892875917</v>
      </c>
      <c r="Y97" s="19">
        <v>47.378171654296594</v>
      </c>
      <c r="Z97" s="19">
        <v>37.96040539916504</v>
      </c>
      <c r="AA97" s="19">
        <v>12.228736110227452</v>
      </c>
      <c r="AB97" s="19">
        <v>49.70405702586617</v>
      </c>
      <c r="AC97" s="19">
        <v>45.695233336318886</v>
      </c>
      <c r="AD97" s="19">
        <v>26.917103753998262</v>
      </c>
      <c r="AE97" s="19">
        <v>22.182747053109622</v>
      </c>
      <c r="AF97" s="19">
        <v>52.065949636109416</v>
      </c>
      <c r="AG97" s="19">
        <v>1564.1247492764137</v>
      </c>
      <c r="AH97" s="19">
        <v>624.69709761697948</v>
      </c>
      <c r="AI97" s="19">
        <v>3429.4267048765628</v>
      </c>
      <c r="AJ97" s="19">
        <v>3765.8707513906652</v>
      </c>
      <c r="AK97" s="19">
        <v>1827.0240516853696</v>
      </c>
      <c r="AL97" s="19">
        <v>1656.6336707718979</v>
      </c>
      <c r="AM97" s="19">
        <v>1063.0970076385831</v>
      </c>
      <c r="AN97" s="19">
        <v>1843.3758628160306</v>
      </c>
      <c r="AO97" s="19"/>
      <c r="AP97" s="19">
        <v>1.1482039623133451</v>
      </c>
      <c r="AQ97" s="19">
        <v>0.83504182731939636</v>
      </c>
      <c r="AR97" s="19">
        <v>2.6291700303046439</v>
      </c>
      <c r="AS97" s="19">
        <v>1.048473434145704</v>
      </c>
      <c r="AT97" s="19">
        <v>1.0982959597970081</v>
      </c>
      <c r="AU97" s="19">
        <v>0.88692187901820163</v>
      </c>
      <c r="AV97" s="19">
        <v>0.39925960872708394</v>
      </c>
      <c r="AW97" s="19">
        <v>0.52330989861704269</v>
      </c>
      <c r="AX97" s="19">
        <v>0.95052368361205342</v>
      </c>
      <c r="AY97" s="19">
        <v>0.28008454872725369</v>
      </c>
      <c r="AZ97" s="19">
        <v>0.4967634993508791</v>
      </c>
      <c r="BA97" s="19">
        <v>0.98626675391501117</v>
      </c>
      <c r="BB97" s="19">
        <v>0.17145422726197102</v>
      </c>
      <c r="BC97" s="19">
        <v>0.56736422432623657</v>
      </c>
      <c r="BD97" s="19">
        <v>0.95320532144168479</v>
      </c>
      <c r="BE97" s="19">
        <v>0.76372850971521922</v>
      </c>
      <c r="BF97" s="19">
        <v>0.24603094479518187</v>
      </c>
      <c r="BG97" s="19">
        <v>0.87764140778540156</v>
      </c>
      <c r="BH97" s="19">
        <v>0.51698094324837551</v>
      </c>
      <c r="BI97" s="19">
        <v>0.42605094515985109</v>
      </c>
    </row>
    <row r="98" spans="1:61" x14ac:dyDescent="0.55000000000000004">
      <c r="A98" s="19" t="s">
        <v>712</v>
      </c>
      <c r="B98" s="19" t="s">
        <v>713</v>
      </c>
      <c r="C98" s="19" t="s">
        <v>322</v>
      </c>
      <c r="D98" s="19" t="s">
        <v>9</v>
      </c>
      <c r="E98" s="19">
        <v>2112</v>
      </c>
      <c r="F98" s="19">
        <v>66.184921561507693</v>
      </c>
      <c r="G98" s="19">
        <v>64.150180452979725</v>
      </c>
      <c r="H98" s="19">
        <v>135485.18111669319</v>
      </c>
      <c r="I98" s="19">
        <v>26.213418625371588</v>
      </c>
      <c r="J98" s="19">
        <v>11.807500181372884</v>
      </c>
      <c r="K98" s="19">
        <v>21.682070706955297</v>
      </c>
      <c r="L98" s="19">
        <v>35.940457316294378</v>
      </c>
      <c r="M98" s="19">
        <v>29.773694651979582</v>
      </c>
      <c r="N98" s="19">
        <v>8.4124255288658709</v>
      </c>
      <c r="O98" s="19">
        <v>12.155192526662589</v>
      </c>
      <c r="P98" s="19">
        <v>30.972986934109993</v>
      </c>
      <c r="Q98" s="19">
        <v>384.13267636350929</v>
      </c>
      <c r="R98" s="19">
        <v>72.040103000973005</v>
      </c>
      <c r="S98" s="19">
        <v>663.28119579738575</v>
      </c>
      <c r="T98" s="19">
        <v>703.76802364955597</v>
      </c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>
        <v>0.56025496830266475</v>
      </c>
      <c r="AQ98" s="19">
        <v>0.48281995023867968</v>
      </c>
      <c r="AR98" s="19"/>
      <c r="AS98" s="19"/>
      <c r="AT98" s="19"/>
      <c r="AU98" s="19">
        <v>0.72935684692824354</v>
      </c>
      <c r="AV98" s="19">
        <v>0.32852949191661235</v>
      </c>
      <c r="AW98" s="19">
        <v>0.60327754085436369</v>
      </c>
      <c r="AX98" s="19">
        <v>0.96127941148583085</v>
      </c>
      <c r="AY98" s="19">
        <v>0.27160523932554331</v>
      </c>
      <c r="AZ98" s="19">
        <v>0.39244495703694288</v>
      </c>
      <c r="BA98" s="19"/>
      <c r="BB98" s="19"/>
      <c r="BC98" s="19"/>
      <c r="BD98" s="19"/>
      <c r="BE98" s="19"/>
      <c r="BF98" s="19"/>
      <c r="BG98" s="19"/>
      <c r="BH98" s="19"/>
      <c r="BI98" s="19"/>
    </row>
    <row r="99" spans="1:61" x14ac:dyDescent="0.55000000000000004">
      <c r="A99" s="19" t="s">
        <v>748</v>
      </c>
      <c r="B99" s="19" t="s">
        <v>749</v>
      </c>
      <c r="C99" s="19" t="s">
        <v>322</v>
      </c>
      <c r="D99" s="19" t="s">
        <v>9</v>
      </c>
      <c r="E99" s="19">
        <v>2307</v>
      </c>
      <c r="F99" s="19">
        <v>66.132134794527815</v>
      </c>
      <c r="G99" s="19">
        <v>46.120560004821229</v>
      </c>
      <c r="H99" s="19">
        <v>106400.13193112258</v>
      </c>
      <c r="I99" s="19">
        <v>43.894955606841918</v>
      </c>
      <c r="J99" s="19">
        <v>14.242002567038472</v>
      </c>
      <c r="K99" s="19">
        <v>31.587524004072819</v>
      </c>
      <c r="L99" s="19">
        <v>52.924550500851005</v>
      </c>
      <c r="M99" s="19">
        <v>42.730184532147703</v>
      </c>
      <c r="N99" s="19">
        <v>16.682092351462927</v>
      </c>
      <c r="O99" s="19">
        <v>11.967338413442729</v>
      </c>
      <c r="P99" s="19">
        <v>45.405957238722671</v>
      </c>
      <c r="Q99" s="19">
        <v>465.43799053904081</v>
      </c>
      <c r="R99" s="19">
        <v>98.166441530958835</v>
      </c>
      <c r="S99" s="19">
        <v>1573.5408159780873</v>
      </c>
      <c r="T99" s="19">
        <v>1573.7099721609425</v>
      </c>
      <c r="U99" s="19">
        <v>47.186621308658133</v>
      </c>
      <c r="V99" s="19">
        <v>7.4877006438084877</v>
      </c>
      <c r="W99" s="19">
        <v>64.718533546147512</v>
      </c>
      <c r="X99" s="19">
        <v>72.870915603032316</v>
      </c>
      <c r="Y99" s="19">
        <v>42.680904442614235</v>
      </c>
      <c r="Z99" s="19">
        <v>14.228270061004775</v>
      </c>
      <c r="AA99" s="19">
        <v>9.3926646837139174</v>
      </c>
      <c r="AB99" s="19">
        <v>43.449092344929433</v>
      </c>
      <c r="AC99" s="19">
        <v>55.054255785594272</v>
      </c>
      <c r="AD99" s="19">
        <v>12.131618682820012</v>
      </c>
      <c r="AE99" s="19">
        <v>23.31580583515651</v>
      </c>
      <c r="AF99" s="19">
        <v>56.320814990741795</v>
      </c>
      <c r="AG99" s="19">
        <v>1211.3376854923931</v>
      </c>
      <c r="AH99" s="19">
        <v>419.58236747339203</v>
      </c>
      <c r="AI99" s="19">
        <v>2405.928475350162</v>
      </c>
      <c r="AJ99" s="19">
        <v>2645.1293076500451</v>
      </c>
      <c r="AK99" s="19">
        <v>1480.1168520566857</v>
      </c>
      <c r="AL99" s="19">
        <v>1000.6969068939172</v>
      </c>
      <c r="AM99" s="19">
        <v>1751.3329374172729</v>
      </c>
      <c r="AN99" s="19">
        <v>1889.7943083219925</v>
      </c>
      <c r="AO99" s="19"/>
      <c r="AP99" s="19">
        <v>1.147526189953429</v>
      </c>
      <c r="AQ99" s="19">
        <v>0.98450576562765379</v>
      </c>
      <c r="AR99" s="19">
        <v>1.5800093406371198</v>
      </c>
      <c r="AS99" s="19">
        <v>0.94207642622699006</v>
      </c>
      <c r="AT99" s="19">
        <v>1.2211650288906786</v>
      </c>
      <c r="AU99" s="19">
        <v>0.82938740511619657</v>
      </c>
      <c r="AV99" s="19">
        <v>0.26910011388399918</v>
      </c>
      <c r="AW99" s="19">
        <v>0.59684066666876845</v>
      </c>
      <c r="AX99" s="19">
        <v>0.94107000778538719</v>
      </c>
      <c r="AY99" s="19">
        <v>0.36739875923673437</v>
      </c>
      <c r="AZ99" s="19">
        <v>0.26356317851695588</v>
      </c>
      <c r="BA99" s="19">
        <v>0.6475370992414784</v>
      </c>
      <c r="BB99" s="19">
        <v>0.1027529375999347</v>
      </c>
      <c r="BC99" s="19">
        <v>0.888125708461037</v>
      </c>
      <c r="BD99" s="19">
        <v>0.98231981703514581</v>
      </c>
      <c r="BE99" s="19">
        <v>0.32746990312365487</v>
      </c>
      <c r="BF99" s="19">
        <v>0.21617631524148637</v>
      </c>
      <c r="BG99" s="19">
        <v>0.97751170317127467</v>
      </c>
      <c r="BH99" s="19">
        <v>0.2154020442497902</v>
      </c>
      <c r="BI99" s="19">
        <v>0.41398203912690612</v>
      </c>
    </row>
    <row r="100" spans="1:61" x14ac:dyDescent="0.55000000000000004">
      <c r="A100" s="19" t="s">
        <v>750</v>
      </c>
      <c r="B100" s="19" t="s">
        <v>751</v>
      </c>
      <c r="C100" s="19" t="s">
        <v>322</v>
      </c>
      <c r="D100" s="19" t="s">
        <v>9</v>
      </c>
      <c r="E100" s="19">
        <v>2033</v>
      </c>
      <c r="F100" s="19">
        <v>71.600105527172474</v>
      </c>
      <c r="G100" s="19">
        <v>44.334891201643927</v>
      </c>
      <c r="H100" s="19">
        <v>90132.833812942103</v>
      </c>
      <c r="I100" s="19">
        <v>32.915987021463323</v>
      </c>
      <c r="J100" s="19">
        <v>33.88126282072934</v>
      </c>
      <c r="K100" s="19">
        <v>27.326503497333707</v>
      </c>
      <c r="L100" s="19">
        <v>46.222920298975012</v>
      </c>
      <c r="M100" s="19">
        <v>33.651469966756061</v>
      </c>
      <c r="N100" s="19">
        <v>12.193149603406155</v>
      </c>
      <c r="O100" s="19">
        <v>15.941900174027849</v>
      </c>
      <c r="P100" s="19">
        <v>36.03407871582273</v>
      </c>
      <c r="Q100" s="19">
        <v>400.5071891983194</v>
      </c>
      <c r="R100" s="19">
        <v>583.17583647390336</v>
      </c>
      <c r="S100" s="19">
        <v>1038.0127395578488</v>
      </c>
      <c r="T100" s="19">
        <v>1039.1449184709163</v>
      </c>
      <c r="U100" s="19">
        <v>35.905427677322457</v>
      </c>
      <c r="V100" s="19">
        <v>10.293002547343276</v>
      </c>
      <c r="W100" s="19">
        <v>79.428588952581407</v>
      </c>
      <c r="X100" s="19">
        <v>86.650446651839388</v>
      </c>
      <c r="Y100" s="19">
        <v>31.213208504136759</v>
      </c>
      <c r="Z100" s="19">
        <v>24.97390164041667</v>
      </c>
      <c r="AA100" s="19">
        <v>20.009305119188976</v>
      </c>
      <c r="AB100" s="19">
        <v>42.551962118240631</v>
      </c>
      <c r="AC100" s="19">
        <v>37.456770942198403</v>
      </c>
      <c r="AD100" s="19">
        <v>19.542501295866817</v>
      </c>
      <c r="AE100" s="19">
        <v>25.129179360893851</v>
      </c>
      <c r="AF100" s="19">
        <v>47.281149360886147</v>
      </c>
      <c r="AG100" s="19">
        <v>1217.5142630408297</v>
      </c>
      <c r="AH100" s="19">
        <v>290.91688826335871</v>
      </c>
      <c r="AI100" s="19">
        <v>2954.7336410072367</v>
      </c>
      <c r="AJ100" s="19">
        <v>3192.9526426133352</v>
      </c>
      <c r="AK100" s="19">
        <v>2906.3148686188788</v>
      </c>
      <c r="AL100" s="19">
        <v>317.5133914605783</v>
      </c>
      <c r="AM100" s="19">
        <v>1659.975410620644</v>
      </c>
      <c r="AN100" s="19">
        <v>3284.010931129113</v>
      </c>
      <c r="AO100" s="19"/>
      <c r="AP100" s="19">
        <v>1.0425856260421156</v>
      </c>
      <c r="AQ100" s="19">
        <v>0.81277020737307226</v>
      </c>
      <c r="AR100" s="19">
        <v>1.9544526738034809</v>
      </c>
      <c r="AS100" s="19">
        <v>0.95978496766138033</v>
      </c>
      <c r="AT100" s="19">
        <v>1.0664546157526822</v>
      </c>
      <c r="AU100" s="19">
        <v>0.7121139644262855</v>
      </c>
      <c r="AV100" s="19">
        <v>0.73299701969459197</v>
      </c>
      <c r="AW100" s="19">
        <v>0.591189464460117</v>
      </c>
      <c r="AX100" s="19">
        <v>0.93387901581009602</v>
      </c>
      <c r="AY100" s="19">
        <v>0.33837828072601972</v>
      </c>
      <c r="AZ100" s="19">
        <v>0.44241175970533936</v>
      </c>
      <c r="BA100" s="19">
        <v>0.41437094746424213</v>
      </c>
      <c r="BB100" s="19">
        <v>0.11878764559287797</v>
      </c>
      <c r="BC100" s="19">
        <v>0.91665527440065797</v>
      </c>
      <c r="BD100" s="19">
        <v>0.73353159173726279</v>
      </c>
      <c r="BE100" s="19">
        <v>0.58690364432598463</v>
      </c>
      <c r="BF100" s="19">
        <v>0.4702322554148835</v>
      </c>
      <c r="BG100" s="19">
        <v>0.79221362950167473</v>
      </c>
      <c r="BH100" s="19">
        <v>0.41332542799887106</v>
      </c>
      <c r="BI100" s="19">
        <v>0.53148410519990963</v>
      </c>
    </row>
    <row r="101" spans="1:61" x14ac:dyDescent="0.55000000000000004">
      <c r="A101" s="19" t="s">
        <v>752</v>
      </c>
      <c r="B101" s="19" t="s">
        <v>753</v>
      </c>
      <c r="C101" s="19" t="s">
        <v>322</v>
      </c>
      <c r="D101" s="19" t="s">
        <v>9</v>
      </c>
      <c r="E101" s="19">
        <v>2178</v>
      </c>
      <c r="F101" s="19">
        <v>66.654606693188583</v>
      </c>
      <c r="G101" s="19">
        <v>70.168431116534236</v>
      </c>
      <c r="H101" s="19">
        <v>152826.84297181157</v>
      </c>
      <c r="I101" s="19">
        <v>33.941775045822361</v>
      </c>
      <c r="J101" s="19">
        <v>14.621322795873725</v>
      </c>
      <c r="K101" s="19">
        <v>25.713906152034507</v>
      </c>
      <c r="L101" s="19">
        <v>40.163195190552401</v>
      </c>
      <c r="M101" s="19">
        <v>36.52584388430963</v>
      </c>
      <c r="N101" s="19">
        <v>16.308056286717605</v>
      </c>
      <c r="O101" s="19">
        <v>9.2918247967404888</v>
      </c>
      <c r="P101" s="19">
        <v>40.577219390643101</v>
      </c>
      <c r="Q101" s="19">
        <v>461.89714590469043</v>
      </c>
      <c r="R101" s="19">
        <v>128.3621774502264</v>
      </c>
      <c r="S101" s="19">
        <v>1002.6462708890637</v>
      </c>
      <c r="T101" s="19">
        <v>1070.4072352578921</v>
      </c>
      <c r="U101" s="19">
        <v>30.21123927519497</v>
      </c>
      <c r="V101" s="19">
        <v>16.694783206361564</v>
      </c>
      <c r="W101" s="19">
        <v>56.43665654149406</v>
      </c>
      <c r="X101" s="19">
        <v>65.50788802596071</v>
      </c>
      <c r="Y101" s="19">
        <v>35.095335238800381</v>
      </c>
      <c r="Z101" s="19">
        <v>35.452392970767065</v>
      </c>
      <c r="AA101" s="19">
        <v>16.627962675379749</v>
      </c>
      <c r="AB101" s="19">
        <v>45.235724144063916</v>
      </c>
      <c r="AC101" s="19">
        <v>25.041161355391701</v>
      </c>
      <c r="AD101" s="19">
        <v>23.344975097889041</v>
      </c>
      <c r="AE101" s="19">
        <v>37.672682960355516</v>
      </c>
      <c r="AF101" s="19">
        <v>44.447791356673271</v>
      </c>
      <c r="AG101" s="19">
        <v>928.69699040148635</v>
      </c>
      <c r="AH101" s="19">
        <v>169.98242052090308</v>
      </c>
      <c r="AI101" s="19">
        <v>2256.8570812633197</v>
      </c>
      <c r="AJ101" s="19">
        <v>2438.8612255276762</v>
      </c>
      <c r="AK101" s="19">
        <v>920.0757989462877</v>
      </c>
      <c r="AL101" s="19">
        <v>2053.833054350911</v>
      </c>
      <c r="AM101" s="19">
        <v>1253.9445217167815</v>
      </c>
      <c r="AN101" s="19">
        <v>2090.0864928573978</v>
      </c>
      <c r="AO101" s="19"/>
      <c r="AP101" s="19">
        <v>0.57238268764838451</v>
      </c>
      <c r="AQ101" s="19">
        <v>0.578283121696897</v>
      </c>
      <c r="AR101" s="19">
        <v>0.93358062854742474</v>
      </c>
      <c r="AS101" s="19">
        <v>0.64467344394429149</v>
      </c>
      <c r="AT101" s="19">
        <v>0.63344428041800349</v>
      </c>
      <c r="AU101" s="19">
        <v>0.84509648410160587</v>
      </c>
      <c r="AV101" s="19">
        <v>0.36404779865007114</v>
      </c>
      <c r="AW101" s="19">
        <v>0.64023556965615114</v>
      </c>
      <c r="AX101" s="19">
        <v>0.90015640383511109</v>
      </c>
      <c r="AY101" s="19">
        <v>0.40190176980136194</v>
      </c>
      <c r="AZ101" s="19">
        <v>0.22899116638049219</v>
      </c>
      <c r="BA101" s="19">
        <v>0.46118475477674209</v>
      </c>
      <c r="BB101" s="19">
        <v>0.2548514951320891</v>
      </c>
      <c r="BC101" s="19">
        <v>0.86152459256705494</v>
      </c>
      <c r="BD101" s="19">
        <v>0.77583228527592363</v>
      </c>
      <c r="BE101" s="19">
        <v>0.78372555411869815</v>
      </c>
      <c r="BF101" s="19">
        <v>0.36758475718049854</v>
      </c>
      <c r="BG101" s="19">
        <v>0.56338370459057896</v>
      </c>
      <c r="BH101" s="19">
        <v>0.52522238755478878</v>
      </c>
      <c r="BI101" s="19">
        <v>0.84757153978809441</v>
      </c>
    </row>
    <row r="102" spans="1:61" x14ac:dyDescent="0.55000000000000004">
      <c r="A102" s="19" t="s">
        <v>754</v>
      </c>
      <c r="B102" s="19" t="s">
        <v>755</v>
      </c>
      <c r="C102" s="19" t="s">
        <v>322</v>
      </c>
      <c r="D102" s="19" t="s">
        <v>9</v>
      </c>
      <c r="E102" s="19">
        <v>2285</v>
      </c>
      <c r="F102" s="19">
        <v>64.735565620699376</v>
      </c>
      <c r="G102" s="19">
        <v>37.162876317209566</v>
      </c>
      <c r="H102" s="19">
        <v>84917.172384823862</v>
      </c>
      <c r="I102" s="19">
        <v>44.404743221122885</v>
      </c>
      <c r="J102" s="19">
        <v>12.527130776980423</v>
      </c>
      <c r="K102" s="19">
        <v>22.71192836792126</v>
      </c>
      <c r="L102" s="19">
        <v>44.984530760046347</v>
      </c>
      <c r="M102" s="19">
        <v>31.307531838497745</v>
      </c>
      <c r="N102" s="19">
        <v>20.923211795953549</v>
      </c>
      <c r="O102" s="19">
        <v>10.239406770270504</v>
      </c>
      <c r="P102" s="19">
        <v>33.206027499671563</v>
      </c>
      <c r="Q102" s="19">
        <v>319.43749601945399</v>
      </c>
      <c r="R102" s="19">
        <v>58.000737089926915</v>
      </c>
      <c r="S102" s="19">
        <v>1105.562060861108</v>
      </c>
      <c r="T102" s="19">
        <v>1105.5623272259947</v>
      </c>
      <c r="U102" s="19">
        <v>51.231900758357533</v>
      </c>
      <c r="V102" s="19">
        <v>8.3806672341882731</v>
      </c>
      <c r="W102" s="19">
        <v>56.569955155268254</v>
      </c>
      <c r="X102" s="19">
        <v>63.282428948666478</v>
      </c>
      <c r="Y102" s="19">
        <v>51.456328881284747</v>
      </c>
      <c r="Z102" s="19">
        <v>22.856392887794946</v>
      </c>
      <c r="AA102" s="19">
        <v>23.11060004576596</v>
      </c>
      <c r="AB102" s="19">
        <v>54.388473734346938</v>
      </c>
      <c r="AC102" s="19">
        <v>48.404006711781498</v>
      </c>
      <c r="AD102" s="19">
        <v>24.065968366386628</v>
      </c>
      <c r="AE102" s="19">
        <v>41.361169431721606</v>
      </c>
      <c r="AF102" s="19">
        <v>59.142172619617455</v>
      </c>
      <c r="AG102" s="19">
        <v>1198.369621833456</v>
      </c>
      <c r="AH102" s="19">
        <v>211.37264195561255</v>
      </c>
      <c r="AI102" s="19">
        <v>2674.1303756392431</v>
      </c>
      <c r="AJ102" s="19">
        <v>2926.8829494475449</v>
      </c>
      <c r="AK102" s="19">
        <v>1934.7087666973569</v>
      </c>
      <c r="AL102" s="19">
        <v>2344.2430947587682</v>
      </c>
      <c r="AM102" s="19">
        <v>2362.472604656869</v>
      </c>
      <c r="AN102" s="19">
        <v>2673.4327457705272</v>
      </c>
      <c r="AO102" s="19"/>
      <c r="AP102" s="19">
        <v>1.2104695658127702</v>
      </c>
      <c r="AQ102" s="19">
        <v>0.89352684157803886</v>
      </c>
      <c r="AR102" s="19">
        <v>1.7028399096052032</v>
      </c>
      <c r="AS102" s="19">
        <v>1.4635162593472471</v>
      </c>
      <c r="AT102" s="19">
        <v>1.5914315166242827</v>
      </c>
      <c r="AU102" s="19">
        <v>0.98711140187243196</v>
      </c>
      <c r="AV102" s="19">
        <v>0.27847641323195865</v>
      </c>
      <c r="AW102" s="19">
        <v>0.50488307834241508</v>
      </c>
      <c r="AX102" s="19">
        <v>0.94282677561498152</v>
      </c>
      <c r="AY102" s="19">
        <v>0.63010282684854424</v>
      </c>
      <c r="AZ102" s="19">
        <v>0.30835988346910154</v>
      </c>
      <c r="BA102" s="19">
        <v>0.80957544786904267</v>
      </c>
      <c r="BB102" s="19">
        <v>0.13243276804350404</v>
      </c>
      <c r="BC102" s="19">
        <v>0.89392831620222324</v>
      </c>
      <c r="BD102" s="19">
        <v>0.94608885574940282</v>
      </c>
      <c r="BE102" s="19">
        <v>0.42024332213170518</v>
      </c>
      <c r="BF102" s="19">
        <v>0.42491723813847992</v>
      </c>
      <c r="BG102" s="19">
        <v>0.81843470687321174</v>
      </c>
      <c r="BH102" s="19">
        <v>0.4069172182965079</v>
      </c>
      <c r="BI102" s="19">
        <v>0.69935153883748447</v>
      </c>
    </row>
    <row r="103" spans="1:61" x14ac:dyDescent="0.55000000000000004">
      <c r="A103" s="19" t="s">
        <v>756</v>
      </c>
      <c r="B103" s="19" t="s">
        <v>757</v>
      </c>
      <c r="C103" s="19" t="s">
        <v>322</v>
      </c>
      <c r="D103" s="19" t="s">
        <v>9</v>
      </c>
      <c r="E103" s="19">
        <v>2119</v>
      </c>
      <c r="F103" s="19">
        <v>66.605474674122533</v>
      </c>
      <c r="G103" s="19">
        <v>39.438906295419542</v>
      </c>
      <c r="H103" s="19">
        <v>83571.042439994009</v>
      </c>
      <c r="I103" s="19">
        <v>32.303714017094563</v>
      </c>
      <c r="J103" s="19">
        <v>14.815797918434773</v>
      </c>
      <c r="K103" s="19">
        <v>20.807654671874452</v>
      </c>
      <c r="L103" s="19">
        <v>39.586510549737277</v>
      </c>
      <c r="M103" s="19">
        <v>34.478094013493319</v>
      </c>
      <c r="N103" s="19">
        <v>9.4309154323744551</v>
      </c>
      <c r="O103" s="19">
        <v>13.968424458024355</v>
      </c>
      <c r="P103" s="19">
        <v>37.541280892421973</v>
      </c>
      <c r="Q103" s="19">
        <v>505.80877937922946</v>
      </c>
      <c r="R103" s="19">
        <v>26.734536767635589</v>
      </c>
      <c r="S103" s="19">
        <v>1090.318829463037</v>
      </c>
      <c r="T103" s="19">
        <v>1170.8187575378788</v>
      </c>
      <c r="U103" s="19">
        <v>63.610786528135527</v>
      </c>
      <c r="V103" s="19">
        <v>11.385477792551725</v>
      </c>
      <c r="W103" s="19">
        <v>71.471042016935513</v>
      </c>
      <c r="X103" s="19">
        <v>81.281900483738426</v>
      </c>
      <c r="Y103" s="19">
        <v>46.293668357970667</v>
      </c>
      <c r="Z103" s="19">
        <v>27.598790434040815</v>
      </c>
      <c r="AA103" s="19">
        <v>8.3569046982432162</v>
      </c>
      <c r="AB103" s="19">
        <v>50.63641269676085</v>
      </c>
      <c r="AC103" s="19">
        <v>34.095975014176474</v>
      </c>
      <c r="AD103" s="19">
        <v>22.755943978421652</v>
      </c>
      <c r="AE103" s="19">
        <v>33.36127973889873</v>
      </c>
      <c r="AF103" s="19">
        <v>45.495251496050258</v>
      </c>
      <c r="AG103" s="19">
        <v>1550.5609665556856</v>
      </c>
      <c r="AH103" s="19">
        <v>201.0002897741503</v>
      </c>
      <c r="AI103" s="19">
        <v>3327.1470797991196</v>
      </c>
      <c r="AJ103" s="19">
        <v>3668.9809628955827</v>
      </c>
      <c r="AK103" s="19">
        <v>2440.6288232269735</v>
      </c>
      <c r="AL103" s="19">
        <v>1030.7402695075286</v>
      </c>
      <c r="AM103" s="19">
        <v>1191.2327171585471</v>
      </c>
      <c r="AN103" s="19">
        <v>2709.7174433022028</v>
      </c>
      <c r="AO103" s="19"/>
      <c r="AP103" s="19">
        <v>1.0037426051628333</v>
      </c>
      <c r="AQ103" s="19">
        <v>0.95188443135863632</v>
      </c>
      <c r="AR103" s="19">
        <v>2.060957265774344</v>
      </c>
      <c r="AS103" s="19">
        <v>1.2839203074615126</v>
      </c>
      <c r="AT103" s="19">
        <v>1.1535627067156804</v>
      </c>
      <c r="AU103" s="19">
        <v>0.81602832804643233</v>
      </c>
      <c r="AV103" s="19">
        <v>0.3742638012971593</v>
      </c>
      <c r="AW103" s="19">
        <v>0.52562487531532498</v>
      </c>
      <c r="AX103" s="19">
        <v>0.91840483845752363</v>
      </c>
      <c r="AY103" s="19">
        <v>0.25121453525785703</v>
      </c>
      <c r="AZ103" s="19">
        <v>0.37208172246578836</v>
      </c>
      <c r="BA103" s="19">
        <v>0.78259472465043745</v>
      </c>
      <c r="BB103" s="19">
        <v>0.14007396142059386</v>
      </c>
      <c r="BC103" s="19">
        <v>0.87929836275462447</v>
      </c>
      <c r="BD103" s="19">
        <v>0.91423672990428917</v>
      </c>
      <c r="BE103" s="19">
        <v>0.5450384212506878</v>
      </c>
      <c r="BF103" s="19">
        <v>0.1650374553246699</v>
      </c>
      <c r="BG103" s="19">
        <v>0.7494403018551633</v>
      </c>
      <c r="BH103" s="19">
        <v>0.50018283733187507</v>
      </c>
      <c r="BI103" s="19">
        <v>0.73329146761162634</v>
      </c>
    </row>
    <row r="104" spans="1:61" x14ac:dyDescent="0.55000000000000004">
      <c r="A104" s="19" t="s">
        <v>758</v>
      </c>
      <c r="B104" s="19" t="s">
        <v>759</v>
      </c>
      <c r="C104" s="19" t="s">
        <v>322</v>
      </c>
      <c r="D104" s="19" t="s">
        <v>9</v>
      </c>
      <c r="E104" s="19">
        <v>2281</v>
      </c>
      <c r="F104" s="19">
        <v>68.642180614896105</v>
      </c>
      <c r="G104" s="19">
        <v>37.132476048270249</v>
      </c>
      <c r="H104" s="19">
        <v>84699.177866104437</v>
      </c>
      <c r="I104" s="19">
        <v>44.691924840606632</v>
      </c>
      <c r="J104" s="19">
        <v>68.900733067617381</v>
      </c>
      <c r="K104" s="19">
        <v>36.448726887368416</v>
      </c>
      <c r="L104" s="19">
        <v>81.383396122683436</v>
      </c>
      <c r="M104" s="19">
        <v>31.691511335043327</v>
      </c>
      <c r="N104" s="19">
        <v>12.061495636003077</v>
      </c>
      <c r="O104" s="19">
        <v>27.765117708008521</v>
      </c>
      <c r="P104" s="19">
        <v>40.675120791384856</v>
      </c>
      <c r="Q104" s="19">
        <v>828.00940121778444</v>
      </c>
      <c r="R104" s="19">
        <v>407.6048884553893</v>
      </c>
      <c r="S104" s="19">
        <v>1579.0162652895231</v>
      </c>
      <c r="T104" s="19">
        <v>1625.0389591915839</v>
      </c>
      <c r="U104" s="19">
        <v>55.210866704741505</v>
      </c>
      <c r="V104" s="19">
        <v>18.241044224905867</v>
      </c>
      <c r="W104" s="19">
        <v>73.287643459701656</v>
      </c>
      <c r="X104" s="19">
        <v>80.145277181572368</v>
      </c>
      <c r="Y104" s="19">
        <v>44.518282267513705</v>
      </c>
      <c r="Z104" s="19">
        <v>21.861655131694317</v>
      </c>
      <c r="AA104" s="19">
        <v>7.2760346477831748</v>
      </c>
      <c r="AB104" s="19">
        <v>47.601813524243546</v>
      </c>
      <c r="AC104" s="19">
        <v>46.455631495734075</v>
      </c>
      <c r="AD104" s="19">
        <v>14.4545057755053</v>
      </c>
      <c r="AE104" s="19">
        <v>26.414682544506086</v>
      </c>
      <c r="AF104" s="19">
        <v>50.521612633546098</v>
      </c>
      <c r="AG104" s="19">
        <v>1245.7477948113981</v>
      </c>
      <c r="AH104" s="19">
        <v>227.09971071584266</v>
      </c>
      <c r="AI104" s="19">
        <v>2645.0825308375638</v>
      </c>
      <c r="AJ104" s="19">
        <v>2868.9195645570794</v>
      </c>
      <c r="AK104" s="19">
        <v>1263.3122538760299</v>
      </c>
      <c r="AL104" s="19">
        <v>430.63661900498005</v>
      </c>
      <c r="AM104" s="19">
        <v>1606.1868272911984</v>
      </c>
      <c r="AN104" s="19">
        <v>1754.4441815684183</v>
      </c>
      <c r="AO104" s="19"/>
      <c r="AP104" s="19">
        <v>2.1917039956314612</v>
      </c>
      <c r="AQ104" s="19">
        <v>1.0954055619266907</v>
      </c>
      <c r="AR104" s="19">
        <v>2.1583607049900944</v>
      </c>
      <c r="AS104" s="19">
        <v>1.2819455794535144</v>
      </c>
      <c r="AT104" s="19">
        <v>1.3605775323969962</v>
      </c>
      <c r="AU104" s="19">
        <v>0.54915286126957241</v>
      </c>
      <c r="AV104" s="19">
        <v>0.84661904454996262</v>
      </c>
      <c r="AW104" s="19">
        <v>0.44786441244627923</v>
      </c>
      <c r="AX104" s="19">
        <v>0.77913748548119144</v>
      </c>
      <c r="AY104" s="19">
        <v>0.29653250934064213</v>
      </c>
      <c r="AZ104" s="19">
        <v>0.68260689010392017</v>
      </c>
      <c r="BA104" s="19">
        <v>0.68888484320366195</v>
      </c>
      <c r="BB104" s="19">
        <v>0.22759973970244116</v>
      </c>
      <c r="BC104" s="19">
        <v>0.91443496157191562</v>
      </c>
      <c r="BD104" s="19">
        <v>0.93522239955922259</v>
      </c>
      <c r="BE104" s="19">
        <v>0.45926097165521229</v>
      </c>
      <c r="BF104" s="19">
        <v>0.15285204720356924</v>
      </c>
      <c r="BG104" s="19">
        <v>0.91951996530070712</v>
      </c>
      <c r="BH104" s="19">
        <v>0.2861053917726209</v>
      </c>
      <c r="BI104" s="19">
        <v>0.52283925962741074</v>
      </c>
    </row>
    <row r="105" spans="1:61" x14ac:dyDescent="0.55000000000000004">
      <c r="A105" s="19" t="s">
        <v>760</v>
      </c>
      <c r="B105" s="19" t="s">
        <v>761</v>
      </c>
      <c r="C105" s="19" t="s">
        <v>322</v>
      </c>
      <c r="D105" s="19" t="s">
        <v>9</v>
      </c>
      <c r="E105" s="19">
        <v>2191</v>
      </c>
      <c r="F105" s="19">
        <v>70.048231336485557</v>
      </c>
      <c r="G105" s="19">
        <v>37.389884087774924</v>
      </c>
      <c r="H105" s="19">
        <v>81921.236036314862</v>
      </c>
      <c r="I105" s="19">
        <v>36.427471385293714</v>
      </c>
      <c r="J105" s="19">
        <v>13.722317090841294</v>
      </c>
      <c r="K105" s="19">
        <v>26.712208995470103</v>
      </c>
      <c r="L105" s="19">
        <v>41.175070421626131</v>
      </c>
      <c r="M105" s="19">
        <v>28.689682715325873</v>
      </c>
      <c r="N105" s="19">
        <v>15.331132295057051</v>
      </c>
      <c r="O105" s="19">
        <v>17.709969641553315</v>
      </c>
      <c r="P105" s="19">
        <v>33.930022033252989</v>
      </c>
      <c r="Q105" s="19">
        <v>499.05335672662324</v>
      </c>
      <c r="R105" s="19">
        <v>111.82083351819229</v>
      </c>
      <c r="S105" s="19">
        <v>985.64729982220331</v>
      </c>
      <c r="T105" s="19">
        <v>1052.3271518088914</v>
      </c>
      <c r="U105" s="19">
        <v>19.562134745521863</v>
      </c>
      <c r="V105" s="19">
        <v>16.499947064417729</v>
      </c>
      <c r="W105" s="19">
        <v>60.525467142877822</v>
      </c>
      <c r="X105" s="19">
        <v>62.691191702233034</v>
      </c>
      <c r="Y105" s="19">
        <v>28.585222386457431</v>
      </c>
      <c r="Z105" s="19">
        <v>19.390134088344858</v>
      </c>
      <c r="AA105" s="19">
        <v>20.910785598800107</v>
      </c>
      <c r="AB105" s="19">
        <v>36.921696137897776</v>
      </c>
      <c r="AC105" s="19">
        <v>28.696206793114481</v>
      </c>
      <c r="AD105" s="19">
        <v>14.27599097655343</v>
      </c>
      <c r="AE105" s="19">
        <v>31.357591892264537</v>
      </c>
      <c r="AF105" s="19">
        <v>43.593123451847077</v>
      </c>
      <c r="AG105" s="19">
        <v>660.99268047345856</v>
      </c>
      <c r="AH105" s="19">
        <v>31.597977891636795</v>
      </c>
      <c r="AI105" s="19">
        <v>2093.5923546792865</v>
      </c>
      <c r="AJ105" s="19">
        <v>2165.0275088082089</v>
      </c>
      <c r="AK105" s="19">
        <v>1941.9508516840676</v>
      </c>
      <c r="AL105" s="19">
        <v>1389.3219267984848</v>
      </c>
      <c r="AM105" s="19">
        <v>2561.1216039199489</v>
      </c>
      <c r="AN105" s="19">
        <v>3178.6055071430746</v>
      </c>
      <c r="AO105" s="19"/>
      <c r="AP105" s="19">
        <v>1.1012355728347609</v>
      </c>
      <c r="AQ105" s="19">
        <v>0.90746529070805071</v>
      </c>
      <c r="AR105" s="19">
        <v>1.6766885811965029</v>
      </c>
      <c r="AS105" s="19">
        <v>0.98747821874017983</v>
      </c>
      <c r="AT105" s="19">
        <v>1.1659068894011464</v>
      </c>
      <c r="AU105" s="19">
        <v>0.88469724550030482</v>
      </c>
      <c r="AV105" s="19">
        <v>0.33326760465317878</v>
      </c>
      <c r="AW105" s="19">
        <v>0.64874713563186071</v>
      </c>
      <c r="AX105" s="19">
        <v>0.8455544970530422</v>
      </c>
      <c r="AY105" s="19">
        <v>0.45184563334594458</v>
      </c>
      <c r="AZ105" s="19">
        <v>0.52195573655085536</v>
      </c>
      <c r="BA105" s="19">
        <v>0.31203960579401568</v>
      </c>
      <c r="BB105" s="19">
        <v>0.26319402481273946</v>
      </c>
      <c r="BC105" s="19">
        <v>0.96545408532602406</v>
      </c>
      <c r="BD105" s="19">
        <v>0.77421205893941902</v>
      </c>
      <c r="BE105" s="19">
        <v>0.52516910425580687</v>
      </c>
      <c r="BF105" s="19">
        <v>0.56635495619434761</v>
      </c>
      <c r="BG105" s="19">
        <v>0.65827370284242848</v>
      </c>
      <c r="BH105" s="19">
        <v>0.32748263593276761</v>
      </c>
      <c r="BI105" s="19">
        <v>0.71932427431822143</v>
      </c>
    </row>
    <row r="106" spans="1:61" x14ac:dyDescent="0.55000000000000004">
      <c r="A106" s="19" t="s">
        <v>762</v>
      </c>
      <c r="B106" s="19" t="s">
        <v>763</v>
      </c>
      <c r="C106" s="19" t="s">
        <v>322</v>
      </c>
      <c r="D106" s="19" t="s">
        <v>9</v>
      </c>
      <c r="E106" s="19">
        <v>2181</v>
      </c>
      <c r="F106" s="19">
        <v>69.162817971698402</v>
      </c>
      <c r="G106" s="19">
        <v>39.357817466518213</v>
      </c>
      <c r="H106" s="19">
        <v>85839.399894476228</v>
      </c>
      <c r="I106" s="19">
        <v>35.936891646119349</v>
      </c>
      <c r="J106" s="19">
        <v>16.138228890885152</v>
      </c>
      <c r="K106" s="19">
        <v>34.96537833347184</v>
      </c>
      <c r="L106" s="19">
        <v>44.884391474407614</v>
      </c>
      <c r="M106" s="19">
        <v>39.454909981229108</v>
      </c>
      <c r="N106" s="19">
        <v>13.684252924212709</v>
      </c>
      <c r="O106" s="19">
        <v>13.484119080563385</v>
      </c>
      <c r="P106" s="19">
        <v>42.159615566637527</v>
      </c>
      <c r="Q106" s="19">
        <v>460.34772512232809</v>
      </c>
      <c r="R106" s="19">
        <v>73.775080731574718</v>
      </c>
      <c r="S106" s="19">
        <v>1475.7742097276746</v>
      </c>
      <c r="T106" s="19">
        <v>1477.4395323117024</v>
      </c>
      <c r="U106" s="19">
        <v>23.24652433439903</v>
      </c>
      <c r="V106" s="19">
        <v>15.191675021365882</v>
      </c>
      <c r="W106" s="19">
        <v>59.863245550222388</v>
      </c>
      <c r="X106" s="19">
        <v>63.514384121952837</v>
      </c>
      <c r="Y106" s="19">
        <v>30.014632553056526</v>
      </c>
      <c r="Z106" s="19">
        <v>22.409886006629797</v>
      </c>
      <c r="AA106" s="19">
        <v>17.717853985596921</v>
      </c>
      <c r="AB106" s="19">
        <v>39.6634425060357</v>
      </c>
      <c r="AC106" s="19">
        <v>43.576445418159452</v>
      </c>
      <c r="AD106" s="19">
        <v>31.589061752359488</v>
      </c>
      <c r="AE106" s="19">
        <v>41.687488136831107</v>
      </c>
      <c r="AF106" s="19">
        <v>67.786207217181385</v>
      </c>
      <c r="AG106" s="19">
        <v>798.11067065159023</v>
      </c>
      <c r="AH106" s="19">
        <v>434.47400329883601</v>
      </c>
      <c r="AI106" s="19">
        <v>2149.1681400585485</v>
      </c>
      <c r="AJ106" s="19">
        <v>2250.2954434963053</v>
      </c>
      <c r="AK106" s="19">
        <v>1264.8737838809107</v>
      </c>
      <c r="AL106" s="19">
        <v>3055.4009021177048</v>
      </c>
      <c r="AM106" s="19">
        <v>2549.1460614528687</v>
      </c>
      <c r="AN106" s="19">
        <v>3058.6118803329055</v>
      </c>
      <c r="AO106" s="19"/>
      <c r="AP106" s="19">
        <v>1.1404187112913684</v>
      </c>
      <c r="AQ106" s="19">
        <v>1.0711878422248087</v>
      </c>
      <c r="AR106" s="19">
        <v>1.6137679426961282</v>
      </c>
      <c r="AS106" s="19">
        <v>1.0077652943986917</v>
      </c>
      <c r="AT106" s="19">
        <v>1.7223060520275868</v>
      </c>
      <c r="AU106" s="19">
        <v>0.80065453636839456</v>
      </c>
      <c r="AV106" s="19">
        <v>0.35955102343510487</v>
      </c>
      <c r="AW106" s="19">
        <v>0.77900974447673099</v>
      </c>
      <c r="AX106" s="19">
        <v>0.93584605672854493</v>
      </c>
      <c r="AY106" s="19">
        <v>0.32458201386071384</v>
      </c>
      <c r="AZ106" s="19">
        <v>0.31983496289833035</v>
      </c>
      <c r="BA106" s="19">
        <v>0.36600408955810376</v>
      </c>
      <c r="BB106" s="19">
        <v>0.23918479619036559</v>
      </c>
      <c r="BC106" s="19">
        <v>0.94251477642103931</v>
      </c>
      <c r="BD106" s="19">
        <v>0.75673291718158631</v>
      </c>
      <c r="BE106" s="19">
        <v>0.56500103346348773</v>
      </c>
      <c r="BF106" s="19">
        <v>0.44670489665390856</v>
      </c>
      <c r="BG106" s="19">
        <v>0.64285121128763167</v>
      </c>
      <c r="BH106" s="19">
        <v>0.46601016710008208</v>
      </c>
      <c r="BI106" s="19">
        <v>0.61498481546943395</v>
      </c>
    </row>
    <row r="107" spans="1:61" x14ac:dyDescent="0.55000000000000004">
      <c r="A107" s="19" t="s">
        <v>764</v>
      </c>
      <c r="B107" s="19" t="s">
        <v>765</v>
      </c>
      <c r="C107" s="19" t="s">
        <v>322</v>
      </c>
      <c r="D107" s="19" t="s">
        <v>9</v>
      </c>
      <c r="E107" s="19">
        <v>2133</v>
      </c>
      <c r="F107" s="19">
        <v>66.574537336842099</v>
      </c>
      <c r="G107" s="19">
        <v>36.070881261283752</v>
      </c>
      <c r="H107" s="19">
        <v>76939.189730318249</v>
      </c>
      <c r="I107" s="19">
        <v>30.030710177479705</v>
      </c>
      <c r="J107" s="19">
        <v>12.735596869646193</v>
      </c>
      <c r="K107" s="19">
        <v>25.318698206749467</v>
      </c>
      <c r="L107" s="19">
        <v>39.02136773186232</v>
      </c>
      <c r="M107" s="19">
        <v>34.321645651438331</v>
      </c>
      <c r="N107" s="19">
        <v>9.7662307435943223</v>
      </c>
      <c r="O107" s="19">
        <v>9.482789747249285</v>
      </c>
      <c r="P107" s="19">
        <v>36.32206182367716</v>
      </c>
      <c r="Q107" s="19">
        <v>542.83664448573791</v>
      </c>
      <c r="R107" s="19">
        <v>43.234514040189218</v>
      </c>
      <c r="S107" s="19">
        <v>1057.3507602537845</v>
      </c>
      <c r="T107" s="19">
        <v>1057.7266591902244</v>
      </c>
      <c r="U107" s="19">
        <v>57.221752561330149</v>
      </c>
      <c r="V107" s="19">
        <v>13.833290351759883</v>
      </c>
      <c r="W107" s="19">
        <v>74.484662529997024</v>
      </c>
      <c r="X107" s="19">
        <v>85.335361884780255</v>
      </c>
      <c r="Y107" s="19">
        <v>40.110426623121107</v>
      </c>
      <c r="Z107" s="19">
        <v>29.248996255155831</v>
      </c>
      <c r="AA107" s="19">
        <v>17.035779767417466</v>
      </c>
      <c r="AB107" s="19">
        <v>44.979362693047662</v>
      </c>
      <c r="AC107" s="19">
        <v>35.124325669328861</v>
      </c>
      <c r="AD107" s="19">
        <v>15.169810954994073</v>
      </c>
      <c r="AE107" s="19">
        <v>32.574845950149609</v>
      </c>
      <c r="AF107" s="19">
        <v>49.067979636569753</v>
      </c>
      <c r="AG107" s="19">
        <v>1461.8731346052602</v>
      </c>
      <c r="AH107" s="19">
        <v>429.05369341897307</v>
      </c>
      <c r="AI107" s="19">
        <v>3054.2623255092753</v>
      </c>
      <c r="AJ107" s="19">
        <v>3372.8940648791322</v>
      </c>
      <c r="AK107" s="19">
        <v>1776.0723415365628</v>
      </c>
      <c r="AL107" s="19">
        <v>2713.7390985226657</v>
      </c>
      <c r="AM107" s="19">
        <v>757.06477325731805</v>
      </c>
      <c r="AN107" s="19">
        <v>2827.6898475389053</v>
      </c>
      <c r="AO107" s="19"/>
      <c r="AP107" s="19">
        <v>1.0817969056316192</v>
      </c>
      <c r="AQ107" s="19">
        <v>1.0069635271889796</v>
      </c>
      <c r="AR107" s="19">
        <v>2.3657687004274539</v>
      </c>
      <c r="AS107" s="19">
        <v>1.2469715493567861</v>
      </c>
      <c r="AT107" s="19">
        <v>1.3603210656579183</v>
      </c>
      <c r="AU107" s="19">
        <v>0.76959655499103818</v>
      </c>
      <c r="AV107" s="19">
        <v>0.32637494813507345</v>
      </c>
      <c r="AW107" s="19">
        <v>0.64884189556676808</v>
      </c>
      <c r="AX107" s="19">
        <v>0.9449255886973128</v>
      </c>
      <c r="AY107" s="19">
        <v>0.2688787544882168</v>
      </c>
      <c r="AZ107" s="19">
        <v>0.26107520529211165</v>
      </c>
      <c r="BA107" s="19">
        <v>0.67055147241996726</v>
      </c>
      <c r="BB107" s="19">
        <v>0.16210501773505787</v>
      </c>
      <c r="BC107" s="19">
        <v>0.87284638964285599</v>
      </c>
      <c r="BD107" s="19">
        <v>0.89175177729498745</v>
      </c>
      <c r="BE107" s="19">
        <v>0.65027591552951836</v>
      </c>
      <c r="BF107" s="19">
        <v>0.37874657948523227</v>
      </c>
      <c r="BG107" s="19">
        <v>0.71582987376865914</v>
      </c>
      <c r="BH107" s="19">
        <v>0.30915907007689802</v>
      </c>
      <c r="BI107" s="19">
        <v>0.66387175896421013</v>
      </c>
    </row>
    <row r="108" spans="1:61" x14ac:dyDescent="0.55000000000000004">
      <c r="A108" s="19" t="s">
        <v>766</v>
      </c>
      <c r="B108" s="19" t="s">
        <v>767</v>
      </c>
      <c r="C108" s="19" t="s">
        <v>322</v>
      </c>
      <c r="D108" s="19" t="s">
        <v>9</v>
      </c>
      <c r="E108" s="19">
        <v>2204</v>
      </c>
      <c r="F108" s="19">
        <v>69.251687918836808</v>
      </c>
      <c r="G108" s="19">
        <v>41.304911506728054</v>
      </c>
      <c r="H108" s="19">
        <v>91036.024960828625</v>
      </c>
      <c r="I108" s="19">
        <v>37.686951988359176</v>
      </c>
      <c r="J108" s="19">
        <v>5.4391808656631699</v>
      </c>
      <c r="K108" s="19">
        <v>27.190980829064618</v>
      </c>
      <c r="L108" s="19">
        <v>46.343918375749951</v>
      </c>
      <c r="M108" s="19">
        <v>31.837131837475578</v>
      </c>
      <c r="N108" s="19">
        <v>12.373720964174545</v>
      </c>
      <c r="O108" s="19">
        <v>15.120814473335244</v>
      </c>
      <c r="P108" s="19">
        <v>34.984109940601456</v>
      </c>
      <c r="Q108" s="19">
        <v>454.70101790729154</v>
      </c>
      <c r="R108" s="19">
        <v>100.28240703447659</v>
      </c>
      <c r="S108" s="19">
        <v>1018.1067652221708</v>
      </c>
      <c r="T108" s="19">
        <v>1043.2826959215727</v>
      </c>
      <c r="U108" s="19">
        <v>62.077269505746834</v>
      </c>
      <c r="V108" s="19">
        <v>14.101618308898058</v>
      </c>
      <c r="W108" s="19">
        <v>64.373629552011792</v>
      </c>
      <c r="X108" s="19">
        <v>81.08094243496555</v>
      </c>
      <c r="Y108" s="19">
        <v>37.623304957020025</v>
      </c>
      <c r="Z108" s="19">
        <v>23.814436756888703</v>
      </c>
      <c r="AA108" s="19">
        <v>9.7328681192243049</v>
      </c>
      <c r="AB108" s="19">
        <v>42.107262222892729</v>
      </c>
      <c r="AC108" s="19">
        <v>29.707513052729219</v>
      </c>
      <c r="AD108" s="19">
        <v>20.303292228299139</v>
      </c>
      <c r="AE108" s="19">
        <v>24.28062454446475</v>
      </c>
      <c r="AF108" s="19">
        <v>39.602163055631252</v>
      </c>
      <c r="AG108" s="19">
        <v>1345.5865675504351</v>
      </c>
      <c r="AH108" s="19">
        <v>471.33778085363372</v>
      </c>
      <c r="AI108" s="19">
        <v>3551.6365616149524</v>
      </c>
      <c r="AJ108" s="19">
        <v>3797.7350345543218</v>
      </c>
      <c r="AK108" s="19">
        <v>1660.4311757576234</v>
      </c>
      <c r="AL108" s="19">
        <v>1076.5668130203503</v>
      </c>
      <c r="AM108" s="19">
        <v>736.78278396580697</v>
      </c>
      <c r="AN108" s="19">
        <v>1727.7728346084846</v>
      </c>
      <c r="AO108" s="19"/>
      <c r="AP108" s="19">
        <v>1.1219953435368359</v>
      </c>
      <c r="AQ108" s="19">
        <v>0.84697215571816398</v>
      </c>
      <c r="AR108" s="19">
        <v>1.9629855016577986</v>
      </c>
      <c r="AS108" s="19">
        <v>1.019425068034197</v>
      </c>
      <c r="AT108" s="19">
        <v>0.95877612639796006</v>
      </c>
      <c r="AU108" s="19">
        <v>0.81320167368668927</v>
      </c>
      <c r="AV108" s="19">
        <v>0.11736558012991175</v>
      </c>
      <c r="AW108" s="19">
        <v>0.58672166234637269</v>
      </c>
      <c r="AX108" s="19">
        <v>0.91004550041521581</v>
      </c>
      <c r="AY108" s="19">
        <v>0.35369546303117444</v>
      </c>
      <c r="AZ108" s="19">
        <v>0.43221949905281148</v>
      </c>
      <c r="BA108" s="19">
        <v>0.7656209664254775</v>
      </c>
      <c r="BB108" s="19">
        <v>0.17392025654128115</v>
      </c>
      <c r="BC108" s="19">
        <v>0.79394278875884339</v>
      </c>
      <c r="BD108" s="19">
        <v>0.89351107079493564</v>
      </c>
      <c r="BE108" s="19">
        <v>0.5655660211492296</v>
      </c>
      <c r="BF108" s="19">
        <v>0.23114464359387329</v>
      </c>
      <c r="BG108" s="19">
        <v>0.75014874846602453</v>
      </c>
      <c r="BH108" s="19">
        <v>0.51268139570502835</v>
      </c>
      <c r="BI108" s="19">
        <v>0.61311359458715609</v>
      </c>
    </row>
    <row r="109" spans="1:61" x14ac:dyDescent="0.55000000000000004">
      <c r="A109" s="19" t="s">
        <v>768</v>
      </c>
      <c r="B109" s="19" t="s">
        <v>707</v>
      </c>
      <c r="C109" s="19" t="s">
        <v>322</v>
      </c>
      <c r="D109" s="19" t="s">
        <v>9</v>
      </c>
      <c r="E109" s="19">
        <v>2258</v>
      </c>
      <c r="F109" s="19">
        <v>64.691094332660597</v>
      </c>
      <c r="G109" s="19">
        <v>26.075120006205619</v>
      </c>
      <c r="H109" s="19">
        <v>58877.620974012287</v>
      </c>
      <c r="I109" s="19">
        <v>31.092873739366137</v>
      </c>
      <c r="J109" s="19">
        <v>7.7980278748726519</v>
      </c>
      <c r="K109" s="19">
        <v>26.450597984108317</v>
      </c>
      <c r="L109" s="19">
        <v>38.086333979895706</v>
      </c>
      <c r="M109" s="19">
        <v>26.270153010329754</v>
      </c>
      <c r="N109" s="19">
        <v>8.2558326022630375</v>
      </c>
      <c r="O109" s="19">
        <v>16.218959992177371</v>
      </c>
      <c r="P109" s="19">
        <v>28.64426263660399</v>
      </c>
      <c r="Q109" s="19">
        <v>594.85110586629446</v>
      </c>
      <c r="R109" s="19">
        <v>109.86044996136621</v>
      </c>
      <c r="S109" s="19">
        <v>855.1485078083133</v>
      </c>
      <c r="T109" s="19">
        <v>869.04934055659714</v>
      </c>
      <c r="U109" s="19">
        <v>30.756665228241815</v>
      </c>
      <c r="V109" s="19">
        <v>7.9660601113503553</v>
      </c>
      <c r="W109" s="19">
        <v>34.046101452066758</v>
      </c>
      <c r="X109" s="19">
        <v>39.541350307714303</v>
      </c>
      <c r="Y109" s="19">
        <v>22.159108374396062</v>
      </c>
      <c r="Z109" s="19">
        <v>18.121227179603423</v>
      </c>
      <c r="AA109" s="19">
        <v>11.60376665497154</v>
      </c>
      <c r="AB109" s="19">
        <v>28.858352000979178</v>
      </c>
      <c r="AC109" s="19">
        <v>25.88428528611259</v>
      </c>
      <c r="AD109" s="19">
        <v>17.851264554739142</v>
      </c>
      <c r="AE109" s="19">
        <v>20.485702131795211</v>
      </c>
      <c r="AF109" s="19">
        <v>36.484302141330822</v>
      </c>
      <c r="AG109" s="19">
        <v>633.63368470698208</v>
      </c>
      <c r="AH109" s="19">
        <v>408.37288785875432</v>
      </c>
      <c r="AI109" s="19">
        <v>1224.7073001865842</v>
      </c>
      <c r="AJ109" s="19">
        <v>1376.0929664737325</v>
      </c>
      <c r="AK109" s="19">
        <v>629.07311584160891</v>
      </c>
      <c r="AL109" s="19">
        <v>1869.1944435337919</v>
      </c>
      <c r="AM109" s="19">
        <v>387.01266254384694</v>
      </c>
      <c r="AN109" s="19">
        <v>1931.6091247209038</v>
      </c>
      <c r="AO109" s="19"/>
      <c r="AP109" s="19">
        <v>1.460638876094589</v>
      </c>
      <c r="AQ109" s="19">
        <v>1.0985285064761712</v>
      </c>
      <c r="AR109" s="19">
        <v>1.5164398207296401</v>
      </c>
      <c r="AS109" s="19">
        <v>1.1067389908123597</v>
      </c>
      <c r="AT109" s="19">
        <v>1.3991997786644097</v>
      </c>
      <c r="AU109" s="19">
        <v>0.8163787503354577</v>
      </c>
      <c r="AV109" s="19">
        <v>0.20474608763838828</v>
      </c>
      <c r="AW109" s="19">
        <v>0.694490522455392</v>
      </c>
      <c r="AX109" s="19">
        <v>0.91711744664565376</v>
      </c>
      <c r="AY109" s="19">
        <v>0.28821941437281257</v>
      </c>
      <c r="AZ109" s="19">
        <v>0.56622019557422476</v>
      </c>
      <c r="BA109" s="19">
        <v>0.77783548080403708</v>
      </c>
      <c r="BB109" s="19">
        <v>0.20146150926454881</v>
      </c>
      <c r="BC109" s="19">
        <v>0.86102526057195738</v>
      </c>
      <c r="BD109" s="19">
        <v>0.76785772013745601</v>
      </c>
      <c r="BE109" s="19">
        <v>0.62793700690145304</v>
      </c>
      <c r="BF109" s="19">
        <v>0.40209387752210585</v>
      </c>
      <c r="BG109" s="19">
        <v>0.70946362591350964</v>
      </c>
      <c r="BH109" s="19">
        <v>0.48928617260069618</v>
      </c>
      <c r="BI109" s="19">
        <v>0.56149359942363319</v>
      </c>
    </row>
    <row r="110" spans="1:61" x14ac:dyDescent="0.55000000000000004">
      <c r="A110" s="19" t="s">
        <v>769</v>
      </c>
      <c r="B110" s="19" t="s">
        <v>770</v>
      </c>
      <c r="C110" s="19" t="s">
        <v>322</v>
      </c>
      <c r="D110" s="19" t="s">
        <v>9</v>
      </c>
      <c r="E110" s="19">
        <v>2376</v>
      </c>
      <c r="F110" s="19">
        <v>66.3436131305766</v>
      </c>
      <c r="G110" s="19">
        <v>34.629887168432099</v>
      </c>
      <c r="H110" s="19">
        <v>82280.611912194669</v>
      </c>
      <c r="I110" s="19">
        <v>50.70792364256544</v>
      </c>
      <c r="J110" s="19">
        <v>16.784027044824132</v>
      </c>
      <c r="K110" s="19">
        <v>22.363945870205349</v>
      </c>
      <c r="L110" s="19">
        <v>54.31184704811438</v>
      </c>
      <c r="M110" s="19">
        <v>35.954490585785663</v>
      </c>
      <c r="N110" s="19">
        <v>13.660377662656664</v>
      </c>
      <c r="O110" s="19">
        <v>13.689773741157364</v>
      </c>
      <c r="P110" s="19">
        <v>37.494774802079242</v>
      </c>
      <c r="Q110" s="19">
        <v>677.50061600948891</v>
      </c>
      <c r="R110" s="19">
        <v>63.147136069453502</v>
      </c>
      <c r="S110" s="19">
        <v>1034.1453406641831</v>
      </c>
      <c r="T110" s="19">
        <v>1118.6792451196056</v>
      </c>
      <c r="U110" s="19">
        <v>56.588165982269246</v>
      </c>
      <c r="V110" s="19">
        <v>16.545905703226957</v>
      </c>
      <c r="W110" s="19">
        <v>87.684259650538237</v>
      </c>
      <c r="X110" s="19">
        <v>94.985483117342753</v>
      </c>
      <c r="Y110" s="19">
        <v>44.076547295257129</v>
      </c>
      <c r="Z110" s="19">
        <v>22.630154573967019</v>
      </c>
      <c r="AA110" s="19">
        <v>9.649319123808743</v>
      </c>
      <c r="AB110" s="19">
        <v>48.299922346835523</v>
      </c>
      <c r="AC110" s="19">
        <v>55.928025655278333</v>
      </c>
      <c r="AD110" s="19">
        <v>19.095569193204025</v>
      </c>
      <c r="AE110" s="19">
        <v>25.667343382071632</v>
      </c>
      <c r="AF110" s="19">
        <v>63.863453206616612</v>
      </c>
      <c r="AG110" s="19">
        <v>1456.9107607837323</v>
      </c>
      <c r="AH110" s="19">
        <v>41.577325286739082</v>
      </c>
      <c r="AI110" s="19">
        <v>3201.6632216320609</v>
      </c>
      <c r="AJ110" s="19">
        <v>3424.8857481227801</v>
      </c>
      <c r="AK110" s="19">
        <v>1397.0753144343948</v>
      </c>
      <c r="AL110" s="19">
        <v>1373.8016795537133</v>
      </c>
      <c r="AM110" s="19">
        <v>1198.4639005812637</v>
      </c>
      <c r="AN110" s="19">
        <v>1706.8599709974317</v>
      </c>
      <c r="AO110" s="19"/>
      <c r="AP110" s="19">
        <v>1.568351833892891</v>
      </c>
      <c r="AQ110" s="19">
        <v>1.0827287602674813</v>
      </c>
      <c r="AR110" s="19">
        <v>2.7428759052940141</v>
      </c>
      <c r="AS110" s="19">
        <v>1.3947467432370022</v>
      </c>
      <c r="AT110" s="19">
        <v>1.8441715647526926</v>
      </c>
      <c r="AU110" s="19">
        <v>0.93364388063701353</v>
      </c>
      <c r="AV110" s="19">
        <v>0.30903068035884163</v>
      </c>
      <c r="AW110" s="19">
        <v>0.41176920111726872</v>
      </c>
      <c r="AX110" s="19">
        <v>0.95892003020623118</v>
      </c>
      <c r="AY110" s="19">
        <v>0.36432750255908031</v>
      </c>
      <c r="AZ110" s="19">
        <v>0.36511150722788738</v>
      </c>
      <c r="BA110" s="19">
        <v>0.59575594211971949</v>
      </c>
      <c r="BB110" s="19">
        <v>0.1741940469238499</v>
      </c>
      <c r="BC110" s="19">
        <v>0.92313327018840596</v>
      </c>
      <c r="BD110" s="19">
        <v>0.91255938216109578</v>
      </c>
      <c r="BE110" s="19">
        <v>0.46853397426734544</v>
      </c>
      <c r="BF110" s="19">
        <v>0.19977918503715647</v>
      </c>
      <c r="BG110" s="19">
        <v>0.87574383856656024</v>
      </c>
      <c r="BH110" s="19">
        <v>0.29900621144654321</v>
      </c>
      <c r="BI110" s="19">
        <v>0.4019097323007324</v>
      </c>
    </row>
    <row r="111" spans="1:61" x14ac:dyDescent="0.55000000000000004">
      <c r="A111" s="19" t="s">
        <v>781</v>
      </c>
      <c r="B111" s="19" t="s">
        <v>782</v>
      </c>
      <c r="C111" s="19" t="s">
        <v>322</v>
      </c>
      <c r="D111" s="19" t="s">
        <v>9</v>
      </c>
      <c r="E111" s="19">
        <v>1768</v>
      </c>
      <c r="F111" s="19">
        <v>68.699355880686738</v>
      </c>
      <c r="G111" s="19">
        <v>38.49879160139907</v>
      </c>
      <c r="H111" s="19">
        <v>68065.863551273549</v>
      </c>
      <c r="I111" s="19">
        <v>28.492367431190917</v>
      </c>
      <c r="J111" s="19">
        <v>18.70714207501339</v>
      </c>
      <c r="K111" s="19">
        <v>28.523877100057707</v>
      </c>
      <c r="L111" s="19">
        <v>38.75927042846854</v>
      </c>
      <c r="M111" s="19">
        <v>35.535414642252391</v>
      </c>
      <c r="N111" s="19">
        <v>7.868929311934413</v>
      </c>
      <c r="O111" s="19">
        <v>13.041152932062852</v>
      </c>
      <c r="P111" s="19">
        <v>38.550775930999265</v>
      </c>
      <c r="Q111" s="19">
        <v>526.08860005205622</v>
      </c>
      <c r="R111" s="19">
        <v>73.377522874999542</v>
      </c>
      <c r="S111" s="19">
        <v>765.43888456961349</v>
      </c>
      <c r="T111" s="19">
        <v>781.91884238977116</v>
      </c>
      <c r="U111" s="19">
        <v>29.691549222780175</v>
      </c>
      <c r="V111" s="19">
        <v>8.3674243730493068</v>
      </c>
      <c r="W111" s="19">
        <v>49.825509871492706</v>
      </c>
      <c r="X111" s="19">
        <v>53.932025993482732</v>
      </c>
      <c r="Y111" s="19">
        <v>31.222141444129658</v>
      </c>
      <c r="Z111" s="19">
        <v>23.764023843879642</v>
      </c>
      <c r="AA111" s="19">
        <v>13.587187986364626</v>
      </c>
      <c r="AB111" s="19">
        <v>39.362820289872026</v>
      </c>
      <c r="AC111" s="19">
        <v>34.019508734200812</v>
      </c>
      <c r="AD111" s="19">
        <v>19.905183905251455</v>
      </c>
      <c r="AE111" s="19">
        <v>36.633630583902644</v>
      </c>
      <c r="AF111" s="19">
        <v>48.94745679306579</v>
      </c>
      <c r="AG111" s="19">
        <v>702.6054309250834</v>
      </c>
      <c r="AH111" s="19">
        <v>296.32006899977904</v>
      </c>
      <c r="AI111" s="19">
        <v>1781.5369279459201</v>
      </c>
      <c r="AJ111" s="19">
        <v>1899.780519392272</v>
      </c>
      <c r="AK111" s="19">
        <v>1497.6604871541388</v>
      </c>
      <c r="AL111" s="19">
        <v>1259.1445067156453</v>
      </c>
      <c r="AM111" s="19">
        <v>2576.1424992927014</v>
      </c>
      <c r="AN111" s="19">
        <v>2973.8381568098653</v>
      </c>
      <c r="AO111" s="19"/>
      <c r="AP111" s="19">
        <v>1.0067658961810118</v>
      </c>
      <c r="AQ111" s="19">
        <v>1.0013502847086324</v>
      </c>
      <c r="AR111" s="19">
        <v>1.4008758132430008</v>
      </c>
      <c r="AS111" s="19">
        <v>1.0224430080148685</v>
      </c>
      <c r="AT111" s="19">
        <v>1.271402419583658</v>
      </c>
      <c r="AU111" s="19">
        <v>0.73511103579141113</v>
      </c>
      <c r="AV111" s="19">
        <v>0.4826494892244686</v>
      </c>
      <c r="AW111" s="19">
        <v>0.73592399404677711</v>
      </c>
      <c r="AX111" s="19">
        <v>0.92178208567983255</v>
      </c>
      <c r="AY111" s="19">
        <v>0.20411857146581808</v>
      </c>
      <c r="AZ111" s="19">
        <v>0.33828509587990585</v>
      </c>
      <c r="BA111" s="19">
        <v>0.55053650731326442</v>
      </c>
      <c r="BB111" s="19">
        <v>0.15514759957396085</v>
      </c>
      <c r="BC111" s="19">
        <v>0.92385755872612185</v>
      </c>
      <c r="BD111" s="19">
        <v>0.79318862861467909</v>
      </c>
      <c r="BE111" s="19">
        <v>0.60371750979423788</v>
      </c>
      <c r="BF111" s="19">
        <v>0.34517821350978201</v>
      </c>
      <c r="BG111" s="19">
        <v>0.69502096662599711</v>
      </c>
      <c r="BH111" s="19">
        <v>0.40666431331466746</v>
      </c>
      <c r="BI111" s="19">
        <v>0.74842766068067501</v>
      </c>
    </row>
    <row r="112" spans="1:61" x14ac:dyDescent="0.55000000000000004">
      <c r="A112" s="19" t="s">
        <v>718</v>
      </c>
      <c r="B112" s="19" t="s">
        <v>719</v>
      </c>
      <c r="C112" s="19" t="s">
        <v>322</v>
      </c>
      <c r="D112" s="19" t="s">
        <v>9</v>
      </c>
      <c r="E112" s="19">
        <v>3273</v>
      </c>
      <c r="F112" s="19">
        <v>66.1421906024473</v>
      </c>
      <c r="G112" s="19">
        <v>54.607294112869567</v>
      </c>
      <c r="H112" s="19">
        <v>178729.67363142211</v>
      </c>
      <c r="I112" s="19">
        <v>50.918891909212554</v>
      </c>
      <c r="J112" s="19">
        <v>13.342174550898598</v>
      </c>
      <c r="K112" s="19">
        <v>22.76462795755598</v>
      </c>
      <c r="L112" s="19">
        <v>52.632609043525022</v>
      </c>
      <c r="M112" s="19">
        <v>35.235560890891065</v>
      </c>
      <c r="N112" s="19">
        <v>7.6040600965934448</v>
      </c>
      <c r="O112" s="19">
        <v>13.763340324956523</v>
      </c>
      <c r="P112" s="19">
        <v>37.835214545256299</v>
      </c>
      <c r="Q112" s="19">
        <v>312.3248756876377</v>
      </c>
      <c r="R112" s="19">
        <v>62.259029128337815</v>
      </c>
      <c r="S112" s="19">
        <v>1292.1078211227573</v>
      </c>
      <c r="T112" s="19">
        <v>1315.3579891139225</v>
      </c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>
        <v>0.96383843767715338</v>
      </c>
      <c r="AQ112" s="19">
        <v>0.69286008691537582</v>
      </c>
      <c r="AR112" s="19"/>
      <c r="AS112" s="19"/>
      <c r="AT112" s="19"/>
      <c r="AU112" s="19">
        <v>0.96744001170652028</v>
      </c>
      <c r="AV112" s="19">
        <v>0.25349635508027285</v>
      </c>
      <c r="AW112" s="19">
        <v>0.43251946599741165</v>
      </c>
      <c r="AX112" s="19">
        <v>0.93129010405753931</v>
      </c>
      <c r="AY112" s="19">
        <v>0.20097837921595257</v>
      </c>
      <c r="AZ112" s="19">
        <v>0.36377064304719642</v>
      </c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spans="1:61" x14ac:dyDescent="0.55000000000000004">
      <c r="A113" s="19" t="s">
        <v>783</v>
      </c>
      <c r="B113" s="19" t="s">
        <v>784</v>
      </c>
      <c r="C113" s="19" t="s">
        <v>322</v>
      </c>
      <c r="D113" s="19" t="s">
        <v>9</v>
      </c>
      <c r="E113" s="19">
        <v>2190</v>
      </c>
      <c r="F113" s="19">
        <v>67.682327870884535</v>
      </c>
      <c r="G113" s="19">
        <v>29.503804908039722</v>
      </c>
      <c r="H113" s="19">
        <v>64613.33274860699</v>
      </c>
      <c r="I113" s="19">
        <v>28.265596747096023</v>
      </c>
      <c r="J113" s="19">
        <v>16.225772050086348</v>
      </c>
      <c r="K113" s="19">
        <v>17.569243289314976</v>
      </c>
      <c r="L113" s="19">
        <v>32.764067252634383</v>
      </c>
      <c r="M113" s="19">
        <v>26.897098975402471</v>
      </c>
      <c r="N113" s="19">
        <v>10.686728704785907</v>
      </c>
      <c r="O113" s="19">
        <v>8.1837528218783522</v>
      </c>
      <c r="P113" s="19">
        <v>28.771800123976707</v>
      </c>
      <c r="Q113" s="19">
        <v>312.44141233952547</v>
      </c>
      <c r="R113" s="19">
        <v>72.132120625856857</v>
      </c>
      <c r="S113" s="19">
        <v>736.33760771888785</v>
      </c>
      <c r="T113" s="19">
        <v>740.00085289454319</v>
      </c>
      <c r="U113" s="19">
        <v>30.528875580011647</v>
      </c>
      <c r="V113" s="19">
        <v>6.8462305388844502</v>
      </c>
      <c r="W113" s="19">
        <v>35.680473620676167</v>
      </c>
      <c r="X113" s="19">
        <v>38.261331644557025</v>
      </c>
      <c r="Y113" s="19">
        <v>24.198405796853429</v>
      </c>
      <c r="Z113" s="19">
        <v>12.59054218165457</v>
      </c>
      <c r="AA113" s="19">
        <v>11.706340387181717</v>
      </c>
      <c r="AB113" s="19">
        <v>27.958583877358997</v>
      </c>
      <c r="AC113" s="19">
        <v>25.164634672871337</v>
      </c>
      <c r="AD113" s="19">
        <v>8.8271453217527789</v>
      </c>
      <c r="AE113" s="19">
        <v>18.71376488512465</v>
      </c>
      <c r="AF113" s="19">
        <v>30.50919465908223</v>
      </c>
      <c r="AG113" s="19">
        <v>491.39089343230381</v>
      </c>
      <c r="AH113" s="19">
        <v>161.41614280467348</v>
      </c>
      <c r="AI113" s="19">
        <v>1245.5410841438647</v>
      </c>
      <c r="AJ113" s="19">
        <v>1307.1609979086631</v>
      </c>
      <c r="AK113" s="19">
        <v>1508.2947977714118</v>
      </c>
      <c r="AL113" s="19">
        <v>1416.6487495453757</v>
      </c>
      <c r="AM113" s="19">
        <v>1363.185772976311</v>
      </c>
      <c r="AN113" s="19">
        <v>1971.7017137417888</v>
      </c>
      <c r="AO113" s="19"/>
      <c r="AP113" s="19">
        <v>1.1105031149289577</v>
      </c>
      <c r="AQ113" s="19">
        <v>0.97518947856574434</v>
      </c>
      <c r="AR113" s="19">
        <v>1.2968270283718861</v>
      </c>
      <c r="AS113" s="19">
        <v>0.94762638122448895</v>
      </c>
      <c r="AT113" s="19">
        <v>1.0340766133105952</v>
      </c>
      <c r="AU113" s="19">
        <v>0.86270109657473426</v>
      </c>
      <c r="AV113" s="19">
        <v>0.49523070273827863</v>
      </c>
      <c r="AW113" s="19">
        <v>0.53623511250430389</v>
      </c>
      <c r="AX113" s="19">
        <v>0.93484241025948278</v>
      </c>
      <c r="AY113" s="19">
        <v>0.3714306598383541</v>
      </c>
      <c r="AZ113" s="19">
        <v>0.28443659369990199</v>
      </c>
      <c r="BA113" s="19">
        <v>0.79790415722121422</v>
      </c>
      <c r="BB113" s="19">
        <v>0.17893340991069193</v>
      </c>
      <c r="BC113" s="19">
        <v>0.93254657083405501</v>
      </c>
      <c r="BD113" s="19">
        <v>0.86550899369582956</v>
      </c>
      <c r="BE113" s="19">
        <v>0.4503283226676747</v>
      </c>
      <c r="BF113" s="19">
        <v>0.41870290850680641</v>
      </c>
      <c r="BG113" s="19">
        <v>0.82482133514396516</v>
      </c>
      <c r="BH113" s="19">
        <v>0.28932737885708304</v>
      </c>
      <c r="BI113" s="19">
        <v>0.61338114933013421</v>
      </c>
    </row>
    <row r="114" spans="1:61" x14ac:dyDescent="0.55000000000000004">
      <c r="A114" s="19" t="s">
        <v>720</v>
      </c>
      <c r="B114" s="19" t="s">
        <v>721</v>
      </c>
      <c r="C114" s="19" t="s">
        <v>322</v>
      </c>
      <c r="D114" s="19" t="s">
        <v>9</v>
      </c>
      <c r="E114" s="19">
        <v>2089</v>
      </c>
      <c r="F114" s="19">
        <v>64.880459732839185</v>
      </c>
      <c r="G114" s="19">
        <v>40.98610612535073</v>
      </c>
      <c r="H114" s="19">
        <v>85619.975695857676</v>
      </c>
      <c r="I114" s="19">
        <v>34.663879962015287</v>
      </c>
      <c r="J114" s="19">
        <v>10.875155903950123</v>
      </c>
      <c r="K114" s="19">
        <v>32.973609605588067</v>
      </c>
      <c r="L114" s="19">
        <v>45.9020549212362</v>
      </c>
      <c r="M114" s="19">
        <v>31.05475818181387</v>
      </c>
      <c r="N114" s="19">
        <v>10.049973915867866</v>
      </c>
      <c r="O114" s="19">
        <v>17.489641614510646</v>
      </c>
      <c r="P114" s="19">
        <v>35.681225919893571</v>
      </c>
      <c r="Q114" s="19">
        <v>383.45938798813472</v>
      </c>
      <c r="R114" s="19">
        <v>47.337514243207764</v>
      </c>
      <c r="S114" s="19">
        <v>1312.6812509032986</v>
      </c>
      <c r="T114" s="19">
        <v>1312.7288871989506</v>
      </c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>
        <v>1.1199418354320041</v>
      </c>
      <c r="AQ114" s="19">
        <v>0.87056881692462162</v>
      </c>
      <c r="AR114" s="19"/>
      <c r="AS114" s="19"/>
      <c r="AT114" s="19"/>
      <c r="AU114" s="19">
        <v>0.75517054784356363</v>
      </c>
      <c r="AV114" s="19">
        <v>0.23692089433928204</v>
      </c>
      <c r="AW114" s="19">
        <v>0.71834713417880347</v>
      </c>
      <c r="AX114" s="19">
        <v>0.87033887937408905</v>
      </c>
      <c r="AY114" s="19">
        <v>0.28165999504699313</v>
      </c>
      <c r="AZ114" s="19">
        <v>0.49016369711556179</v>
      </c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spans="1:61" x14ac:dyDescent="0.55000000000000004">
      <c r="A115" s="19" t="s">
        <v>809</v>
      </c>
      <c r="B115" s="19" t="s">
        <v>810</v>
      </c>
      <c r="C115" s="19" t="s">
        <v>322</v>
      </c>
      <c r="D115" s="19" t="s">
        <v>9</v>
      </c>
      <c r="E115" s="19">
        <v>3309</v>
      </c>
      <c r="F115" s="19">
        <v>68.842641502982559</v>
      </c>
      <c r="G115" s="19">
        <v>65.039212973558605</v>
      </c>
      <c r="H115" s="19">
        <v>215214.75572950541</v>
      </c>
      <c r="I115" s="19">
        <v>48.882627393309022</v>
      </c>
      <c r="J115" s="19">
        <v>6.8898159161825188</v>
      </c>
      <c r="K115" s="19">
        <v>23.441721125578383</v>
      </c>
      <c r="L115" s="19">
        <v>50.643818811775894</v>
      </c>
      <c r="M115" s="19">
        <v>34.152486113325914</v>
      </c>
      <c r="N115" s="19">
        <v>7.6953055815689755</v>
      </c>
      <c r="O115" s="19">
        <v>13.907963990483736</v>
      </c>
      <c r="P115" s="19">
        <v>34.47755477329045</v>
      </c>
      <c r="Q115" s="19">
        <v>364.51200524040439</v>
      </c>
      <c r="R115" s="19">
        <v>61.66089920171332</v>
      </c>
      <c r="S115" s="19">
        <v>1201.8366129394901</v>
      </c>
      <c r="T115" s="19">
        <v>1204.0799588769207</v>
      </c>
      <c r="U115" s="19">
        <v>38.902685191683666</v>
      </c>
      <c r="V115" s="19">
        <v>16.417124355422366</v>
      </c>
      <c r="W115" s="19">
        <v>43.635706444132666</v>
      </c>
      <c r="X115" s="19">
        <v>54.632686040567791</v>
      </c>
      <c r="Y115" s="19">
        <v>30.52995188994722</v>
      </c>
      <c r="Z115" s="19">
        <v>15.641228338980097</v>
      </c>
      <c r="AA115" s="19">
        <v>16.591473614437422</v>
      </c>
      <c r="AB115" s="19">
        <v>34.348399407830271</v>
      </c>
      <c r="AC115" s="19">
        <v>28.997924054399775</v>
      </c>
      <c r="AD115" s="19">
        <v>16.917885561642304</v>
      </c>
      <c r="AE115" s="19">
        <v>37.445980913104812</v>
      </c>
      <c r="AF115" s="19">
        <v>48.614802908337651</v>
      </c>
      <c r="AG115" s="19">
        <v>958.84427698892637</v>
      </c>
      <c r="AH115" s="19">
        <v>119.01224731909737</v>
      </c>
      <c r="AI115" s="19">
        <v>1980.0800120276174</v>
      </c>
      <c r="AJ115" s="19">
        <v>2158.1251702850063</v>
      </c>
      <c r="AK115" s="19">
        <v>2046.459921331138</v>
      </c>
      <c r="AL115" s="19">
        <v>1078.9940646058799</v>
      </c>
      <c r="AM115" s="19">
        <v>1889.365561166001</v>
      </c>
      <c r="AN115" s="19">
        <v>2310.8919097916046</v>
      </c>
      <c r="AO115" s="19"/>
      <c r="AP115" s="19">
        <v>0.77866592316184557</v>
      </c>
      <c r="AQ115" s="19">
        <v>0.53010412022216724</v>
      </c>
      <c r="AR115" s="19">
        <v>0.83999611223429871</v>
      </c>
      <c r="AS115" s="19">
        <v>0.52811831259081277</v>
      </c>
      <c r="AT115" s="19">
        <v>0.74746911418042183</v>
      </c>
      <c r="AU115" s="19">
        <v>0.96522396099289909</v>
      </c>
      <c r="AV115" s="19">
        <v>0.13604455741754751</v>
      </c>
      <c r="AW115" s="19">
        <v>0.46287427914357093</v>
      </c>
      <c r="AX115" s="19">
        <v>0.99057158600422657</v>
      </c>
      <c r="AY115" s="19">
        <v>0.22319754495845168</v>
      </c>
      <c r="AZ115" s="19">
        <v>0.40339183222060027</v>
      </c>
      <c r="BA115" s="19">
        <v>0.71207711008015007</v>
      </c>
      <c r="BB115" s="19">
        <v>0.30050004027317534</v>
      </c>
      <c r="BC115" s="19">
        <v>0.79871061825023104</v>
      </c>
      <c r="BD115" s="19">
        <v>0.88883186454933982</v>
      </c>
      <c r="BE115" s="19">
        <v>0.45536993305762091</v>
      </c>
      <c r="BF115" s="19">
        <v>0.48303484006463276</v>
      </c>
      <c r="BG115" s="19">
        <v>0.59648342314736613</v>
      </c>
      <c r="BH115" s="19">
        <v>0.3479986454648531</v>
      </c>
      <c r="BI115" s="19">
        <v>0.77025882391642198</v>
      </c>
    </row>
    <row r="116" spans="1:61" x14ac:dyDescent="0.55000000000000004">
      <c r="A116" s="19" t="s">
        <v>823</v>
      </c>
      <c r="B116" s="19" t="s">
        <v>824</v>
      </c>
      <c r="C116" s="19" t="s">
        <v>322</v>
      </c>
      <c r="D116" s="19" t="s">
        <v>9</v>
      </c>
      <c r="E116" s="19">
        <v>2204</v>
      </c>
      <c r="F116" s="19">
        <v>67.975429510458653</v>
      </c>
      <c r="G116" s="19">
        <v>63.510146013555193</v>
      </c>
      <c r="H116" s="19">
        <v>139976.36181387564</v>
      </c>
      <c r="I116" s="19">
        <v>41.026454248093614</v>
      </c>
      <c r="J116" s="19">
        <v>15.353624800627363</v>
      </c>
      <c r="K116" s="19">
        <v>14.835368235345769</v>
      </c>
      <c r="L116" s="19">
        <v>42.392764520471097</v>
      </c>
      <c r="M116" s="19">
        <v>31.618408440496204</v>
      </c>
      <c r="N116" s="19">
        <v>12.880833670786016</v>
      </c>
      <c r="O116" s="19">
        <v>9.163095511834193</v>
      </c>
      <c r="P116" s="19">
        <v>33.354469240128317</v>
      </c>
      <c r="Q116" s="19">
        <v>574.36158029882176</v>
      </c>
      <c r="R116" s="19">
        <v>53.993346255665521</v>
      </c>
      <c r="S116" s="19">
        <v>789.55210702335978</v>
      </c>
      <c r="T116" s="19">
        <v>945.17416704475977</v>
      </c>
      <c r="U116" s="19">
        <v>18.870251717749866</v>
      </c>
      <c r="V116" s="19">
        <v>10.253895691224752</v>
      </c>
      <c r="W116" s="19">
        <v>58.962256336038898</v>
      </c>
      <c r="X116" s="19">
        <v>62.453220823858395</v>
      </c>
      <c r="Y116" s="19">
        <v>28.152930594517542</v>
      </c>
      <c r="Z116" s="19">
        <v>20.383311801140398</v>
      </c>
      <c r="AA116" s="19">
        <v>26.849639602731159</v>
      </c>
      <c r="AB116" s="19">
        <v>37.837071608612206</v>
      </c>
      <c r="AC116" s="19">
        <v>28.097134574776966</v>
      </c>
      <c r="AD116" s="19">
        <v>17.366659026465307</v>
      </c>
      <c r="AE116" s="19">
        <v>33.218542624622138</v>
      </c>
      <c r="AF116" s="19">
        <v>45.207290236009662</v>
      </c>
      <c r="AG116" s="19">
        <v>649.73588068285346</v>
      </c>
      <c r="AH116" s="19">
        <v>45.378571239255756</v>
      </c>
      <c r="AI116" s="19">
        <v>2055.509377643109</v>
      </c>
      <c r="AJ116" s="19">
        <v>2154.3368871678895</v>
      </c>
      <c r="AK116" s="19">
        <v>1840.5299755236636</v>
      </c>
      <c r="AL116" s="19">
        <v>1420.2862624314587</v>
      </c>
      <c r="AM116" s="19">
        <v>4141.1271044409523</v>
      </c>
      <c r="AN116" s="19">
        <v>4530.2873446343774</v>
      </c>
      <c r="AO116" s="19"/>
      <c r="AP116" s="19">
        <v>0.66749593854536349</v>
      </c>
      <c r="AQ116" s="19">
        <v>0.52518331847338784</v>
      </c>
      <c r="AR116" s="19">
        <v>0.98335816785130337</v>
      </c>
      <c r="AS116" s="19">
        <v>0.59576420436093014</v>
      </c>
      <c r="AT116" s="19">
        <v>0.71181209733576922</v>
      </c>
      <c r="AU116" s="19">
        <v>0.96777020116917112</v>
      </c>
      <c r="AV116" s="19">
        <v>0.36217559704588814</v>
      </c>
      <c r="AW116" s="19">
        <v>0.34995047865259882</v>
      </c>
      <c r="AX116" s="19">
        <v>0.94795117898193137</v>
      </c>
      <c r="AY116" s="19">
        <v>0.38618014209889623</v>
      </c>
      <c r="AZ116" s="19">
        <v>0.27471867250731707</v>
      </c>
      <c r="BA116" s="19">
        <v>0.30215017686551482</v>
      </c>
      <c r="BB116" s="19">
        <v>0.16418521824750401</v>
      </c>
      <c r="BC116" s="19">
        <v>0.94410273094376784</v>
      </c>
      <c r="BD116" s="19">
        <v>0.74405680454693468</v>
      </c>
      <c r="BE116" s="19">
        <v>0.53871272100510259</v>
      </c>
      <c r="BF116" s="19">
        <v>0.70961198795891578</v>
      </c>
      <c r="BG116" s="19">
        <v>0.6215177779533515</v>
      </c>
      <c r="BH116" s="19">
        <v>0.38415616011932457</v>
      </c>
      <c r="BI116" s="19">
        <v>0.73480499386716303</v>
      </c>
    </row>
    <row r="117" spans="1:61" x14ac:dyDescent="0.55000000000000004">
      <c r="A117" s="19" t="s">
        <v>825</v>
      </c>
      <c r="B117" s="19" t="s">
        <v>826</v>
      </c>
      <c r="C117" s="19" t="s">
        <v>322</v>
      </c>
      <c r="D117" s="19" t="s">
        <v>9</v>
      </c>
      <c r="E117" s="19">
        <v>2237</v>
      </c>
      <c r="F117" s="19">
        <v>66.005573766516747</v>
      </c>
      <c r="G117" s="19">
        <v>47.782504144581488</v>
      </c>
      <c r="H117" s="19">
        <v>106889.46177142879</v>
      </c>
      <c r="I117" s="19">
        <v>33.226235123424793</v>
      </c>
      <c r="J117" s="19">
        <v>17.431441724154119</v>
      </c>
      <c r="K117" s="19">
        <v>18.043262878347697</v>
      </c>
      <c r="L117" s="19">
        <v>38.541640827116204</v>
      </c>
      <c r="M117" s="19">
        <v>31.365098795980003</v>
      </c>
      <c r="N117" s="19">
        <v>10.152326825768057</v>
      </c>
      <c r="O117" s="19">
        <v>9.9084009667352966</v>
      </c>
      <c r="P117" s="19">
        <v>33.237629267602991</v>
      </c>
      <c r="Q117" s="19">
        <v>653.66573293542774</v>
      </c>
      <c r="R117" s="19">
        <v>32.80004059914188</v>
      </c>
      <c r="S117" s="19">
        <v>881.11505126087218</v>
      </c>
      <c r="T117" s="19">
        <v>998.70377872734525</v>
      </c>
      <c r="U117" s="19">
        <v>21.104003878515513</v>
      </c>
      <c r="V117" s="19">
        <v>8.7194165278583036</v>
      </c>
      <c r="W117" s="19">
        <v>50.251644768055193</v>
      </c>
      <c r="X117" s="19">
        <v>52.86233447200064</v>
      </c>
      <c r="Y117" s="19">
        <v>29.179332297267155</v>
      </c>
      <c r="Z117" s="19">
        <v>18.003469807312609</v>
      </c>
      <c r="AA117" s="19">
        <v>26.213593604079449</v>
      </c>
      <c r="AB117" s="19">
        <v>38.229155693053606</v>
      </c>
      <c r="AC117" s="19">
        <v>28.213248391080612</v>
      </c>
      <c r="AD117" s="19">
        <v>15.331282504936659</v>
      </c>
      <c r="AE117" s="19">
        <v>26.80796788221971</v>
      </c>
      <c r="AF117" s="19">
        <v>39.160045303993009</v>
      </c>
      <c r="AG117" s="19">
        <v>541.39157644965007</v>
      </c>
      <c r="AH117" s="19">
        <v>180.12255617912507</v>
      </c>
      <c r="AI117" s="19">
        <v>1822.3530129193823</v>
      </c>
      <c r="AJ117" s="19">
        <v>1892.4673286985637</v>
      </c>
      <c r="AK117" s="19">
        <v>1820.7258303066183</v>
      </c>
      <c r="AL117" s="19">
        <v>1184.8587807465151</v>
      </c>
      <c r="AM117" s="19">
        <v>3983.6064801747571</v>
      </c>
      <c r="AN117" s="19">
        <v>4356.9594022530291</v>
      </c>
      <c r="AO117" s="19"/>
      <c r="AP117" s="19">
        <v>0.80660571305547213</v>
      </c>
      <c r="AQ117" s="19">
        <v>0.69560249850095224</v>
      </c>
      <c r="AR117" s="19">
        <v>1.1063115133532657</v>
      </c>
      <c r="AS117" s="19">
        <v>0.80006597346549435</v>
      </c>
      <c r="AT117" s="19">
        <v>0.81954778229080605</v>
      </c>
      <c r="AU117" s="19">
        <v>0.86208667846980391</v>
      </c>
      <c r="AV117" s="19">
        <v>0.45227554795461961</v>
      </c>
      <c r="AW117" s="19">
        <v>0.46814983719253722</v>
      </c>
      <c r="AX117" s="19">
        <v>0.94366233353928886</v>
      </c>
      <c r="AY117" s="19">
        <v>0.30544677973358403</v>
      </c>
      <c r="AZ117" s="19">
        <v>0.29810793323918267</v>
      </c>
      <c r="BA117" s="19">
        <v>0.39922572639491694</v>
      </c>
      <c r="BB117" s="19">
        <v>0.16494573338369456</v>
      </c>
      <c r="BC117" s="19">
        <v>0.95061342390529047</v>
      </c>
      <c r="BD117" s="19">
        <v>0.76327430643646565</v>
      </c>
      <c r="BE117" s="19">
        <v>0.47093558518175471</v>
      </c>
      <c r="BF117" s="19">
        <v>0.6856963782970118</v>
      </c>
      <c r="BG117" s="19">
        <v>0.72046005493777632</v>
      </c>
      <c r="BH117" s="19">
        <v>0.39150318611539969</v>
      </c>
      <c r="BI117" s="19">
        <v>0.68457448591067382</v>
      </c>
    </row>
    <row r="118" spans="1:61" x14ac:dyDescent="0.55000000000000004">
      <c r="A118" s="19" t="s">
        <v>827</v>
      </c>
      <c r="B118" s="19" t="s">
        <v>828</v>
      </c>
      <c r="C118" s="19" t="s">
        <v>322</v>
      </c>
      <c r="D118" s="19" t="s">
        <v>9</v>
      </c>
      <c r="E118" s="19">
        <v>2030</v>
      </c>
      <c r="F118" s="19">
        <v>63.698741269991949</v>
      </c>
      <c r="G118" s="19">
        <v>44.025449895637863</v>
      </c>
      <c r="H118" s="19">
        <v>89371.66328814486</v>
      </c>
      <c r="I118" s="19">
        <v>38.116516108344449</v>
      </c>
      <c r="J118" s="19">
        <v>11.282125268308171</v>
      </c>
      <c r="K118" s="19">
        <v>30.751869535952054</v>
      </c>
      <c r="L118" s="19">
        <v>48.258101707416898</v>
      </c>
      <c r="M118" s="19">
        <v>40.575732106215582</v>
      </c>
      <c r="N118" s="19">
        <v>14.519576174988604</v>
      </c>
      <c r="O118" s="19">
        <v>5.9221754014929084</v>
      </c>
      <c r="P118" s="19">
        <v>42.516604478052017</v>
      </c>
      <c r="Q118" s="19">
        <v>442.28326963443897</v>
      </c>
      <c r="R118" s="19">
        <v>29.73492128354134</v>
      </c>
      <c r="S118" s="19">
        <v>1266.2024219289478</v>
      </c>
      <c r="T118" s="19">
        <v>1295.845766836989</v>
      </c>
      <c r="U118" s="19">
        <v>31.260162993311972</v>
      </c>
      <c r="V118" s="19">
        <v>11.2669435614857</v>
      </c>
      <c r="W118" s="19">
        <v>58.827580537860626</v>
      </c>
      <c r="X118" s="19">
        <v>62.471539193739353</v>
      </c>
      <c r="Y118" s="19">
        <v>26.626500793884055</v>
      </c>
      <c r="Z118" s="19">
        <v>21.751980724994677</v>
      </c>
      <c r="AA118" s="19">
        <v>19.488899816781664</v>
      </c>
      <c r="AB118" s="19">
        <v>36.736208910938394</v>
      </c>
      <c r="AC118" s="19">
        <v>33.602637102284575</v>
      </c>
      <c r="AD118" s="19">
        <v>21.411953711548527</v>
      </c>
      <c r="AE118" s="19">
        <v>33.29874760090572</v>
      </c>
      <c r="AF118" s="19">
        <v>46.419618720579344</v>
      </c>
      <c r="AG118" s="19">
        <v>688.38126504258605</v>
      </c>
      <c r="AH118" s="19">
        <v>628.82104353465115</v>
      </c>
      <c r="AI118" s="19">
        <v>2059.1777458682045</v>
      </c>
      <c r="AJ118" s="19">
        <v>2147.1513154688055</v>
      </c>
      <c r="AK118" s="19">
        <v>1279.1061147237324</v>
      </c>
      <c r="AL118" s="19">
        <v>2169.437008051761</v>
      </c>
      <c r="AM118" s="19">
        <v>3528.0938090936475</v>
      </c>
      <c r="AN118" s="19">
        <v>3581.4011907077511</v>
      </c>
      <c r="AO118" s="19"/>
      <c r="AP118" s="19">
        <v>1.0961410234719353</v>
      </c>
      <c r="AQ118" s="19">
        <v>0.96572788191460723</v>
      </c>
      <c r="AR118" s="19">
        <v>1.4189869573582523</v>
      </c>
      <c r="AS118" s="19">
        <v>0.8344311982733037</v>
      </c>
      <c r="AT118" s="19">
        <v>1.0543814732300714</v>
      </c>
      <c r="AU118" s="19">
        <v>0.7898469844388063</v>
      </c>
      <c r="AV118" s="19">
        <v>0.23378717498484189</v>
      </c>
      <c r="AW118" s="19">
        <v>0.63723744714197339</v>
      </c>
      <c r="AX118" s="19">
        <v>0.95435024984560202</v>
      </c>
      <c r="AY118" s="19">
        <v>0.34150366317432335</v>
      </c>
      <c r="AZ118" s="19">
        <v>0.13929088350764376</v>
      </c>
      <c r="BA118" s="19">
        <v>0.50039047215351373</v>
      </c>
      <c r="BB118" s="19">
        <v>0.18035322495487396</v>
      </c>
      <c r="BC118" s="19">
        <v>0.94167009965005133</v>
      </c>
      <c r="BD118" s="19">
        <v>0.72480262888411107</v>
      </c>
      <c r="BE118" s="19">
        <v>0.59211283281106109</v>
      </c>
      <c r="BF118" s="19">
        <v>0.53050928210991155</v>
      </c>
      <c r="BG118" s="19">
        <v>0.72388869250637389</v>
      </c>
      <c r="BH118" s="19">
        <v>0.46126948694767939</v>
      </c>
      <c r="BI118" s="19">
        <v>0.71734211780897916</v>
      </c>
    </row>
    <row r="119" spans="1:61" x14ac:dyDescent="0.55000000000000004">
      <c r="A119" s="19" t="s">
        <v>829</v>
      </c>
      <c r="B119" s="19" t="s">
        <v>830</v>
      </c>
      <c r="C119" s="19" t="s">
        <v>322</v>
      </c>
      <c r="D119" s="19" t="s">
        <v>9</v>
      </c>
      <c r="E119" s="19">
        <v>2019</v>
      </c>
      <c r="F119" s="19">
        <v>65.309672091300072</v>
      </c>
      <c r="G119" s="19">
        <v>45.559720051042142</v>
      </c>
      <c r="H119" s="19">
        <v>91985.074783054079</v>
      </c>
      <c r="I119" s="19">
        <v>42.574382178593758</v>
      </c>
      <c r="J119" s="19">
        <v>19.894202875639458</v>
      </c>
      <c r="K119" s="19">
        <v>23.082586852633501</v>
      </c>
      <c r="L119" s="19">
        <v>48.516745934485797</v>
      </c>
      <c r="M119" s="19">
        <v>34.672537562497446</v>
      </c>
      <c r="N119" s="19">
        <v>10.752369940555198</v>
      </c>
      <c r="O119" s="19">
        <v>10.829932826602562</v>
      </c>
      <c r="P119" s="19">
        <v>36.582716312577006</v>
      </c>
      <c r="Q119" s="19">
        <v>503.44814408287391</v>
      </c>
      <c r="R119" s="19">
        <v>23.775968304068549</v>
      </c>
      <c r="S119" s="19">
        <v>995.90073148587794</v>
      </c>
      <c r="T119" s="19">
        <v>1113.2283457857845</v>
      </c>
      <c r="U119" s="19">
        <v>53.468928466735626</v>
      </c>
      <c r="V119" s="19">
        <v>8.8598569866838446</v>
      </c>
      <c r="W119" s="19">
        <v>45.144312661075524</v>
      </c>
      <c r="X119" s="19">
        <v>55.931908646824937</v>
      </c>
      <c r="Y119" s="19">
        <v>27.269189141887296</v>
      </c>
      <c r="Z119" s="19">
        <v>15.125274416003215</v>
      </c>
      <c r="AA119" s="19">
        <v>10.599091367757257</v>
      </c>
      <c r="AB119" s="19">
        <v>31.771277493519065</v>
      </c>
      <c r="AC119" s="19">
        <v>33.491252983169765</v>
      </c>
      <c r="AD119" s="19">
        <v>16.168400991074371</v>
      </c>
      <c r="AE119" s="19">
        <v>24.722133855952578</v>
      </c>
      <c r="AF119" s="19">
        <v>41.410094056548928</v>
      </c>
      <c r="AG119" s="19">
        <v>779.37587236861918</v>
      </c>
      <c r="AH119" s="19">
        <v>67.397181910175249</v>
      </c>
      <c r="AI119" s="19">
        <v>1622.5213051415708</v>
      </c>
      <c r="AJ119" s="19">
        <v>1778.5771406234974</v>
      </c>
      <c r="AK119" s="19">
        <v>887.1485192646204</v>
      </c>
      <c r="AL119" s="19">
        <v>1245.7973916501019</v>
      </c>
      <c r="AM119" s="19">
        <v>1485.5666317331086</v>
      </c>
      <c r="AN119" s="19">
        <v>1645.886307154618</v>
      </c>
      <c r="AO119" s="19"/>
      <c r="AP119" s="19">
        <v>1.0649043909868365</v>
      </c>
      <c r="AQ119" s="19">
        <v>0.80296183276789479</v>
      </c>
      <c r="AR119" s="19">
        <v>1.2276613768513607</v>
      </c>
      <c r="AS119" s="19">
        <v>0.69735453725186625</v>
      </c>
      <c r="AT119" s="19">
        <v>0.90891897514198416</v>
      </c>
      <c r="AU119" s="19">
        <v>0.87751932572072611</v>
      </c>
      <c r="AV119" s="19">
        <v>0.41004816981137682</v>
      </c>
      <c r="AW119" s="19">
        <v>0.4757653549931582</v>
      </c>
      <c r="AX119" s="19">
        <v>0.94778466602211142</v>
      </c>
      <c r="AY119" s="19">
        <v>0.29391939758334928</v>
      </c>
      <c r="AZ119" s="19">
        <v>0.2960396033489528</v>
      </c>
      <c r="BA119" s="19">
        <v>0.95596466775983824</v>
      </c>
      <c r="BB119" s="19">
        <v>0.15840433843637103</v>
      </c>
      <c r="BC119" s="19">
        <v>0.80712984329094972</v>
      </c>
      <c r="BD119" s="19">
        <v>0.85829690504103473</v>
      </c>
      <c r="BE119" s="19">
        <v>0.47606755564325604</v>
      </c>
      <c r="BF119" s="19">
        <v>0.33360608083572768</v>
      </c>
      <c r="BG119" s="19">
        <v>0.80877027078071051</v>
      </c>
      <c r="BH119" s="19">
        <v>0.39044588908673028</v>
      </c>
      <c r="BI119" s="19">
        <v>0.59700743065670048</v>
      </c>
    </row>
    <row r="120" spans="1:61" x14ac:dyDescent="0.55000000000000004">
      <c r="A120" s="19" t="s">
        <v>831</v>
      </c>
      <c r="B120" s="19" t="s">
        <v>832</v>
      </c>
      <c r="C120" s="19" t="s">
        <v>322</v>
      </c>
      <c r="D120" s="19" t="s">
        <v>9</v>
      </c>
      <c r="E120" s="19">
        <v>2295</v>
      </c>
      <c r="F120" s="19">
        <v>68.186609025024524</v>
      </c>
      <c r="G120" s="19">
        <v>32.758453261010054</v>
      </c>
      <c r="H120" s="19">
        <v>75180.650234018074</v>
      </c>
      <c r="I120" s="19">
        <v>38.583624084164171</v>
      </c>
      <c r="J120" s="19">
        <v>13.635862116018519</v>
      </c>
      <c r="K120" s="19">
        <v>30.249204355107729</v>
      </c>
      <c r="L120" s="19">
        <v>48.440151811463586</v>
      </c>
      <c r="M120" s="19">
        <v>32.73826687541635</v>
      </c>
      <c r="N120" s="19">
        <v>9.9681056013492206</v>
      </c>
      <c r="O120" s="19">
        <v>22.615943381585616</v>
      </c>
      <c r="P120" s="19">
        <v>38.820111659269088</v>
      </c>
      <c r="Q120" s="19">
        <v>785.34279600701313</v>
      </c>
      <c r="R120" s="19">
        <v>45.403550702759134</v>
      </c>
      <c r="S120" s="19">
        <v>1046.2278874080328</v>
      </c>
      <c r="T120" s="19">
        <v>1230.5656738912917</v>
      </c>
      <c r="U120" s="19">
        <v>52.385700526904373</v>
      </c>
      <c r="V120" s="19">
        <v>11.833598147220084</v>
      </c>
      <c r="W120" s="19">
        <v>74.639681254981184</v>
      </c>
      <c r="X120" s="19">
        <v>83.075781219189864</v>
      </c>
      <c r="Y120" s="19">
        <v>42.087033489088483</v>
      </c>
      <c r="Z120" s="19">
        <v>21.244996116234866</v>
      </c>
      <c r="AA120" s="19">
        <v>6.5182423831604055</v>
      </c>
      <c r="AB120" s="19">
        <v>45.275436286977559</v>
      </c>
      <c r="AC120" s="19">
        <v>39.008094356903221</v>
      </c>
      <c r="AD120" s="19">
        <v>15.849499934370584</v>
      </c>
      <c r="AE120" s="19">
        <v>26.624374187325778</v>
      </c>
      <c r="AF120" s="19">
        <v>46.321579895749927</v>
      </c>
      <c r="AG120" s="19">
        <v>1293.2841328001168</v>
      </c>
      <c r="AH120" s="19">
        <v>78.762493007612449</v>
      </c>
      <c r="AI120" s="19">
        <v>2667.4423146236904</v>
      </c>
      <c r="AJ120" s="19">
        <v>2918.7541078975642</v>
      </c>
      <c r="AK120" s="19">
        <v>1634.703456121742</v>
      </c>
      <c r="AL120" s="19">
        <v>831.87195337197772</v>
      </c>
      <c r="AM120" s="19">
        <v>966.26432322087339</v>
      </c>
      <c r="AN120" s="19">
        <v>1691.8114187423234</v>
      </c>
      <c r="AO120" s="19"/>
      <c r="AP120" s="19">
        <v>1.478706928727868</v>
      </c>
      <c r="AQ120" s="19">
        <v>1.1850410442141899</v>
      </c>
      <c r="AR120" s="19">
        <v>2.5360104934523502</v>
      </c>
      <c r="AS120" s="19">
        <v>1.3820993294840798</v>
      </c>
      <c r="AT120" s="19">
        <v>1.4140344028661163</v>
      </c>
      <c r="AU120" s="19">
        <v>0.79652153515821922</v>
      </c>
      <c r="AV120" s="19">
        <v>0.2814991614619905</v>
      </c>
      <c r="AW120" s="19">
        <v>0.62446551515449866</v>
      </c>
      <c r="AX120" s="19">
        <v>0.84333263033259276</v>
      </c>
      <c r="AY120" s="19">
        <v>0.25677684002666007</v>
      </c>
      <c r="AZ120" s="19">
        <v>0.58258316153466294</v>
      </c>
      <c r="BA120" s="19">
        <v>0.63057728447582362</v>
      </c>
      <c r="BB120" s="19">
        <v>0.14244341700498644</v>
      </c>
      <c r="BC120" s="19">
        <v>0.89845295656082247</v>
      </c>
      <c r="BD120" s="19">
        <v>0.92957764608430404</v>
      </c>
      <c r="BE120" s="19">
        <v>0.46923890432714621</v>
      </c>
      <c r="BF120" s="19">
        <v>0.14396862664877794</v>
      </c>
      <c r="BG120" s="19">
        <v>0.84211493745882082</v>
      </c>
      <c r="BH120" s="19">
        <v>0.34216233492124043</v>
      </c>
      <c r="BI120" s="19">
        <v>0.57477258433857092</v>
      </c>
    </row>
    <row r="121" spans="1:61" x14ac:dyDescent="0.55000000000000004">
      <c r="A121" s="19" t="s">
        <v>833</v>
      </c>
      <c r="B121" s="19" t="s">
        <v>834</v>
      </c>
      <c r="C121" s="19" t="s">
        <v>322</v>
      </c>
      <c r="D121" s="19" t="s">
        <v>9</v>
      </c>
      <c r="E121" s="19">
        <v>2501</v>
      </c>
      <c r="F121" s="19">
        <v>68.555933452957177</v>
      </c>
      <c r="G121" s="19">
        <v>34.454249731033677</v>
      </c>
      <c r="H121" s="19">
        <v>86170.078577315231</v>
      </c>
      <c r="I121" s="19">
        <v>47.707106875634921</v>
      </c>
      <c r="J121" s="19">
        <v>10.581846590262311</v>
      </c>
      <c r="K121" s="19">
        <v>31.703436784087224</v>
      </c>
      <c r="L121" s="19">
        <v>50.177302624950094</v>
      </c>
      <c r="M121" s="19">
        <v>28.884263143910665</v>
      </c>
      <c r="N121" s="19">
        <v>10.21907005748079</v>
      </c>
      <c r="O121" s="19">
        <v>21.341335890262929</v>
      </c>
      <c r="P121" s="19">
        <v>33.363481275682659</v>
      </c>
      <c r="Q121" s="19">
        <v>486.10499522011116</v>
      </c>
      <c r="R121" s="19">
        <v>177.80995597809954</v>
      </c>
      <c r="S121" s="19">
        <v>1311.8943001898238</v>
      </c>
      <c r="T121" s="19">
        <v>1314.2305455129219</v>
      </c>
      <c r="U121" s="19">
        <v>26.352735641044713</v>
      </c>
      <c r="V121" s="19">
        <v>7.1390879003567402</v>
      </c>
      <c r="W121" s="19">
        <v>48.237101286255893</v>
      </c>
      <c r="X121" s="19">
        <v>51.248088833319699</v>
      </c>
      <c r="Y121" s="19">
        <v>29.236937358181635</v>
      </c>
      <c r="Z121" s="19">
        <v>18.785953057103779</v>
      </c>
      <c r="AA121" s="19">
        <v>15.206190243181194</v>
      </c>
      <c r="AB121" s="19">
        <v>34.629269914773765</v>
      </c>
      <c r="AC121" s="19">
        <v>31.678704923202911</v>
      </c>
      <c r="AD121" s="19">
        <v>17.433675645012226</v>
      </c>
      <c r="AE121" s="19">
        <v>26.983073266386352</v>
      </c>
      <c r="AF121" s="19">
        <v>43.830453263637388</v>
      </c>
      <c r="AG121" s="19">
        <v>664.94847469071578</v>
      </c>
      <c r="AH121" s="19">
        <v>360.01984421861778</v>
      </c>
      <c r="AI121" s="19">
        <v>1695.9777621527221</v>
      </c>
      <c r="AJ121" s="19">
        <v>1787.6084210924473</v>
      </c>
      <c r="AK121" s="19">
        <v>1483.6479373236498</v>
      </c>
      <c r="AL121" s="19">
        <v>1600.6323084520184</v>
      </c>
      <c r="AM121" s="19">
        <v>1717.5554547130926</v>
      </c>
      <c r="AN121" s="19">
        <v>2185.9039950531014</v>
      </c>
      <c r="AO121" s="19"/>
      <c r="AP121" s="19">
        <v>1.4563458213909191</v>
      </c>
      <c r="AQ121" s="19">
        <v>0.96834154091683677</v>
      </c>
      <c r="AR121" s="19">
        <v>1.487424315821321</v>
      </c>
      <c r="AS121" s="19">
        <v>1.0050797850804003</v>
      </c>
      <c r="AT121" s="19">
        <v>1.2721348920902018</v>
      </c>
      <c r="AU121" s="19">
        <v>0.95077065485606838</v>
      </c>
      <c r="AV121" s="19">
        <v>0.21088910795696314</v>
      </c>
      <c r="AW121" s="19">
        <v>0.63182823957386358</v>
      </c>
      <c r="AX121" s="19">
        <v>0.86574488151400675</v>
      </c>
      <c r="AY121" s="19">
        <v>0.30629507673496509</v>
      </c>
      <c r="AZ121" s="19">
        <v>0.63966154232885153</v>
      </c>
      <c r="BA121" s="19">
        <v>0.51421889559149947</v>
      </c>
      <c r="BB121" s="19">
        <v>0.13930447091551162</v>
      </c>
      <c r="BC121" s="19">
        <v>0.94124683250419738</v>
      </c>
      <c r="BD121" s="19">
        <v>0.84428396642888459</v>
      </c>
      <c r="BE121" s="19">
        <v>0.54248770197402263</v>
      </c>
      <c r="BF121" s="19">
        <v>0.4391137982580981</v>
      </c>
      <c r="BG121" s="19">
        <v>0.72275558577178101</v>
      </c>
      <c r="BH121" s="19">
        <v>0.39775257490835825</v>
      </c>
      <c r="BI121" s="19">
        <v>0.61562387009974284</v>
      </c>
    </row>
    <row r="122" spans="1:61" x14ac:dyDescent="0.55000000000000004">
      <c r="A122" s="19" t="s">
        <v>835</v>
      </c>
      <c r="B122" s="19" t="s">
        <v>836</v>
      </c>
      <c r="C122" s="19" t="s">
        <v>322</v>
      </c>
      <c r="D122" s="19" t="s">
        <v>9</v>
      </c>
      <c r="E122" s="19">
        <v>2093</v>
      </c>
      <c r="F122" s="19">
        <v>66.165557990014392</v>
      </c>
      <c r="G122" s="19">
        <v>39.039173436728746</v>
      </c>
      <c r="H122" s="19">
        <v>81708.990003073268</v>
      </c>
      <c r="I122" s="19">
        <v>35.03189172910885</v>
      </c>
      <c r="J122" s="19">
        <v>14.742357779931362</v>
      </c>
      <c r="K122" s="19">
        <v>30.556116339255521</v>
      </c>
      <c r="L122" s="19">
        <v>46.480921307202443</v>
      </c>
      <c r="M122" s="19">
        <v>38.55251867026341</v>
      </c>
      <c r="N122" s="19">
        <v>13.062199191439088</v>
      </c>
      <c r="O122" s="19">
        <v>13.388650343043514</v>
      </c>
      <c r="P122" s="19">
        <v>41.135214352063151</v>
      </c>
      <c r="Q122" s="19">
        <v>512.3938874095893</v>
      </c>
      <c r="R122" s="19">
        <v>268.52971539895032</v>
      </c>
      <c r="S122" s="19">
        <v>1283.0851812823967</v>
      </c>
      <c r="T122" s="19">
        <v>1353.7685813454068</v>
      </c>
      <c r="U122" s="19">
        <v>40.838665071258475</v>
      </c>
      <c r="V122" s="19">
        <v>8.2365941970643881</v>
      </c>
      <c r="W122" s="19">
        <v>49.924409425896208</v>
      </c>
      <c r="X122" s="19">
        <v>56.102864441692603</v>
      </c>
      <c r="Y122" s="19">
        <v>30.003099524001659</v>
      </c>
      <c r="Z122" s="19">
        <v>16.536602018268056</v>
      </c>
      <c r="AA122" s="19">
        <v>11.95383223929878</v>
      </c>
      <c r="AB122" s="19">
        <v>34.214867971241418</v>
      </c>
      <c r="AC122" s="19">
        <v>58.063579217288925</v>
      </c>
      <c r="AD122" s="19">
        <v>15.868064032436505</v>
      </c>
      <c r="AE122" s="19">
        <v>29.780398966110077</v>
      </c>
      <c r="AF122" s="19">
        <v>63.783652032676962</v>
      </c>
      <c r="AG122" s="19">
        <v>824.59495178364011</v>
      </c>
      <c r="AH122" s="19">
        <v>508.7382999471784</v>
      </c>
      <c r="AI122" s="19">
        <v>1778.147916578057</v>
      </c>
      <c r="AJ122" s="19">
        <v>1956.5043421183177</v>
      </c>
      <c r="AK122" s="19">
        <v>1466.813001488036</v>
      </c>
      <c r="AL122" s="19">
        <v>2512.2504693289575</v>
      </c>
      <c r="AM122" s="19">
        <v>745.38071880454368</v>
      </c>
      <c r="AN122" s="19">
        <v>2527.1542254856199</v>
      </c>
      <c r="AO122" s="19"/>
      <c r="AP122" s="19">
        <v>1.1906225776663697</v>
      </c>
      <c r="AQ122" s="19">
        <v>1.0536907093776329</v>
      </c>
      <c r="AR122" s="19">
        <v>1.437091503297814</v>
      </c>
      <c r="AS122" s="19">
        <v>0.87642398542822286</v>
      </c>
      <c r="AT122" s="19">
        <v>1.633837154263829</v>
      </c>
      <c r="AU122" s="19">
        <v>0.75368324774751161</v>
      </c>
      <c r="AV122" s="19">
        <v>0.31717008538828084</v>
      </c>
      <c r="AW122" s="19">
        <v>0.65739050517745878</v>
      </c>
      <c r="AX122" s="19">
        <v>0.93721448344245217</v>
      </c>
      <c r="AY122" s="19">
        <v>0.31754299563492971</v>
      </c>
      <c r="AZ122" s="19">
        <v>0.32547904645529097</v>
      </c>
      <c r="BA122" s="19">
        <v>0.72792477670550804</v>
      </c>
      <c r="BB122" s="19">
        <v>0.14681236473450718</v>
      </c>
      <c r="BC122" s="19">
        <v>0.88987273506832032</v>
      </c>
      <c r="BD122" s="19">
        <v>0.87690239077409649</v>
      </c>
      <c r="BE122" s="19">
        <v>0.48331625982504289</v>
      </c>
      <c r="BF122" s="19">
        <v>0.34937537240670696</v>
      </c>
      <c r="BG122" s="19">
        <v>0.91032070706052404</v>
      </c>
      <c r="BH122" s="19">
        <v>0.24877948387632537</v>
      </c>
      <c r="BI122" s="19">
        <v>0.46689704990321501</v>
      </c>
    </row>
    <row r="123" spans="1:61" x14ac:dyDescent="0.55000000000000004">
      <c r="A123" s="19" t="s">
        <v>837</v>
      </c>
      <c r="B123" s="19" t="s">
        <v>838</v>
      </c>
      <c r="C123" s="19" t="s">
        <v>322</v>
      </c>
      <c r="D123" s="19" t="s">
        <v>9</v>
      </c>
      <c r="E123" s="19">
        <v>2129</v>
      </c>
      <c r="F123" s="19">
        <v>68.533192121732284</v>
      </c>
      <c r="G123" s="19">
        <v>49.193533787974367</v>
      </c>
      <c r="H123" s="19">
        <v>104733.03343459743</v>
      </c>
      <c r="I123" s="19">
        <v>34.844013742729011</v>
      </c>
      <c r="J123" s="19">
        <v>23.849866245722794</v>
      </c>
      <c r="K123" s="19">
        <v>24.084482754022616</v>
      </c>
      <c r="L123" s="19">
        <v>45.34909029781366</v>
      </c>
      <c r="M123" s="19">
        <v>37.362265427846651</v>
      </c>
      <c r="N123" s="19">
        <v>18.011379864221556</v>
      </c>
      <c r="O123" s="19">
        <v>8.6791933818104745</v>
      </c>
      <c r="P123" s="19">
        <v>41.557270800425471</v>
      </c>
      <c r="Q123" s="19">
        <v>327.52473707965663</v>
      </c>
      <c r="R123" s="19">
        <v>37.409432631029667</v>
      </c>
      <c r="S123" s="19">
        <v>1126.5840364190915</v>
      </c>
      <c r="T123" s="19">
        <v>1127.3001488734876</v>
      </c>
      <c r="U123" s="19">
        <v>33.150446601040763</v>
      </c>
      <c r="V123" s="19">
        <v>19.615858750429251</v>
      </c>
      <c r="W123" s="19">
        <v>41.467289428849995</v>
      </c>
      <c r="X123" s="19">
        <v>54.012750073258381</v>
      </c>
      <c r="Y123" s="19">
        <v>31.928753047334197</v>
      </c>
      <c r="Z123" s="19">
        <v>31.414963346656574</v>
      </c>
      <c r="AA123" s="19">
        <v>16.572352483923368</v>
      </c>
      <c r="AB123" s="19">
        <v>40.413714917363755</v>
      </c>
      <c r="AC123" s="19">
        <v>34.540549854661379</v>
      </c>
      <c r="AD123" s="19">
        <v>32.466512077468764</v>
      </c>
      <c r="AE123" s="19">
        <v>40.057355343500888</v>
      </c>
      <c r="AF123" s="19">
        <v>52.351444097703876</v>
      </c>
      <c r="AG123" s="19">
        <v>1058.8239212259753</v>
      </c>
      <c r="AH123" s="19">
        <v>85.723688784164636</v>
      </c>
      <c r="AI123" s="19">
        <v>1828.1663932092374</v>
      </c>
      <c r="AJ123" s="19">
        <v>2076.4752604102587</v>
      </c>
      <c r="AK123" s="19">
        <v>2381.939415653268</v>
      </c>
      <c r="AL123" s="19">
        <v>2357.2288362408235</v>
      </c>
      <c r="AM123" s="19">
        <v>661.9695917349286</v>
      </c>
      <c r="AN123" s="19">
        <v>3279.7733906309204</v>
      </c>
      <c r="AO123" s="19"/>
      <c r="AP123" s="19">
        <v>0.92185063372901044</v>
      </c>
      <c r="AQ123" s="19">
        <v>0.84477100139905736</v>
      </c>
      <c r="AR123" s="19">
        <v>1.0979644256916972</v>
      </c>
      <c r="AS123" s="19">
        <v>0.82152494048400959</v>
      </c>
      <c r="AT123" s="19">
        <v>1.0641936056746848</v>
      </c>
      <c r="AU123" s="19">
        <v>0.7683508867301112</v>
      </c>
      <c r="AV123" s="19">
        <v>0.52591719236477441</v>
      </c>
      <c r="AW123" s="19">
        <v>0.5310907582898915</v>
      </c>
      <c r="AX123" s="19">
        <v>0.89905483945938358</v>
      </c>
      <c r="AY123" s="19">
        <v>0.43341103776326795</v>
      </c>
      <c r="AZ123" s="19">
        <v>0.20884897431045005</v>
      </c>
      <c r="BA123" s="19">
        <v>0.61375224472144574</v>
      </c>
      <c r="BB123" s="19">
        <v>0.36317089435038835</v>
      </c>
      <c r="BC123" s="19">
        <v>0.76773149622278491</v>
      </c>
      <c r="BD123" s="19">
        <v>0.79004746563439543</v>
      </c>
      <c r="BE123" s="19">
        <v>0.77733421465689445</v>
      </c>
      <c r="BF123" s="19">
        <v>0.41006753568212695</v>
      </c>
      <c r="BG123" s="19">
        <v>0.65978217888694923</v>
      </c>
      <c r="BH123" s="19">
        <v>0.62016459406308411</v>
      </c>
      <c r="BI123" s="19">
        <v>0.76516237582179314</v>
      </c>
    </row>
    <row r="124" spans="1:61" x14ac:dyDescent="0.55000000000000004">
      <c r="A124" s="19" t="s">
        <v>841</v>
      </c>
      <c r="B124" s="19" t="s">
        <v>842</v>
      </c>
      <c r="C124" s="19" t="s">
        <v>322</v>
      </c>
      <c r="D124" s="19" t="s">
        <v>9</v>
      </c>
      <c r="E124" s="19">
        <v>2343</v>
      </c>
      <c r="F124" s="19">
        <v>67.163798919507343</v>
      </c>
      <c r="G124" s="19">
        <v>35.432507203586226</v>
      </c>
      <c r="H124" s="19">
        <v>83018.36437800253</v>
      </c>
      <c r="I124" s="19">
        <v>58.541213997632035</v>
      </c>
      <c r="J124" s="19">
        <v>9.2694911006401934</v>
      </c>
      <c r="K124" s="19">
        <v>21.477222168571537</v>
      </c>
      <c r="L124" s="19">
        <v>61.873189519986546</v>
      </c>
      <c r="M124" s="19">
        <v>36.165393402858101</v>
      </c>
      <c r="N124" s="19">
        <v>8.3493513680328952</v>
      </c>
      <c r="O124" s="19">
        <v>13.467989394003983</v>
      </c>
      <c r="P124" s="19">
        <v>37.197982755279241</v>
      </c>
      <c r="Q124" s="19">
        <v>760.50250997849537</v>
      </c>
      <c r="R124" s="19">
        <v>11.117944481205233</v>
      </c>
      <c r="S124" s="19">
        <v>942.70201568422829</v>
      </c>
      <c r="T124" s="19">
        <v>1099.1961841796749</v>
      </c>
      <c r="U124" s="19">
        <v>44.926048677842815</v>
      </c>
      <c r="V124" s="19">
        <v>14.958471872886706</v>
      </c>
      <c r="W124" s="19">
        <v>79.739551993569378</v>
      </c>
      <c r="X124" s="19">
        <v>88.785370644246512</v>
      </c>
      <c r="Y124" s="19">
        <v>42.721390347031601</v>
      </c>
      <c r="Z124" s="19">
        <v>18.869549404452062</v>
      </c>
      <c r="AA124" s="19">
        <v>15.138576639725725</v>
      </c>
      <c r="AB124" s="19">
        <v>47.030362918006119</v>
      </c>
      <c r="AC124" s="19">
        <v>42.912262709186727</v>
      </c>
      <c r="AD124" s="19">
        <v>13.712689212995224</v>
      </c>
      <c r="AE124" s="19">
        <v>23.456765121301316</v>
      </c>
      <c r="AF124" s="19">
        <v>47.049390550150051</v>
      </c>
      <c r="AG124" s="19">
        <v>1347.8020488407169</v>
      </c>
      <c r="AH124" s="19">
        <v>228.77238310736436</v>
      </c>
      <c r="AI124" s="19">
        <v>2889.6307318992222</v>
      </c>
      <c r="AJ124" s="19">
        <v>3170.2206607229946</v>
      </c>
      <c r="AK124" s="19">
        <v>1214.3168302657823</v>
      </c>
      <c r="AL124" s="19">
        <v>725.19532103527354</v>
      </c>
      <c r="AM124" s="19">
        <v>1193.8185597674287</v>
      </c>
      <c r="AN124" s="19">
        <v>1465.0772143296658</v>
      </c>
      <c r="AO124" s="19"/>
      <c r="AP124" s="19">
        <v>1.7462266828728445</v>
      </c>
      <c r="AQ124" s="19">
        <v>1.0498264359772522</v>
      </c>
      <c r="AR124" s="19">
        <v>2.5057603215631405</v>
      </c>
      <c r="AS124" s="19">
        <v>1.3273224682572291</v>
      </c>
      <c r="AT124" s="19">
        <v>1.3278594788626203</v>
      </c>
      <c r="AU124" s="19">
        <v>0.94614831483225537</v>
      </c>
      <c r="AV124" s="19">
        <v>0.14981434079207961</v>
      </c>
      <c r="AW124" s="19">
        <v>0.34711677764137033</v>
      </c>
      <c r="AX124" s="19">
        <v>0.97224071640619836</v>
      </c>
      <c r="AY124" s="19">
        <v>0.22445710088534121</v>
      </c>
      <c r="AZ124" s="19">
        <v>0.36206235920394281</v>
      </c>
      <c r="BA124" s="19">
        <v>0.50600733377412688</v>
      </c>
      <c r="BB124" s="19">
        <v>0.16847901590481279</v>
      </c>
      <c r="BC124" s="19">
        <v>0.89811588795497899</v>
      </c>
      <c r="BD124" s="19">
        <v>0.90837892153869015</v>
      </c>
      <c r="BE124" s="19">
        <v>0.40122057823261315</v>
      </c>
      <c r="BF124" s="19">
        <v>0.32188942845537233</v>
      </c>
      <c r="BG124" s="19">
        <v>0.91206840742063278</v>
      </c>
      <c r="BH124" s="19">
        <v>0.29145306777946123</v>
      </c>
      <c r="BI124" s="19">
        <v>0.49855619482039193</v>
      </c>
    </row>
    <row r="125" spans="1:61" x14ac:dyDescent="0.55000000000000004">
      <c r="A125" s="19" t="s">
        <v>847</v>
      </c>
      <c r="B125" s="19" t="s">
        <v>848</v>
      </c>
      <c r="C125" s="19" t="s">
        <v>322</v>
      </c>
      <c r="D125" s="19" t="s">
        <v>9</v>
      </c>
      <c r="E125" s="19">
        <v>2199</v>
      </c>
      <c r="F125" s="19">
        <v>66.60789084517836</v>
      </c>
      <c r="G125" s="19">
        <v>40.097654134636308</v>
      </c>
      <c r="H125" s="19">
        <v>88174.741442065235</v>
      </c>
      <c r="I125" s="19">
        <v>39.546418454687078</v>
      </c>
      <c r="J125" s="19">
        <v>8.1921164969706535</v>
      </c>
      <c r="K125" s="19">
        <v>28.554311711183956</v>
      </c>
      <c r="L125" s="19">
        <v>47.766668402626145</v>
      </c>
      <c r="M125" s="19">
        <v>32.192835633602833</v>
      </c>
      <c r="N125" s="19">
        <v>12.589017117962353</v>
      </c>
      <c r="O125" s="19">
        <v>15.296409465936803</v>
      </c>
      <c r="P125" s="19">
        <v>36.085092939465305</v>
      </c>
      <c r="Q125" s="19">
        <v>467.18938879653825</v>
      </c>
      <c r="R125" s="19">
        <v>64.917053077013605</v>
      </c>
      <c r="S125" s="19">
        <v>907.46329685042849</v>
      </c>
      <c r="T125" s="19">
        <v>969.48485955542367</v>
      </c>
      <c r="U125" s="19">
        <v>24.872772293488602</v>
      </c>
      <c r="V125" s="19">
        <v>12.524838150299678</v>
      </c>
      <c r="W125" s="19">
        <v>38.242496182285912</v>
      </c>
      <c r="X125" s="19">
        <v>46.971744444248131</v>
      </c>
      <c r="Y125" s="19">
        <v>25.28402670626425</v>
      </c>
      <c r="Z125" s="19">
        <v>22.328863093730202</v>
      </c>
      <c r="AA125" s="19">
        <v>9.4203984206780351</v>
      </c>
      <c r="AB125" s="19">
        <v>33.29685828178777</v>
      </c>
      <c r="AC125" s="19">
        <v>26.505417770471226</v>
      </c>
      <c r="AD125" s="19">
        <v>17.738465737224679</v>
      </c>
      <c r="AE125" s="19">
        <v>26.113268504728737</v>
      </c>
      <c r="AF125" s="19">
        <v>40.412906164984911</v>
      </c>
      <c r="AG125" s="19">
        <v>788.32581475110317</v>
      </c>
      <c r="AH125" s="19">
        <v>72.483405681681546</v>
      </c>
      <c r="AI125" s="19">
        <v>1430.8589207992491</v>
      </c>
      <c r="AJ125" s="19">
        <v>1626.8275040657027</v>
      </c>
      <c r="AK125" s="19">
        <v>839.85445034233442</v>
      </c>
      <c r="AL125" s="19">
        <v>1674.6863250093065</v>
      </c>
      <c r="AM125" s="19">
        <v>670.69329512093134</v>
      </c>
      <c r="AN125" s="19">
        <v>1719.777465080497</v>
      </c>
      <c r="AO125" s="19"/>
      <c r="AP125" s="19">
        <v>1.1912584272945124</v>
      </c>
      <c r="AQ125" s="19">
        <v>0.8999302756790214</v>
      </c>
      <c r="AR125" s="19">
        <v>1.1714337274327975</v>
      </c>
      <c r="AS125" s="19">
        <v>0.83039417143922101</v>
      </c>
      <c r="AT125" s="19">
        <v>1.0078621065783568</v>
      </c>
      <c r="AU125" s="19">
        <v>0.82790824181727674</v>
      </c>
      <c r="AV125" s="19">
        <v>0.17150278156138396</v>
      </c>
      <c r="AW125" s="19">
        <v>0.59778738325434644</v>
      </c>
      <c r="AX125" s="19">
        <v>0.89213669721200539</v>
      </c>
      <c r="AY125" s="19">
        <v>0.34887029774541833</v>
      </c>
      <c r="AZ125" s="19">
        <v>0.4238982976044251</v>
      </c>
      <c r="BA125" s="19">
        <v>0.52952626281552473</v>
      </c>
      <c r="BB125" s="19">
        <v>0.26664622100986057</v>
      </c>
      <c r="BC125" s="19">
        <v>0.81415958965877522</v>
      </c>
      <c r="BD125" s="19">
        <v>0.75935172298504028</v>
      </c>
      <c r="BE125" s="19">
        <v>0.670599697567963</v>
      </c>
      <c r="BF125" s="19">
        <v>0.28292153995293506</v>
      </c>
      <c r="BG125" s="19">
        <v>0.6558651749088118</v>
      </c>
      <c r="BH125" s="19">
        <v>0.43893071349057983</v>
      </c>
      <c r="BI125" s="19">
        <v>0.6461616098115246</v>
      </c>
    </row>
    <row r="126" spans="1:61" x14ac:dyDescent="0.55000000000000004">
      <c r="A126" s="19" t="s">
        <v>849</v>
      </c>
      <c r="B126" s="19" t="s">
        <v>850</v>
      </c>
      <c r="C126" s="19" t="s">
        <v>322</v>
      </c>
      <c r="D126" s="19" t="s">
        <v>9</v>
      </c>
      <c r="E126" s="19">
        <v>2408</v>
      </c>
      <c r="F126" s="19">
        <v>67.246536006205176</v>
      </c>
      <c r="G126" s="19">
        <v>43.00060419383626</v>
      </c>
      <c r="H126" s="19">
        <v>103545.45489875771</v>
      </c>
      <c r="I126" s="19">
        <v>38.420777457352244</v>
      </c>
      <c r="J126" s="19">
        <v>17.153462584452342</v>
      </c>
      <c r="K126" s="19">
        <v>30.929841717276844</v>
      </c>
      <c r="L126" s="19">
        <v>49.899412146300996</v>
      </c>
      <c r="M126" s="19">
        <v>40.429584323698855</v>
      </c>
      <c r="N126" s="19">
        <v>16.604416508314245</v>
      </c>
      <c r="O126" s="19">
        <v>14.499805523711769</v>
      </c>
      <c r="P126" s="19">
        <v>45.502909223699753</v>
      </c>
      <c r="Q126" s="19">
        <v>375.86444975040024</v>
      </c>
      <c r="R126" s="19">
        <v>43.551069115844172</v>
      </c>
      <c r="S126" s="19">
        <v>1255.3958547899074</v>
      </c>
      <c r="T126" s="19">
        <v>1293.7450278243339</v>
      </c>
      <c r="U126" s="19">
        <v>51.408848067448261</v>
      </c>
      <c r="V126" s="19">
        <v>13.288961954278738</v>
      </c>
      <c r="W126" s="19">
        <v>55.809597997862724</v>
      </c>
      <c r="X126" s="19">
        <v>63.568229128461702</v>
      </c>
      <c r="Y126" s="19">
        <v>33.163552903175983</v>
      </c>
      <c r="Z126" s="19">
        <v>25.278923502414496</v>
      </c>
      <c r="AA126" s="19">
        <v>14.789700966490788</v>
      </c>
      <c r="AB126" s="19">
        <v>41.578898647193299</v>
      </c>
      <c r="AC126" s="19">
        <v>40.115683213326108</v>
      </c>
      <c r="AD126" s="19">
        <v>24.753355957792785</v>
      </c>
      <c r="AE126" s="19">
        <v>32.937938681950797</v>
      </c>
      <c r="AF126" s="19">
        <v>55.293210759299221</v>
      </c>
      <c r="AG126" s="19">
        <v>1004.1767924694634</v>
      </c>
      <c r="AH126" s="19">
        <v>608.63654285709549</v>
      </c>
      <c r="AI126" s="19">
        <v>2105.3349694301032</v>
      </c>
      <c r="AJ126" s="19">
        <v>2330.7004833586034</v>
      </c>
      <c r="AK126" s="19">
        <v>585.75906622247862</v>
      </c>
      <c r="AL126" s="19">
        <v>1965.8031148805721</v>
      </c>
      <c r="AM126" s="19">
        <v>1284.9161560074247</v>
      </c>
      <c r="AN126" s="19">
        <v>2000.897620281776</v>
      </c>
      <c r="AO126" s="19"/>
      <c r="AP126" s="19">
        <v>1.1604351399660942</v>
      </c>
      <c r="AQ126" s="19">
        <v>1.0581923225679275</v>
      </c>
      <c r="AR126" s="19">
        <v>1.4783101381997237</v>
      </c>
      <c r="AS126" s="19">
        <v>0.96693754487182881</v>
      </c>
      <c r="AT126" s="19">
        <v>1.2858705545171152</v>
      </c>
      <c r="AU126" s="19">
        <v>0.76996453073847171</v>
      </c>
      <c r="AV126" s="19">
        <v>0.34376081494026006</v>
      </c>
      <c r="AW126" s="19">
        <v>0.61984380951408957</v>
      </c>
      <c r="AX126" s="19">
        <v>0.88850548269211527</v>
      </c>
      <c r="AY126" s="19">
        <v>0.36490889904828311</v>
      </c>
      <c r="AZ126" s="19">
        <v>0.3186566698939699</v>
      </c>
      <c r="BA126" s="19">
        <v>0.80871921040239791</v>
      </c>
      <c r="BB126" s="19">
        <v>0.20905037211943991</v>
      </c>
      <c r="BC126" s="19">
        <v>0.8779479743738029</v>
      </c>
      <c r="BD126" s="19">
        <v>0.79760537152694932</v>
      </c>
      <c r="BE126" s="19">
        <v>0.60797482196226715</v>
      </c>
      <c r="BF126" s="19">
        <v>0.35570208561763184</v>
      </c>
      <c r="BG126" s="19">
        <v>0.72550829771771652</v>
      </c>
      <c r="BH126" s="19">
        <v>0.44767441821290438</v>
      </c>
      <c r="BI126" s="19">
        <v>0.59569589520375776</v>
      </c>
    </row>
    <row r="127" spans="1:61" x14ac:dyDescent="0.55000000000000004">
      <c r="A127" s="19" t="s">
        <v>855</v>
      </c>
      <c r="B127" s="19" t="s">
        <v>856</v>
      </c>
      <c r="C127" s="19" t="s">
        <v>322</v>
      </c>
      <c r="D127" s="19" t="s">
        <v>9</v>
      </c>
      <c r="E127" s="19">
        <v>1823</v>
      </c>
      <c r="F127" s="19">
        <v>68.475504367905316</v>
      </c>
      <c r="G127" s="19">
        <v>70.518292167206027</v>
      </c>
      <c r="H127" s="19">
        <v>128554.84662081659</v>
      </c>
      <c r="I127" s="19">
        <v>32.320686248841561</v>
      </c>
      <c r="J127" s="19">
        <v>17.887194685495281</v>
      </c>
      <c r="K127" s="19">
        <v>29.26577733148358</v>
      </c>
      <c r="L127" s="19">
        <v>38.40947548126379</v>
      </c>
      <c r="M127" s="19">
        <v>36.379404173730968</v>
      </c>
      <c r="N127" s="19">
        <v>18.140479591195231</v>
      </c>
      <c r="O127" s="19">
        <v>13.866325119725371</v>
      </c>
      <c r="P127" s="19">
        <v>40.913010693996078</v>
      </c>
      <c r="Q127" s="19">
        <v>395.62729299402781</v>
      </c>
      <c r="R127" s="19">
        <v>60.68743539082999</v>
      </c>
      <c r="S127" s="19">
        <v>1020.0766703525569</v>
      </c>
      <c r="T127" s="19">
        <v>1082.9707000706007</v>
      </c>
      <c r="U127" s="19">
        <v>23.271081222105465</v>
      </c>
      <c r="V127" s="19">
        <v>11.985397861993995</v>
      </c>
      <c r="W127" s="19">
        <v>54.414373911891218</v>
      </c>
      <c r="X127" s="19">
        <v>58.920324905125369</v>
      </c>
      <c r="Y127" s="19">
        <v>32.689463748304249</v>
      </c>
      <c r="Z127" s="19">
        <v>28.043376349488351</v>
      </c>
      <c r="AA127" s="19">
        <v>26.21263956488087</v>
      </c>
      <c r="AB127" s="19">
        <v>45.170199611078949</v>
      </c>
      <c r="AC127" s="19">
        <v>34.637838768601753</v>
      </c>
      <c r="AD127" s="19">
        <v>25.182710102439263</v>
      </c>
      <c r="AE127" s="19">
        <v>44.164015843282243</v>
      </c>
      <c r="AF127" s="19">
        <v>52.575730935411428</v>
      </c>
      <c r="AG127" s="19">
        <v>779.89065664902705</v>
      </c>
      <c r="AH127" s="19">
        <v>317.53235472461108</v>
      </c>
      <c r="AI127" s="19">
        <v>1930.4046301270057</v>
      </c>
      <c r="AJ127" s="19">
        <v>2063.0347159328635</v>
      </c>
      <c r="AK127" s="19">
        <v>972.2232927268609</v>
      </c>
      <c r="AL127" s="19">
        <v>3131.8554252139452</v>
      </c>
      <c r="AM127" s="19">
        <v>1434.1387074425265</v>
      </c>
      <c r="AN127" s="19">
        <v>3225.6632715908136</v>
      </c>
      <c r="AO127" s="19"/>
      <c r="AP127" s="19">
        <v>0.54467393212233539</v>
      </c>
      <c r="AQ127" s="19">
        <v>0.5801758584423341</v>
      </c>
      <c r="AR127" s="19">
        <v>0.83553249936086516</v>
      </c>
      <c r="AS127" s="19">
        <v>0.64054585303875233</v>
      </c>
      <c r="AT127" s="19">
        <v>0.74556160280724093</v>
      </c>
      <c r="AU127" s="19">
        <v>0.84147689714241602</v>
      </c>
      <c r="AV127" s="19">
        <v>0.46569744734526997</v>
      </c>
      <c r="AW127" s="19">
        <v>0.76194160333586114</v>
      </c>
      <c r="AX127" s="19">
        <v>0.88918912484408263</v>
      </c>
      <c r="AY127" s="19">
        <v>0.44339146113872568</v>
      </c>
      <c r="AZ127" s="19">
        <v>0.33892213954716938</v>
      </c>
      <c r="BA127" s="19">
        <v>0.39495846738077234</v>
      </c>
      <c r="BB127" s="19">
        <v>0.20341703616354986</v>
      </c>
      <c r="BC127" s="19">
        <v>0.92352467505076186</v>
      </c>
      <c r="BD127" s="19">
        <v>0.7236953573321484</v>
      </c>
      <c r="BE127" s="19">
        <v>0.62083799918852067</v>
      </c>
      <c r="BF127" s="19">
        <v>0.58030825169193334</v>
      </c>
      <c r="BG127" s="19">
        <v>0.65881801645618332</v>
      </c>
      <c r="BH127" s="19">
        <v>0.47897974320843739</v>
      </c>
      <c r="BI127" s="19">
        <v>0.84000764340370537</v>
      </c>
    </row>
    <row r="128" spans="1:61" x14ac:dyDescent="0.55000000000000004">
      <c r="A128" s="19" t="s">
        <v>861</v>
      </c>
      <c r="B128" s="19" t="s">
        <v>862</v>
      </c>
      <c r="C128" s="19" t="s">
        <v>322</v>
      </c>
      <c r="D128" s="19" t="s">
        <v>9</v>
      </c>
      <c r="E128" s="19">
        <v>1920</v>
      </c>
      <c r="F128" s="19">
        <v>64.733950725104151</v>
      </c>
      <c r="G128" s="19">
        <v>34.424123146004952</v>
      </c>
      <c r="H128" s="19">
        <v>66094.316440329509</v>
      </c>
      <c r="I128" s="19">
        <v>32.204874312630011</v>
      </c>
      <c r="J128" s="19">
        <v>24.50537375411669</v>
      </c>
      <c r="K128" s="19">
        <v>23.368145450742038</v>
      </c>
      <c r="L128" s="19">
        <v>36.754617693560846</v>
      </c>
      <c r="M128" s="19">
        <v>34.583009374284742</v>
      </c>
      <c r="N128" s="19">
        <v>21.463709786349082</v>
      </c>
      <c r="O128" s="19">
        <v>5.768134097095313</v>
      </c>
      <c r="P128" s="19">
        <v>39.88043562158898</v>
      </c>
      <c r="Q128" s="19">
        <v>430.96660823319871</v>
      </c>
      <c r="R128" s="19">
        <v>301.46049198007279</v>
      </c>
      <c r="S128" s="19">
        <v>1014.8171190827544</v>
      </c>
      <c r="T128" s="19">
        <v>1015.9352079225189</v>
      </c>
      <c r="U128" s="19">
        <v>23.669147816888142</v>
      </c>
      <c r="V128" s="19">
        <v>14.310972758785898</v>
      </c>
      <c r="W128" s="19">
        <v>55.246733068614219</v>
      </c>
      <c r="X128" s="19">
        <v>58.834657338431832</v>
      </c>
      <c r="Y128" s="19">
        <v>29.594389905128512</v>
      </c>
      <c r="Z128" s="19">
        <v>29.001356888777114</v>
      </c>
      <c r="AA128" s="19">
        <v>28.116373252832116</v>
      </c>
      <c r="AB128" s="19">
        <v>42.100386328135038</v>
      </c>
      <c r="AC128" s="19">
        <v>32.64774082496789</v>
      </c>
      <c r="AD128" s="19">
        <v>22.597633015868517</v>
      </c>
      <c r="AE128" s="19">
        <v>42.20665827664088</v>
      </c>
      <c r="AF128" s="19">
        <v>48.698684015750445</v>
      </c>
      <c r="AG128" s="19">
        <v>740.65008206614561</v>
      </c>
      <c r="AH128" s="19">
        <v>88.091597302608037</v>
      </c>
      <c r="AI128" s="19">
        <v>2002.2188494063594</v>
      </c>
      <c r="AJ128" s="19">
        <v>2079.7997836220361</v>
      </c>
      <c r="AK128" s="19">
        <v>1896.1476520848848</v>
      </c>
      <c r="AL128" s="19">
        <v>3269.6173319652598</v>
      </c>
      <c r="AM128" s="19">
        <v>2466.2708157769648</v>
      </c>
      <c r="AN128" s="19">
        <v>3725.0997576245268</v>
      </c>
      <c r="AO128" s="19"/>
      <c r="AP128" s="19">
        <v>1.0676994599883181</v>
      </c>
      <c r="AQ128" s="19">
        <v>1.1585025841454804</v>
      </c>
      <c r="AR128" s="19">
        <v>1.7091112848072592</v>
      </c>
      <c r="AS128" s="19">
        <v>1.2229908122734841</v>
      </c>
      <c r="AT128" s="19">
        <v>1.4146673775596841</v>
      </c>
      <c r="AU128" s="19">
        <v>0.87621301304603372</v>
      </c>
      <c r="AV128" s="19">
        <v>0.66672911573801685</v>
      </c>
      <c r="AW128" s="19">
        <v>0.63578801568750842</v>
      </c>
      <c r="AX128" s="19">
        <v>0.86716729231421652</v>
      </c>
      <c r="AY128" s="19">
        <v>0.53820148781749666</v>
      </c>
      <c r="AZ128" s="19">
        <v>0.14463568431967619</v>
      </c>
      <c r="BA128" s="19">
        <v>0.40229940799582153</v>
      </c>
      <c r="BB128" s="19">
        <v>0.24324052193362089</v>
      </c>
      <c r="BC128" s="19">
        <v>0.93901682389039909</v>
      </c>
      <c r="BD128" s="19">
        <v>0.70294817901352702</v>
      </c>
      <c r="BE128" s="19">
        <v>0.6888620133491733</v>
      </c>
      <c r="BF128" s="19">
        <v>0.66784121726793699</v>
      </c>
      <c r="BG128" s="19">
        <v>0.67040293767299231</v>
      </c>
      <c r="BH128" s="19">
        <v>0.46402964418011466</v>
      </c>
      <c r="BI128" s="19">
        <v>0.86668991431041809</v>
      </c>
    </row>
    <row r="129" spans="1:61" x14ac:dyDescent="0.55000000000000004">
      <c r="A129" s="19" t="s">
        <v>863</v>
      </c>
      <c r="B129" s="19" t="s">
        <v>864</v>
      </c>
      <c r="C129" s="19" t="s">
        <v>322</v>
      </c>
      <c r="D129" s="19" t="s">
        <v>9</v>
      </c>
      <c r="E129" s="19">
        <v>1716</v>
      </c>
      <c r="F129" s="19">
        <v>67.384622920264221</v>
      </c>
      <c r="G129" s="19">
        <v>68.783728841998496</v>
      </c>
      <c r="H129" s="19">
        <v>118032.87869286942</v>
      </c>
      <c r="I129" s="19">
        <v>35.291503645469327</v>
      </c>
      <c r="J129" s="19">
        <v>23.977681007997688</v>
      </c>
      <c r="K129" s="19">
        <v>30.014683101232933</v>
      </c>
      <c r="L129" s="19">
        <v>49.290829161506466</v>
      </c>
      <c r="M129" s="19">
        <v>41.896415301643529</v>
      </c>
      <c r="N129" s="19">
        <v>21.19489719260843</v>
      </c>
      <c r="O129" s="19">
        <v>10.728002935509307</v>
      </c>
      <c r="P129" s="19">
        <v>47.314390941570977</v>
      </c>
      <c r="Q129" s="19">
        <v>356.36542290831227</v>
      </c>
      <c r="R129" s="19">
        <v>34.003965174052873</v>
      </c>
      <c r="S129" s="19">
        <v>1039.7275861456546</v>
      </c>
      <c r="T129" s="19">
        <v>1067.1721153534274</v>
      </c>
      <c r="U129" s="19">
        <v>23.139050686420145</v>
      </c>
      <c r="V129" s="19">
        <v>9.7177633011100113</v>
      </c>
      <c r="W129" s="19">
        <v>45.640138925191337</v>
      </c>
      <c r="X129" s="19">
        <v>51.150416628732877</v>
      </c>
      <c r="Y129" s="19">
        <v>26.02596194959267</v>
      </c>
      <c r="Z129" s="19">
        <v>25.068643175230285</v>
      </c>
      <c r="AA129" s="19">
        <v>16.097711652722502</v>
      </c>
      <c r="AB129" s="19">
        <v>35.047452415368241</v>
      </c>
      <c r="AC129" s="19">
        <v>35.029252347278117</v>
      </c>
      <c r="AD129" s="19">
        <v>23.805146053884982</v>
      </c>
      <c r="AE129" s="19">
        <v>28.246932125985037</v>
      </c>
      <c r="AF129" s="19">
        <v>43.41712166931481</v>
      </c>
      <c r="AG129" s="19">
        <v>737.8806305668495</v>
      </c>
      <c r="AH129" s="19">
        <v>103.26436090076402</v>
      </c>
      <c r="AI129" s="19">
        <v>1655.3267499250719</v>
      </c>
      <c r="AJ129" s="19">
        <v>1791.6282808928022</v>
      </c>
      <c r="AK129" s="19">
        <v>817.12783498845693</v>
      </c>
      <c r="AL129" s="19">
        <v>2613.8574305264269</v>
      </c>
      <c r="AM129" s="19">
        <v>886.18002339713007</v>
      </c>
      <c r="AN129" s="19">
        <v>2637.5634704580007</v>
      </c>
      <c r="AO129" s="19"/>
      <c r="AP129" s="19">
        <v>0.71660594723980842</v>
      </c>
      <c r="AQ129" s="19">
        <v>0.68787185193544487</v>
      </c>
      <c r="AR129" s="19">
        <v>0.74364122867239879</v>
      </c>
      <c r="AS129" s="19">
        <v>0.50953114937800081</v>
      </c>
      <c r="AT129" s="19">
        <v>0.63121209623641183</v>
      </c>
      <c r="AU129" s="19">
        <v>0.71598518924956789</v>
      </c>
      <c r="AV129" s="19">
        <v>0.48645318847107144</v>
      </c>
      <c r="AW129" s="19">
        <v>0.60893037532167982</v>
      </c>
      <c r="AX129" s="19">
        <v>0.88548989996261052</v>
      </c>
      <c r="AY129" s="19">
        <v>0.44795878739688783</v>
      </c>
      <c r="AZ129" s="19">
        <v>0.22673868820920526</v>
      </c>
      <c r="BA129" s="19">
        <v>0.45237267282437299</v>
      </c>
      <c r="BB129" s="19">
        <v>0.18998404982005998</v>
      </c>
      <c r="BC129" s="19">
        <v>0.89227306312014998</v>
      </c>
      <c r="BD129" s="19">
        <v>0.74259211885484533</v>
      </c>
      <c r="BE129" s="19">
        <v>0.71527718700140763</v>
      </c>
      <c r="BF129" s="19">
        <v>0.45931189125928268</v>
      </c>
      <c r="BG129" s="19">
        <v>0.8068073377612951</v>
      </c>
      <c r="BH129" s="19">
        <v>0.5482893646243101</v>
      </c>
      <c r="BI129" s="19">
        <v>0.65059430565496579</v>
      </c>
    </row>
    <row r="130" spans="1:61" x14ac:dyDescent="0.55000000000000004">
      <c r="A130" s="19" t="s">
        <v>865</v>
      </c>
      <c r="B130" s="19" t="s">
        <v>866</v>
      </c>
      <c r="C130" s="19" t="s">
        <v>322</v>
      </c>
      <c r="D130" s="19" t="s">
        <v>9</v>
      </c>
      <c r="E130" s="19">
        <v>2401</v>
      </c>
      <c r="F130" s="19">
        <v>64.054690673510763</v>
      </c>
      <c r="G130" s="19">
        <v>27.178638761019762</v>
      </c>
      <c r="H130" s="19">
        <v>65255.911665208449</v>
      </c>
      <c r="I130" s="19">
        <v>19.904221244627074</v>
      </c>
      <c r="J130" s="19">
        <v>14.735984877803098</v>
      </c>
      <c r="K130" s="19">
        <v>15.526317231202531</v>
      </c>
      <c r="L130" s="19">
        <v>27.631444987059403</v>
      </c>
      <c r="M130" s="19">
        <v>26.414272681229107</v>
      </c>
      <c r="N130" s="19">
        <v>12.679169516819016</v>
      </c>
      <c r="O130" s="19">
        <v>6.1569811080504699</v>
      </c>
      <c r="P130" s="19">
        <v>27.080336457995138</v>
      </c>
      <c r="Q130" s="19">
        <v>395.90247257401973</v>
      </c>
      <c r="R130" s="19">
        <v>35.002461570328066</v>
      </c>
      <c r="S130" s="19">
        <v>878.60577186993748</v>
      </c>
      <c r="T130" s="19">
        <v>921.42857187217908</v>
      </c>
      <c r="U130" s="19">
        <v>28.923204753224635</v>
      </c>
      <c r="V130" s="19">
        <v>15.761779649838736</v>
      </c>
      <c r="W130" s="19">
        <v>33.966553414076714</v>
      </c>
      <c r="X130" s="19">
        <v>40.709287789248826</v>
      </c>
      <c r="Y130" s="19">
        <v>20.161361900327833</v>
      </c>
      <c r="Z130" s="19">
        <v>21.909911760084935</v>
      </c>
      <c r="AA130" s="19">
        <v>6.9321469292010462</v>
      </c>
      <c r="AB130" s="19">
        <v>29.691628851762886</v>
      </c>
      <c r="AC130" s="19">
        <v>25.709612137826074</v>
      </c>
      <c r="AD130" s="19">
        <v>15.516539077627987</v>
      </c>
      <c r="AE130" s="19">
        <v>20.08457819143986</v>
      </c>
      <c r="AF130" s="19">
        <v>35.3585855610797</v>
      </c>
      <c r="AG130" s="19">
        <v>686.60868437138549</v>
      </c>
      <c r="AH130" s="19">
        <v>240.04052873780995</v>
      </c>
      <c r="AI130" s="19">
        <v>1070.577830593204</v>
      </c>
      <c r="AJ130" s="19">
        <v>1236.0885552742789</v>
      </c>
      <c r="AK130" s="19">
        <v>405.68678446772969</v>
      </c>
      <c r="AL130" s="19">
        <v>1419.9569267469672</v>
      </c>
      <c r="AM130" s="19">
        <v>603.55834250186422</v>
      </c>
      <c r="AN130" s="19">
        <v>1463.5519557902473</v>
      </c>
      <c r="AO130" s="19"/>
      <c r="AP130" s="19">
        <v>1.016660371772889</v>
      </c>
      <c r="AQ130" s="19">
        <v>0.99638310425003285</v>
      </c>
      <c r="AR130" s="19">
        <v>1.4978413064467024</v>
      </c>
      <c r="AS130" s="19">
        <v>1.0924619556129982</v>
      </c>
      <c r="AT130" s="19">
        <v>1.3009697016832134</v>
      </c>
      <c r="AU130" s="19">
        <v>0.72034673734756871</v>
      </c>
      <c r="AV130" s="19">
        <v>0.53330489537207992</v>
      </c>
      <c r="AW130" s="19">
        <v>0.56190753825845696</v>
      </c>
      <c r="AX130" s="19">
        <v>0.97540415430956051</v>
      </c>
      <c r="AY130" s="19">
        <v>0.46820576016424076</v>
      </c>
      <c r="AZ130" s="19">
        <v>0.22735984531066256</v>
      </c>
      <c r="BA130" s="19">
        <v>0.71048171864267173</v>
      </c>
      <c r="BB130" s="19">
        <v>0.3871789585570044</v>
      </c>
      <c r="BC130" s="19">
        <v>0.83436864800781796</v>
      </c>
      <c r="BD130" s="19">
        <v>0.67902512189494746</v>
      </c>
      <c r="BE130" s="19">
        <v>0.73791545318956375</v>
      </c>
      <c r="BF130" s="19">
        <v>0.23347142603089163</v>
      </c>
      <c r="BG130" s="19">
        <v>0.72711087646349315</v>
      </c>
      <c r="BH130" s="19">
        <v>0.43883370421659418</v>
      </c>
      <c r="BI130" s="19">
        <v>0.56802549855239637</v>
      </c>
    </row>
    <row r="131" spans="1:61" x14ac:dyDescent="0.55000000000000004">
      <c r="A131" s="19" t="s">
        <v>867</v>
      </c>
      <c r="B131" s="19" t="s">
        <v>868</v>
      </c>
      <c r="C131" s="19" t="s">
        <v>322</v>
      </c>
      <c r="D131" s="19" t="s">
        <v>9</v>
      </c>
      <c r="E131" s="19">
        <v>1805</v>
      </c>
      <c r="F131" s="19">
        <v>69.484660684381808</v>
      </c>
      <c r="G131" s="19">
        <v>49.719863234168535</v>
      </c>
      <c r="H131" s="19">
        <v>89744.353137674203</v>
      </c>
      <c r="I131" s="19">
        <v>36.586426607306279</v>
      </c>
      <c r="J131" s="19">
        <v>46.541768707131908</v>
      </c>
      <c r="K131" s="19">
        <v>27.467387659326093</v>
      </c>
      <c r="L131" s="19">
        <v>51.923766835880429</v>
      </c>
      <c r="M131" s="19">
        <v>42.425398600753105</v>
      </c>
      <c r="N131" s="19">
        <v>15.504366329745931</v>
      </c>
      <c r="O131" s="19">
        <v>20.968426773977587</v>
      </c>
      <c r="P131" s="19">
        <v>47.300436125855889</v>
      </c>
      <c r="Q131" s="19">
        <v>657.95888859156571</v>
      </c>
      <c r="R131" s="19">
        <v>220.07908217482043</v>
      </c>
      <c r="S131" s="19">
        <v>1252.1590424136482</v>
      </c>
      <c r="T131" s="19">
        <v>1406.2716446193519</v>
      </c>
      <c r="U131" s="19">
        <v>32.424433815152611</v>
      </c>
      <c r="V131" s="19">
        <v>17.944262437509249</v>
      </c>
      <c r="W131" s="19">
        <v>48.877134912500289</v>
      </c>
      <c r="X131" s="19">
        <v>59.292588834732804</v>
      </c>
      <c r="Y131" s="19">
        <v>30.987524964925107</v>
      </c>
      <c r="Z131" s="19">
        <v>33.156044578189373</v>
      </c>
      <c r="AA131" s="19">
        <v>20.016752460022321</v>
      </c>
      <c r="AB131" s="19">
        <v>43.221077745716464</v>
      </c>
      <c r="AC131" s="19">
        <v>28.453274382709314</v>
      </c>
      <c r="AD131" s="19">
        <v>27.895348032032672</v>
      </c>
      <c r="AE131" s="19">
        <v>34.151237697754162</v>
      </c>
      <c r="AF131" s="19">
        <v>42.002630626972568</v>
      </c>
      <c r="AG131" s="19">
        <v>993.54514156630898</v>
      </c>
      <c r="AH131" s="19">
        <v>520.42207356753568</v>
      </c>
      <c r="AI131" s="19">
        <v>1683.0642658625352</v>
      </c>
      <c r="AJ131" s="19">
        <v>1905.7425452072091</v>
      </c>
      <c r="AK131" s="19">
        <v>2586.0919530716747</v>
      </c>
      <c r="AL131" s="19">
        <v>2100.3766752647616</v>
      </c>
      <c r="AM131" s="19">
        <v>1786.1007935887992</v>
      </c>
      <c r="AN131" s="19">
        <v>3083.3155653582953</v>
      </c>
      <c r="AO131" s="19"/>
      <c r="AP131" s="19">
        <v>1.044326421239979</v>
      </c>
      <c r="AQ131" s="19">
        <v>0.95133882213396825</v>
      </c>
      <c r="AR131" s="19">
        <v>1.192533224708987</v>
      </c>
      <c r="AS131" s="19">
        <v>0.8692919677223494</v>
      </c>
      <c r="AT131" s="19">
        <v>0.84478572334662971</v>
      </c>
      <c r="AU131" s="19">
        <v>0.70461811299145349</v>
      </c>
      <c r="AV131" s="19">
        <v>0.89634807995036592</v>
      </c>
      <c r="AW131" s="19">
        <v>0.52899451124461838</v>
      </c>
      <c r="AX131" s="19">
        <v>0.89693461785148454</v>
      </c>
      <c r="AY131" s="19">
        <v>0.32778484935090824</v>
      </c>
      <c r="AZ131" s="19">
        <v>0.44330303251719055</v>
      </c>
      <c r="BA131" s="19">
        <v>0.5468547495122833</v>
      </c>
      <c r="BB131" s="19">
        <v>0.3026392132670338</v>
      </c>
      <c r="BC131" s="19">
        <v>0.82433801379016058</v>
      </c>
      <c r="BD131" s="19">
        <v>0.71695400904241002</v>
      </c>
      <c r="BE131" s="19">
        <v>0.76712674249487889</v>
      </c>
      <c r="BF131" s="19">
        <v>0.46312478781272715</v>
      </c>
      <c r="BG131" s="19">
        <v>0.67741648458650705</v>
      </c>
      <c r="BH131" s="19">
        <v>0.66413335583127242</v>
      </c>
      <c r="BI131" s="19">
        <v>0.81307378104607275</v>
      </c>
    </row>
    <row r="132" spans="1:61" x14ac:dyDescent="0.55000000000000004">
      <c r="A132" s="19" t="s">
        <v>869</v>
      </c>
      <c r="B132" s="19" t="s">
        <v>870</v>
      </c>
      <c r="C132" s="19" t="s">
        <v>322</v>
      </c>
      <c r="D132" s="19" t="s">
        <v>9</v>
      </c>
      <c r="E132" s="19">
        <v>1681</v>
      </c>
      <c r="F132" s="19">
        <v>68.359331168678239</v>
      </c>
      <c r="G132" s="19">
        <v>39.077687548099888</v>
      </c>
      <c r="H132" s="19">
        <v>65689.592768355913</v>
      </c>
      <c r="I132" s="19">
        <v>44.080677718184148</v>
      </c>
      <c r="J132" s="19">
        <v>24.498020717446366</v>
      </c>
      <c r="K132" s="19">
        <v>22.85824906710447</v>
      </c>
      <c r="L132" s="19">
        <v>50.066893356836395</v>
      </c>
      <c r="M132" s="19">
        <v>29.997849485241012</v>
      </c>
      <c r="N132" s="19">
        <v>13.472020061649722</v>
      </c>
      <c r="O132" s="19">
        <v>12.768813911890762</v>
      </c>
      <c r="P132" s="19">
        <v>33.4664513112671</v>
      </c>
      <c r="Q132" s="19">
        <v>557.55944759099839</v>
      </c>
      <c r="R132" s="19">
        <v>76.704346763692371</v>
      </c>
      <c r="S132" s="19">
        <v>976.68226581520094</v>
      </c>
      <c r="T132" s="19">
        <v>1115.2715681423949</v>
      </c>
      <c r="U132" s="19">
        <v>23.856598465844375</v>
      </c>
      <c r="V132" s="19">
        <v>10.337643482812814</v>
      </c>
      <c r="W132" s="19">
        <v>43.544681477753201</v>
      </c>
      <c r="X132" s="19">
        <v>49.032178467474047</v>
      </c>
      <c r="Y132" s="19">
        <v>28.893349068957015</v>
      </c>
      <c r="Z132" s="19">
        <v>27.892152313916959</v>
      </c>
      <c r="AA132" s="19">
        <v>8.518920766985687</v>
      </c>
      <c r="AB132" s="19">
        <v>39.899395261407307</v>
      </c>
      <c r="AC132" s="19">
        <v>33.649976006162113</v>
      </c>
      <c r="AD132" s="19">
        <v>19.089788439018292</v>
      </c>
      <c r="AE132" s="19">
        <v>31.424373687508549</v>
      </c>
      <c r="AF132" s="19">
        <v>45.401621170459784</v>
      </c>
      <c r="AG132" s="19">
        <v>814.85157584277852</v>
      </c>
      <c r="AH132" s="19">
        <v>39.506967437274547</v>
      </c>
      <c r="AI132" s="19">
        <v>1563.0325683163555</v>
      </c>
      <c r="AJ132" s="19">
        <v>1749.7816669186407</v>
      </c>
      <c r="AK132" s="19">
        <v>546.69404933736951</v>
      </c>
      <c r="AL132" s="19">
        <v>1598.9148275769305</v>
      </c>
      <c r="AM132" s="19">
        <v>1027.8514131322083</v>
      </c>
      <c r="AN132" s="19">
        <v>1599.6358494337817</v>
      </c>
      <c r="AO132" s="19"/>
      <c r="AP132" s="19">
        <v>1.2812143322250102</v>
      </c>
      <c r="AQ132" s="19">
        <v>0.85640818101311555</v>
      </c>
      <c r="AR132" s="19">
        <v>1.2547359258943198</v>
      </c>
      <c r="AS132" s="19">
        <v>1.0210275419264765</v>
      </c>
      <c r="AT132" s="19">
        <v>1.161829781114246</v>
      </c>
      <c r="AU132" s="19">
        <v>0.88043564844362654</v>
      </c>
      <c r="AV132" s="19">
        <v>0.48930578821506365</v>
      </c>
      <c r="AW132" s="19">
        <v>0.45655417251854086</v>
      </c>
      <c r="AX132" s="19">
        <v>0.89635585220060909</v>
      </c>
      <c r="AY132" s="19">
        <v>0.4025529906457132</v>
      </c>
      <c r="AZ132" s="19">
        <v>0.3815407194844081</v>
      </c>
      <c r="BA132" s="19">
        <v>0.48654983750456593</v>
      </c>
      <c r="BB132" s="19">
        <v>0.2108338606588811</v>
      </c>
      <c r="BC132" s="19">
        <v>0.88808376129237199</v>
      </c>
      <c r="BD132" s="19">
        <v>0.72415506249299244</v>
      </c>
      <c r="BE132" s="19">
        <v>0.69906203167183456</v>
      </c>
      <c r="BF132" s="19">
        <v>0.21351002217383513</v>
      </c>
      <c r="BG132" s="19">
        <v>0.74116243294096762</v>
      </c>
      <c r="BH132" s="19">
        <v>0.42046490735090569</v>
      </c>
      <c r="BI132" s="19">
        <v>0.69214210588485714</v>
      </c>
    </row>
    <row r="133" spans="1:61" x14ac:dyDescent="0.55000000000000004">
      <c r="A133" s="19" t="s">
        <v>873</v>
      </c>
      <c r="B133" s="19" t="s">
        <v>874</v>
      </c>
      <c r="C133" s="19" t="s">
        <v>322</v>
      </c>
      <c r="D133" s="19" t="s">
        <v>9</v>
      </c>
      <c r="E133" s="19">
        <v>1750</v>
      </c>
      <c r="F133" s="19">
        <v>66.483467905339253</v>
      </c>
      <c r="G133" s="19">
        <v>72.951682380244662</v>
      </c>
      <c r="H133" s="19">
        <v>127665.44416542815</v>
      </c>
      <c r="I133" s="19">
        <v>44.290472216204904</v>
      </c>
      <c r="J133" s="19">
        <v>8.8510985360650096</v>
      </c>
      <c r="K133" s="19">
        <v>19.756237433933165</v>
      </c>
      <c r="L133" s="19">
        <v>47.533937713581786</v>
      </c>
      <c r="M133" s="19">
        <v>36.052026595478459</v>
      </c>
      <c r="N133" s="19">
        <v>22.843535699737465</v>
      </c>
      <c r="O133" s="19">
        <v>9.3220941342824162</v>
      </c>
      <c r="P133" s="19">
        <v>36.838468557022402</v>
      </c>
      <c r="Q133" s="19">
        <v>744.6630881198173</v>
      </c>
      <c r="R133" s="19">
        <v>18.78496098227216</v>
      </c>
      <c r="S133" s="19">
        <v>724.00167165661617</v>
      </c>
      <c r="T133" s="19">
        <v>840.28560467164061</v>
      </c>
      <c r="U133" s="19">
        <v>30.327742554382947</v>
      </c>
      <c r="V133" s="19">
        <v>12.467244929043215</v>
      </c>
      <c r="W133" s="19">
        <v>38.32899526476394</v>
      </c>
      <c r="X133" s="19">
        <v>44.145501210442191</v>
      </c>
      <c r="Y133" s="19">
        <v>24.292701781392417</v>
      </c>
      <c r="Z133" s="19">
        <v>24.981333505965157</v>
      </c>
      <c r="AA133" s="19">
        <v>19.30674179113376</v>
      </c>
      <c r="AB133" s="19">
        <v>33.481335278434734</v>
      </c>
      <c r="AC133" s="19">
        <v>34.89198404526374</v>
      </c>
      <c r="AD133" s="19">
        <v>21.783231974196475</v>
      </c>
      <c r="AE133" s="19">
        <v>26.194341277366728</v>
      </c>
      <c r="AF133" s="19">
        <v>43.174105512604648</v>
      </c>
      <c r="AG133" s="19">
        <v>722.25305312013347</v>
      </c>
      <c r="AH133" s="19">
        <v>63.352968380718806</v>
      </c>
      <c r="AI133" s="19">
        <v>1453.7232850408791</v>
      </c>
      <c r="AJ133" s="19">
        <v>1594.6174278888591</v>
      </c>
      <c r="AK133" s="19">
        <v>707.66496400539063</v>
      </c>
      <c r="AL133" s="19">
        <v>3255.3093851632188</v>
      </c>
      <c r="AM133" s="19">
        <v>528.84479842985809</v>
      </c>
      <c r="AN133" s="19">
        <v>3265.5564846218385</v>
      </c>
      <c r="AO133" s="19"/>
      <c r="AP133" s="19">
        <v>0.6515811035833492</v>
      </c>
      <c r="AQ133" s="19">
        <v>0.50497078826791075</v>
      </c>
      <c r="AR133" s="19">
        <v>0.6051334221511635</v>
      </c>
      <c r="AS133" s="19">
        <v>0.45895220214279103</v>
      </c>
      <c r="AT133" s="19">
        <v>0.59181781836872627</v>
      </c>
      <c r="AU133" s="19">
        <v>0.93176526807182369</v>
      </c>
      <c r="AV133" s="19">
        <v>0.18620587651285622</v>
      </c>
      <c r="AW133" s="19">
        <v>0.41562383392210006</v>
      </c>
      <c r="AX133" s="19">
        <v>0.97865161087446928</v>
      </c>
      <c r="AY133" s="19">
        <v>0.6201000365793673</v>
      </c>
      <c r="AZ133" s="19">
        <v>0.25305324839583687</v>
      </c>
      <c r="BA133" s="19">
        <v>0.68699508948398147</v>
      </c>
      <c r="BB133" s="19">
        <v>0.28241258083381343</v>
      </c>
      <c r="BC133" s="19">
        <v>0.86824238515379204</v>
      </c>
      <c r="BD133" s="19">
        <v>0.72555952680415647</v>
      </c>
      <c r="BE133" s="19">
        <v>0.74612715706280652</v>
      </c>
      <c r="BF133" s="19">
        <v>0.57664192991637331</v>
      </c>
      <c r="BG133" s="19">
        <v>0.80816924012651636</v>
      </c>
      <c r="BH133" s="19">
        <v>0.50454390926146409</v>
      </c>
      <c r="BI133" s="19">
        <v>0.60671416272235934</v>
      </c>
    </row>
    <row r="134" spans="1:61" x14ac:dyDescent="0.55000000000000004">
      <c r="A134" s="19" t="s">
        <v>875</v>
      </c>
      <c r="B134" s="19" t="s">
        <v>876</v>
      </c>
      <c r="C134" s="19" t="s">
        <v>322</v>
      </c>
      <c r="D134" s="19" t="s">
        <v>9</v>
      </c>
      <c r="E134" s="19">
        <v>2361</v>
      </c>
      <c r="F134" s="19">
        <v>67.414219872391996</v>
      </c>
      <c r="G134" s="19">
        <v>30.145817779583911</v>
      </c>
      <c r="H134" s="19">
        <v>71174.275777597621</v>
      </c>
      <c r="I134" s="19">
        <v>39.619602796597064</v>
      </c>
      <c r="J134" s="19">
        <v>13.990534625079979</v>
      </c>
      <c r="K134" s="19">
        <v>17.740634837532451</v>
      </c>
      <c r="L134" s="19">
        <v>42.1328782745531</v>
      </c>
      <c r="M134" s="19">
        <v>33.750133352632645</v>
      </c>
      <c r="N134" s="19">
        <v>10.173385418471973</v>
      </c>
      <c r="O134" s="19">
        <v>7.5063902943331531</v>
      </c>
      <c r="P134" s="19">
        <v>35.344309114763057</v>
      </c>
      <c r="Q134" s="19">
        <v>472.23170041735</v>
      </c>
      <c r="R134" s="19">
        <v>24.659362586095089</v>
      </c>
      <c r="S134" s="19">
        <v>757.47242068746073</v>
      </c>
      <c r="T134" s="19">
        <v>759.04083427671014</v>
      </c>
      <c r="U134" s="19">
        <v>48.90060577570992</v>
      </c>
      <c r="V134" s="19">
        <v>10.945045920383226</v>
      </c>
      <c r="W134" s="19">
        <v>48.118149845452784</v>
      </c>
      <c r="X134" s="19">
        <v>52.496927249841526</v>
      </c>
      <c r="Y134" s="19">
        <v>22.227314099746568</v>
      </c>
      <c r="Z134" s="19">
        <v>26.05282931567217</v>
      </c>
      <c r="AA134" s="19">
        <v>11.923961436614228</v>
      </c>
      <c r="AB134" s="19">
        <v>35.046803969036944</v>
      </c>
      <c r="AC134" s="19">
        <v>27.295900973798894</v>
      </c>
      <c r="AD134" s="19">
        <v>13.941576058343822</v>
      </c>
      <c r="AE134" s="19">
        <v>27.916145640692875</v>
      </c>
      <c r="AF134" s="19">
        <v>38.925433902399519</v>
      </c>
      <c r="AG134" s="19">
        <v>671.46753851637652</v>
      </c>
      <c r="AH134" s="19">
        <v>138.35783255099827</v>
      </c>
      <c r="AI134" s="19">
        <v>1691.8246789658381</v>
      </c>
      <c r="AJ134" s="19">
        <v>1775.6488276019259</v>
      </c>
      <c r="AK134" s="19">
        <v>1272.6145351028817</v>
      </c>
      <c r="AL134" s="19">
        <v>1933.2876304116639</v>
      </c>
      <c r="AM134" s="19">
        <v>1096.8372372540825</v>
      </c>
      <c r="AN134" s="19">
        <v>1936.389344792542</v>
      </c>
      <c r="AO134" s="19"/>
      <c r="AP134" s="19">
        <v>1.3976359368524864</v>
      </c>
      <c r="AQ134" s="19">
        <v>1.1724448602850575</v>
      </c>
      <c r="AR134" s="19">
        <v>1.7414331776859204</v>
      </c>
      <c r="AS134" s="19">
        <v>1.1625759906494293</v>
      </c>
      <c r="AT134" s="19">
        <v>1.2912382801159752</v>
      </c>
      <c r="AU134" s="19">
        <v>0.9403488301563776</v>
      </c>
      <c r="AV134" s="19">
        <v>0.33205741449498388</v>
      </c>
      <c r="AW134" s="19">
        <v>0.42106391882197192</v>
      </c>
      <c r="AX134" s="19">
        <v>0.95489582900166137</v>
      </c>
      <c r="AY134" s="19">
        <v>0.28783659019727803</v>
      </c>
      <c r="AZ134" s="19">
        <v>0.21237903589966592</v>
      </c>
      <c r="BA134" s="19">
        <v>0.93149462906626668</v>
      </c>
      <c r="BB134" s="19">
        <v>0.20848926772978443</v>
      </c>
      <c r="BC134" s="19">
        <v>0.91658983422878415</v>
      </c>
      <c r="BD134" s="19">
        <v>0.63421800513918181</v>
      </c>
      <c r="BE134" s="19">
        <v>0.74337247238547788</v>
      </c>
      <c r="BF134" s="19">
        <v>0.34022963826170216</v>
      </c>
      <c r="BG134" s="19">
        <v>0.70123562507330883</v>
      </c>
      <c r="BH134" s="19">
        <v>0.35816109573243338</v>
      </c>
      <c r="BI134" s="19">
        <v>0.71716979984575102</v>
      </c>
    </row>
    <row r="135" spans="1:61" x14ac:dyDescent="0.55000000000000004">
      <c r="A135" s="19" t="s">
        <v>877</v>
      </c>
      <c r="B135" s="19" t="s">
        <v>878</v>
      </c>
      <c r="C135" s="19" t="s">
        <v>322</v>
      </c>
      <c r="D135" s="19" t="s">
        <v>9</v>
      </c>
      <c r="E135" s="19">
        <v>1848</v>
      </c>
      <c r="F135" s="19">
        <v>65.033507565844985</v>
      </c>
      <c r="G135" s="19">
        <v>41.050601592276905</v>
      </c>
      <c r="H135" s="19">
        <v>75861.511742527728</v>
      </c>
      <c r="I135" s="19">
        <v>21.208042274379601</v>
      </c>
      <c r="J135" s="19">
        <v>15.332519113986557</v>
      </c>
      <c r="K135" s="19">
        <v>34.872982894991878</v>
      </c>
      <c r="L135" s="19">
        <v>42.127531515059722</v>
      </c>
      <c r="M135" s="19">
        <v>34.171978880264014</v>
      </c>
      <c r="N135" s="19">
        <v>14.904138036155729</v>
      </c>
      <c r="O135" s="19">
        <v>15.102724153576141</v>
      </c>
      <c r="P135" s="19">
        <v>39.860205172732201</v>
      </c>
      <c r="Q135" s="19">
        <v>671.99483565112575</v>
      </c>
      <c r="R135" s="19">
        <v>38.53309504348109</v>
      </c>
      <c r="S135" s="19">
        <v>1295.3393190935665</v>
      </c>
      <c r="T135" s="19">
        <v>1308.5774422756842</v>
      </c>
      <c r="U135" s="19">
        <v>44.145574708733641</v>
      </c>
      <c r="V135" s="19">
        <v>8.2223491245134088</v>
      </c>
      <c r="W135" s="19">
        <v>44.856859412917856</v>
      </c>
      <c r="X135" s="19">
        <v>48.17966741047352</v>
      </c>
      <c r="Y135" s="19">
        <v>28.008751991050289</v>
      </c>
      <c r="Z135" s="19">
        <v>21.701596934218504</v>
      </c>
      <c r="AA135" s="19">
        <v>13.31306709802047</v>
      </c>
      <c r="AB135" s="19">
        <v>34.509890804479603</v>
      </c>
      <c r="AC135" s="19">
        <v>42.741840090819124</v>
      </c>
      <c r="AD135" s="19">
        <v>21.79807124178059</v>
      </c>
      <c r="AE135" s="19">
        <v>32.779095579598007</v>
      </c>
      <c r="AF135" s="19">
        <v>53.217911674928594</v>
      </c>
      <c r="AG135" s="19">
        <v>670.58969122612348</v>
      </c>
      <c r="AH135" s="19">
        <v>160.86555058360287</v>
      </c>
      <c r="AI135" s="19">
        <v>1599.1035261520019</v>
      </c>
      <c r="AJ135" s="19">
        <v>1698.267294913715</v>
      </c>
      <c r="AK135" s="19">
        <v>1173.693639424891</v>
      </c>
      <c r="AL135" s="19">
        <v>2994.0440545591705</v>
      </c>
      <c r="AM135" s="19">
        <v>862.53970309032331</v>
      </c>
      <c r="AN135" s="19">
        <v>3005.2116769791928</v>
      </c>
      <c r="AO135" s="19"/>
      <c r="AP135" s="19">
        <v>1.0262342056147948</v>
      </c>
      <c r="AQ135" s="19">
        <v>0.97100173022144798</v>
      </c>
      <c r="AR135" s="19">
        <v>1.1736653189398776</v>
      </c>
      <c r="AS135" s="19">
        <v>0.84066711487541645</v>
      </c>
      <c r="AT135" s="19">
        <v>1.2963978507184848</v>
      </c>
      <c r="AU135" s="19">
        <v>0.50342475601254166</v>
      </c>
      <c r="AV135" s="19">
        <v>0.36395484289188645</v>
      </c>
      <c r="AW135" s="19">
        <v>0.8277955446434242</v>
      </c>
      <c r="AX135" s="19">
        <v>0.8572956092970786</v>
      </c>
      <c r="AY135" s="19">
        <v>0.37391021876504132</v>
      </c>
      <c r="AZ135" s="19">
        <v>0.37889228337208108</v>
      </c>
      <c r="BA135" s="19">
        <v>0.91626981009705077</v>
      </c>
      <c r="BB135" s="19">
        <v>0.17066014703800128</v>
      </c>
      <c r="BC135" s="19">
        <v>0.93103298183346661</v>
      </c>
      <c r="BD135" s="19">
        <v>0.81161520184858349</v>
      </c>
      <c r="BE135" s="19">
        <v>0.62885150976489035</v>
      </c>
      <c r="BF135" s="19">
        <v>0.38577540489616241</v>
      </c>
      <c r="BG135" s="19">
        <v>0.80314763856010463</v>
      </c>
      <c r="BH135" s="19">
        <v>0.40960027471445942</v>
      </c>
      <c r="BI135" s="19">
        <v>0.61594103466184136</v>
      </c>
    </row>
    <row r="136" spans="1:61" x14ac:dyDescent="0.55000000000000004">
      <c r="A136" s="19" t="s">
        <v>882</v>
      </c>
      <c r="B136" s="19" t="s">
        <v>883</v>
      </c>
      <c r="C136" s="19" t="s">
        <v>322</v>
      </c>
      <c r="D136" s="19" t="s">
        <v>9</v>
      </c>
      <c r="E136" s="19">
        <v>2183</v>
      </c>
      <c r="F136" s="19">
        <v>68.352189820100023</v>
      </c>
      <c r="G136" s="19">
        <v>46.790630004346845</v>
      </c>
      <c r="H136" s="19">
        <v>102143.94529948916</v>
      </c>
      <c r="I136" s="19">
        <v>33.350537111181261</v>
      </c>
      <c r="J136" s="19">
        <v>10.483098450667898</v>
      </c>
      <c r="K136" s="19">
        <v>26.662264025444273</v>
      </c>
      <c r="L136" s="19">
        <v>42.506514739117648</v>
      </c>
      <c r="M136" s="19">
        <v>37.119608499040481</v>
      </c>
      <c r="N136" s="19">
        <v>8.0617345921767676</v>
      </c>
      <c r="O136" s="19">
        <v>8.9198218336239155</v>
      </c>
      <c r="P136" s="19">
        <v>38.050572505717412</v>
      </c>
      <c r="Q136" s="19">
        <v>450.2438657155958</v>
      </c>
      <c r="R136" s="19">
        <v>48.674675635667413</v>
      </c>
      <c r="S136" s="19">
        <v>792.04436109298604</v>
      </c>
      <c r="T136" s="19">
        <v>793.22582947414264</v>
      </c>
      <c r="U136" s="19">
        <v>42.997197894600752</v>
      </c>
      <c r="V136" s="19">
        <v>24.028353748365038</v>
      </c>
      <c r="W136" s="19">
        <v>46.865920344278464</v>
      </c>
      <c r="X136" s="19">
        <v>62.357379065423224</v>
      </c>
      <c r="Y136" s="19">
        <v>25.322624887182364</v>
      </c>
      <c r="Z136" s="19">
        <v>36.768487961789972</v>
      </c>
      <c r="AA136" s="19">
        <v>26.637453500757847</v>
      </c>
      <c r="AB136" s="19">
        <v>43.725433721815463</v>
      </c>
      <c r="AC136" s="19">
        <v>30.246152414958118</v>
      </c>
      <c r="AD136" s="19">
        <v>24.69203547401851</v>
      </c>
      <c r="AE136" s="19">
        <v>40.677234610069689</v>
      </c>
      <c r="AF136" s="19">
        <v>49.020199753366597</v>
      </c>
      <c r="AG136" s="19">
        <v>1239.4870156896727</v>
      </c>
      <c r="AH136" s="19">
        <v>37.237520724759577</v>
      </c>
      <c r="AI136" s="19">
        <v>2114.3490763842465</v>
      </c>
      <c r="AJ136" s="19">
        <v>2351.8834262962</v>
      </c>
      <c r="AK136" s="19">
        <v>2627.7513097897527</v>
      </c>
      <c r="AL136" s="19">
        <v>3214.9283532411</v>
      </c>
      <c r="AM136" s="19">
        <v>1357.4761676399144</v>
      </c>
      <c r="AN136" s="19">
        <v>3414.2762971682178</v>
      </c>
      <c r="AO136" s="19"/>
      <c r="AP136" s="19">
        <v>0.90844074412267584</v>
      </c>
      <c r="AQ136" s="19">
        <v>0.81320923659678268</v>
      </c>
      <c r="AR136" s="19">
        <v>1.3326894521324084</v>
      </c>
      <c r="AS136" s="19">
        <v>0.93449123719328797</v>
      </c>
      <c r="AT136" s="19">
        <v>1.0476499194136224</v>
      </c>
      <c r="AU136" s="19">
        <v>0.78459825078271173</v>
      </c>
      <c r="AV136" s="19">
        <v>0.24662333562296446</v>
      </c>
      <c r="AW136" s="19">
        <v>0.62725123875911848</v>
      </c>
      <c r="AX136" s="19">
        <v>0.97553350855530374</v>
      </c>
      <c r="AY136" s="19">
        <v>0.21186894339015333</v>
      </c>
      <c r="AZ136" s="19">
        <v>0.23442017415857905</v>
      </c>
      <c r="BA136" s="19">
        <v>0.68952862578604479</v>
      </c>
      <c r="BB136" s="19">
        <v>0.38533296473469986</v>
      </c>
      <c r="BC136" s="19">
        <v>0.7515697588108754</v>
      </c>
      <c r="BD136" s="19">
        <v>0.5791280436069961</v>
      </c>
      <c r="BE136" s="19">
        <v>0.84089475694429683</v>
      </c>
      <c r="BF136" s="19">
        <v>0.60919815387601073</v>
      </c>
      <c r="BG136" s="19">
        <v>0.61701405883971083</v>
      </c>
      <c r="BH136" s="19">
        <v>0.50371144137010004</v>
      </c>
      <c r="BI136" s="19">
        <v>0.82980556616920087</v>
      </c>
    </row>
    <row r="137" spans="1:61" x14ac:dyDescent="0.55000000000000004">
      <c r="A137" s="19" t="s">
        <v>884</v>
      </c>
      <c r="B137" s="19" t="s">
        <v>885</v>
      </c>
      <c r="C137" s="19" t="s">
        <v>322</v>
      </c>
      <c r="D137" s="19" t="s">
        <v>9</v>
      </c>
      <c r="E137" s="19">
        <v>2384</v>
      </c>
      <c r="F137" s="19">
        <v>68.674016582999911</v>
      </c>
      <c r="G137" s="19">
        <v>36.519531369619976</v>
      </c>
      <c r="H137" s="19">
        <v>87062.562785174028</v>
      </c>
      <c r="I137" s="19">
        <v>33.781773024875648</v>
      </c>
      <c r="J137" s="19">
        <v>23.071344376881694</v>
      </c>
      <c r="K137" s="19">
        <v>29.610129494757672</v>
      </c>
      <c r="L137" s="19">
        <v>48.998041088499996</v>
      </c>
      <c r="M137" s="19">
        <v>35.688492243212039</v>
      </c>
      <c r="N137" s="19">
        <v>16.124981643960453</v>
      </c>
      <c r="O137" s="19">
        <v>18.855142184861926</v>
      </c>
      <c r="P137" s="19">
        <v>42.733750159690736</v>
      </c>
      <c r="Q137" s="19">
        <v>671.02447502021403</v>
      </c>
      <c r="R137" s="19">
        <v>185.13109389094512</v>
      </c>
      <c r="S137" s="19">
        <v>1081.8973685398139</v>
      </c>
      <c r="T137" s="19">
        <v>1190.1979231341049</v>
      </c>
      <c r="U137" s="19">
        <v>25.343054027509371</v>
      </c>
      <c r="V137" s="19">
        <v>12.851209801945412</v>
      </c>
      <c r="W137" s="19">
        <v>56.516522836659647</v>
      </c>
      <c r="X137" s="19">
        <v>62.249470053783718</v>
      </c>
      <c r="Y137" s="19">
        <v>26.753942836993485</v>
      </c>
      <c r="Z137" s="19">
        <v>27.931181262768941</v>
      </c>
      <c r="AA137" s="19">
        <v>10.501903376678497</v>
      </c>
      <c r="AB137" s="19">
        <v>38.676876607491359</v>
      </c>
      <c r="AC137" s="19">
        <v>34.444385905141523</v>
      </c>
      <c r="AD137" s="19">
        <v>23.139120427076541</v>
      </c>
      <c r="AE137" s="19">
        <v>32.969158255096119</v>
      </c>
      <c r="AF137" s="19">
        <v>51.525440488432011</v>
      </c>
      <c r="AG137" s="19">
        <v>851.9239423788207</v>
      </c>
      <c r="AH137" s="19">
        <v>35.724417381589568</v>
      </c>
      <c r="AI137" s="19">
        <v>1997.5891461075225</v>
      </c>
      <c r="AJ137" s="19">
        <v>2144.0009036910892</v>
      </c>
      <c r="AK137" s="19">
        <v>1522.6276305728973</v>
      </c>
      <c r="AL137" s="19">
        <v>2037.4084152859105</v>
      </c>
      <c r="AM137" s="19">
        <v>1790.8594523184538</v>
      </c>
      <c r="AN137" s="19">
        <v>2333.8284727027153</v>
      </c>
      <c r="AO137" s="19"/>
      <c r="AP137" s="19">
        <v>1.3416941360113042</v>
      </c>
      <c r="AQ137" s="19">
        <v>1.1701615151403688</v>
      </c>
      <c r="AR137" s="19">
        <v>1.7045528165119905</v>
      </c>
      <c r="AS137" s="19">
        <v>1.0590737382699835</v>
      </c>
      <c r="AT137" s="19">
        <v>1.4109009222198075</v>
      </c>
      <c r="AU137" s="19">
        <v>0.68945150202758498</v>
      </c>
      <c r="AV137" s="19">
        <v>0.47086258683710147</v>
      </c>
      <c r="AW137" s="19">
        <v>0.60431251611214454</v>
      </c>
      <c r="AX137" s="19">
        <v>0.83513597823379793</v>
      </c>
      <c r="AY137" s="19">
        <v>0.37733598347215941</v>
      </c>
      <c r="AZ137" s="19">
        <v>0.44122367249311356</v>
      </c>
      <c r="BA137" s="19">
        <v>0.40712079967287917</v>
      </c>
      <c r="BB137" s="19">
        <v>0.20644689490275067</v>
      </c>
      <c r="BC137" s="19">
        <v>0.90790367834182706</v>
      </c>
      <c r="BD137" s="19">
        <v>0.69172966339819408</v>
      </c>
      <c r="BE137" s="19">
        <v>0.72216744765162666</v>
      </c>
      <c r="BF137" s="19">
        <v>0.27152925204524853</v>
      </c>
      <c r="BG137" s="19">
        <v>0.6684927984822302</v>
      </c>
      <c r="BH137" s="19">
        <v>0.44908146747957467</v>
      </c>
      <c r="BI137" s="19">
        <v>0.63986174485006164</v>
      </c>
    </row>
    <row r="138" spans="1:61" x14ac:dyDescent="0.55000000000000004">
      <c r="A138" s="19" t="s">
        <v>888</v>
      </c>
      <c r="B138" s="19" t="s">
        <v>889</v>
      </c>
      <c r="C138" s="19" t="s">
        <v>322</v>
      </c>
      <c r="D138" s="19" t="s">
        <v>9</v>
      </c>
      <c r="E138" s="19">
        <v>2876</v>
      </c>
      <c r="F138" s="19">
        <v>68.495249435866597</v>
      </c>
      <c r="G138" s="19">
        <v>32.827087700681822</v>
      </c>
      <c r="H138" s="19">
        <v>94410.704227160924</v>
      </c>
      <c r="I138" s="19">
        <v>56.791526822893168</v>
      </c>
      <c r="J138" s="19">
        <v>29.076360190013428</v>
      </c>
      <c r="K138" s="19">
        <v>34.760681432441174</v>
      </c>
      <c r="L138" s="19">
        <v>72.223959381036536</v>
      </c>
      <c r="M138" s="19">
        <v>29.463902999791404</v>
      </c>
      <c r="N138" s="19">
        <v>8.5112438812095093</v>
      </c>
      <c r="O138" s="19">
        <v>23.96064258125547</v>
      </c>
      <c r="P138" s="19">
        <v>31.439627721350682</v>
      </c>
      <c r="Q138" s="19">
        <v>972.18165453978543</v>
      </c>
      <c r="R138" s="19">
        <v>425.67195258969491</v>
      </c>
      <c r="S138" s="19">
        <v>694.30513856443167</v>
      </c>
      <c r="T138" s="19">
        <v>977.15422551722293</v>
      </c>
      <c r="U138" s="19">
        <v>39.72369934530839</v>
      </c>
      <c r="V138" s="19">
        <v>5.9995179931225771</v>
      </c>
      <c r="W138" s="19">
        <v>54.649131632070393</v>
      </c>
      <c r="X138" s="19">
        <v>61.343734234313111</v>
      </c>
      <c r="Y138" s="19">
        <v>39.215827444886088</v>
      </c>
      <c r="Z138" s="19">
        <v>15.674398320279797</v>
      </c>
      <c r="AA138" s="19">
        <v>8.9429132521978438</v>
      </c>
      <c r="AB138" s="19">
        <v>41.117270759490943</v>
      </c>
      <c r="AC138" s="19">
        <v>36.359390406584644</v>
      </c>
      <c r="AD138" s="19">
        <v>10.996097483814317</v>
      </c>
      <c r="AE138" s="19">
        <v>17.427253000467864</v>
      </c>
      <c r="AF138" s="19">
        <v>39.948160802732424</v>
      </c>
      <c r="AG138" s="19">
        <v>998.61769853458577</v>
      </c>
      <c r="AH138" s="19">
        <v>58.174963045722862</v>
      </c>
      <c r="AI138" s="19">
        <v>2028.3119951003243</v>
      </c>
      <c r="AJ138" s="19">
        <v>2226.2966427927163</v>
      </c>
      <c r="AK138" s="19">
        <v>940.09178376731995</v>
      </c>
      <c r="AL138" s="19">
        <v>908.42469490009807</v>
      </c>
      <c r="AM138" s="19">
        <v>850.27548709724749</v>
      </c>
      <c r="AN138" s="19">
        <v>1096.5807558735366</v>
      </c>
      <c r="AO138" s="19"/>
      <c r="AP138" s="19">
        <v>2.2001330133082879</v>
      </c>
      <c r="AQ138" s="19">
        <v>0.95773429577481761</v>
      </c>
      <c r="AR138" s="19">
        <v>1.868692550300129</v>
      </c>
      <c r="AS138" s="19">
        <v>1.2525409239588723</v>
      </c>
      <c r="AT138" s="19">
        <v>1.2169267394957701</v>
      </c>
      <c r="AU138" s="19">
        <v>0.78632530409021884</v>
      </c>
      <c r="AV138" s="19">
        <v>0.40258607308709599</v>
      </c>
      <c r="AW138" s="19">
        <v>0.48129016645365613</v>
      </c>
      <c r="AX138" s="19">
        <v>0.93715813879635856</v>
      </c>
      <c r="AY138" s="19">
        <v>0.27071706944638901</v>
      </c>
      <c r="AZ138" s="19">
        <v>0.76211597648733531</v>
      </c>
      <c r="BA138" s="19">
        <v>0.64755919803605011</v>
      </c>
      <c r="BB138" s="19">
        <v>9.7801642955193599E-2</v>
      </c>
      <c r="BC138" s="19">
        <v>0.8908673773156438</v>
      </c>
      <c r="BD138" s="19">
        <v>0.95375560489588307</v>
      </c>
      <c r="BE138" s="19">
        <v>0.38121203160503392</v>
      </c>
      <c r="BF138" s="19">
        <v>0.21749773482067958</v>
      </c>
      <c r="BG138" s="19">
        <v>0.91016431485120308</v>
      </c>
      <c r="BH138" s="19">
        <v>0.27525916745238976</v>
      </c>
      <c r="BI138" s="19">
        <v>0.4362466919697553</v>
      </c>
    </row>
    <row r="139" spans="1:61" x14ac:dyDescent="0.55000000000000004">
      <c r="A139" s="19" t="s">
        <v>890</v>
      </c>
      <c r="B139" s="19" t="s">
        <v>891</v>
      </c>
      <c r="C139" s="19" t="s">
        <v>322</v>
      </c>
      <c r="D139" s="19" t="s">
        <v>9</v>
      </c>
      <c r="E139" s="19">
        <v>2733</v>
      </c>
      <c r="F139" s="19">
        <v>68.865219262479698</v>
      </c>
      <c r="G139" s="19">
        <v>48.776651331537401</v>
      </c>
      <c r="H139" s="19">
        <v>133306.5880890917</v>
      </c>
      <c r="I139" s="19">
        <v>45.427333516108128</v>
      </c>
      <c r="J139" s="19">
        <v>6.7866454842504291</v>
      </c>
      <c r="K139" s="19">
        <v>26.976802749523223</v>
      </c>
      <c r="L139" s="19">
        <v>53.012991643099781</v>
      </c>
      <c r="M139" s="19">
        <v>30.788299427207832</v>
      </c>
      <c r="N139" s="19">
        <v>8.034592308532039</v>
      </c>
      <c r="O139" s="19">
        <v>19.719896669167941</v>
      </c>
      <c r="P139" s="19">
        <v>36.66250479176027</v>
      </c>
      <c r="Q139" s="19">
        <v>687.2438802250615</v>
      </c>
      <c r="R139" s="19">
        <v>344.39829681982104</v>
      </c>
      <c r="S139" s="19">
        <v>1158.8910838202441</v>
      </c>
      <c r="T139" s="19">
        <v>1267.9796008505866</v>
      </c>
      <c r="U139" s="19">
        <v>30.28984243857364</v>
      </c>
      <c r="V139" s="19">
        <v>11.029956691056482</v>
      </c>
      <c r="W139" s="19">
        <v>45.778759223126677</v>
      </c>
      <c r="X139" s="19">
        <v>55.728924252686895</v>
      </c>
      <c r="Y139" s="19">
        <v>35.100991229191251</v>
      </c>
      <c r="Z139" s="19">
        <v>27.466666720276493</v>
      </c>
      <c r="AA139" s="19">
        <v>10.179163694551901</v>
      </c>
      <c r="AB139" s="19">
        <v>44.805196567978101</v>
      </c>
      <c r="AC139" s="19">
        <v>28.635876676890152</v>
      </c>
      <c r="AD139" s="19">
        <v>15.658474484494102</v>
      </c>
      <c r="AE139" s="19">
        <v>24.953380761120037</v>
      </c>
      <c r="AF139" s="19">
        <v>37.5866005914299</v>
      </c>
      <c r="AG139" s="19">
        <v>889.7510243493881</v>
      </c>
      <c r="AH139" s="19">
        <v>65.497328819655436</v>
      </c>
      <c r="AI139" s="19">
        <v>1875.5485350525746</v>
      </c>
      <c r="AJ139" s="19">
        <v>2056.3331616702103</v>
      </c>
      <c r="AK139" s="19">
        <v>753.00331114156336</v>
      </c>
      <c r="AL139" s="19">
        <v>1431.3033264901219</v>
      </c>
      <c r="AM139" s="19">
        <v>625.33840418939394</v>
      </c>
      <c r="AN139" s="19">
        <v>1442.3568811406699</v>
      </c>
      <c r="AO139" s="19"/>
      <c r="AP139" s="19">
        <v>1.0868518070821991</v>
      </c>
      <c r="AQ139" s="19">
        <v>0.75164046302734777</v>
      </c>
      <c r="AR139" s="19">
        <v>1.1425328047613301</v>
      </c>
      <c r="AS139" s="19">
        <v>0.91857877375457531</v>
      </c>
      <c r="AT139" s="19">
        <v>0.77058591693701661</v>
      </c>
      <c r="AU139" s="19">
        <v>0.85690945008233643</v>
      </c>
      <c r="AV139" s="19">
        <v>0.1280185342102606</v>
      </c>
      <c r="AW139" s="19">
        <v>0.50887154098262533</v>
      </c>
      <c r="AX139" s="19">
        <v>0.83977621283877368</v>
      </c>
      <c r="AY139" s="19">
        <v>0.2191501195613284</v>
      </c>
      <c r="AZ139" s="19">
        <v>0.53787641573250877</v>
      </c>
      <c r="BA139" s="19">
        <v>0.54352103229613757</v>
      </c>
      <c r="BB139" s="19">
        <v>0.19792157912548775</v>
      </c>
      <c r="BC139" s="19">
        <v>0.82145420599823471</v>
      </c>
      <c r="BD139" s="19">
        <v>0.78341339661207143</v>
      </c>
      <c r="BE139" s="19">
        <v>0.61302413166750147</v>
      </c>
      <c r="BF139" s="19">
        <v>0.22718712279519079</v>
      </c>
      <c r="BG139" s="19">
        <v>0.761863968177516</v>
      </c>
      <c r="BH139" s="19">
        <v>0.41659725109762608</v>
      </c>
      <c r="BI139" s="19">
        <v>0.66389033241834705</v>
      </c>
    </row>
    <row r="140" spans="1:61" x14ac:dyDescent="0.55000000000000004">
      <c r="A140" s="19" t="s">
        <v>892</v>
      </c>
      <c r="B140" s="19" t="s">
        <v>893</v>
      </c>
      <c r="C140" s="19" t="s">
        <v>322</v>
      </c>
      <c r="D140" s="19" t="s">
        <v>9</v>
      </c>
      <c r="E140" s="19">
        <v>2822</v>
      </c>
      <c r="F140" s="19">
        <v>72.048628985416954</v>
      </c>
      <c r="G140" s="19">
        <v>99.791237818914666</v>
      </c>
      <c r="H140" s="19">
        <v>281610.87312497717</v>
      </c>
      <c r="I140" s="19">
        <v>39.847439545746909</v>
      </c>
      <c r="J140" s="19">
        <v>15.461317045629109</v>
      </c>
      <c r="K140" s="19">
        <v>17.543284070211779</v>
      </c>
      <c r="L140" s="19">
        <v>42.396503790956515</v>
      </c>
      <c r="M140" s="19">
        <v>30.445282043733105</v>
      </c>
      <c r="N140" s="19">
        <v>6.3080019165375774</v>
      </c>
      <c r="O140" s="19">
        <v>8.0555671116683314</v>
      </c>
      <c r="P140" s="19">
        <v>30.989503562155775</v>
      </c>
      <c r="Q140" s="19">
        <v>505.35916094896754</v>
      </c>
      <c r="R140" s="19">
        <v>84.361446817547517</v>
      </c>
      <c r="S140" s="19">
        <v>1038.1299049958768</v>
      </c>
      <c r="T140" s="19">
        <v>1046.8439718129023</v>
      </c>
      <c r="U140" s="19">
        <v>43.206685397881522</v>
      </c>
      <c r="V140" s="19">
        <v>24.103078745549283</v>
      </c>
      <c r="W140" s="19">
        <v>62.741641107966032</v>
      </c>
      <c r="X140" s="19">
        <v>71.734848622223865</v>
      </c>
      <c r="Y140" s="19">
        <v>40.827164174117527</v>
      </c>
      <c r="Z140" s="19">
        <v>25.541400383474876</v>
      </c>
      <c r="AA140" s="19">
        <v>20.466480319038563</v>
      </c>
      <c r="AB140" s="19">
        <v>45.241532660674025</v>
      </c>
      <c r="AC140" s="19">
        <v>38.437956658203582</v>
      </c>
      <c r="AD140" s="19">
        <v>20.630447006321653</v>
      </c>
      <c r="AE140" s="19">
        <v>19.899189743132823</v>
      </c>
      <c r="AF140" s="19">
        <v>42.285429227293378</v>
      </c>
      <c r="AG140" s="19">
        <v>1150.4324687500118</v>
      </c>
      <c r="AH140" s="19">
        <v>383.78770091526837</v>
      </c>
      <c r="AI140" s="19">
        <v>2925.8431058165334</v>
      </c>
      <c r="AJ140" s="19">
        <v>3123.2366633621327</v>
      </c>
      <c r="AK140" s="19">
        <v>1289.6681710757355</v>
      </c>
      <c r="AL140" s="19">
        <v>1419.5808884218438</v>
      </c>
      <c r="AM140" s="19">
        <v>921.06836332143871</v>
      </c>
      <c r="AN140" s="19">
        <v>1471.586702078027</v>
      </c>
      <c r="AO140" s="19"/>
      <c r="AP140" s="19">
        <v>0.42485196814464787</v>
      </c>
      <c r="AQ140" s="19">
        <v>0.31054333265602557</v>
      </c>
      <c r="AR140" s="19">
        <v>0.71884917143123239</v>
      </c>
      <c r="AS140" s="19">
        <v>0.45336177453546767</v>
      </c>
      <c r="AT140" s="19">
        <v>0.42373889884025967</v>
      </c>
      <c r="AU140" s="19">
        <v>0.93987560253132618</v>
      </c>
      <c r="AV140" s="19">
        <v>0.36468377491370224</v>
      </c>
      <c r="AW140" s="19">
        <v>0.4137908200334644</v>
      </c>
      <c r="AX140" s="19">
        <v>0.98243852092270134</v>
      </c>
      <c r="AY140" s="19">
        <v>0.20355285472339341</v>
      </c>
      <c r="AZ140" s="19">
        <v>0.25994501962612104</v>
      </c>
      <c r="BA140" s="19">
        <v>0.6023109580312942</v>
      </c>
      <c r="BB140" s="19">
        <v>0.33600236438056708</v>
      </c>
      <c r="BC140" s="19">
        <v>0.87463265502073306</v>
      </c>
      <c r="BD140" s="19">
        <v>0.90242663705348636</v>
      </c>
      <c r="BE140" s="19">
        <v>0.56455647900002759</v>
      </c>
      <c r="BF140" s="19">
        <v>0.45238255902035229</v>
      </c>
      <c r="BG140" s="19">
        <v>0.90901185965480469</v>
      </c>
      <c r="BH140" s="19">
        <v>0.48788548167333279</v>
      </c>
      <c r="BI140" s="19">
        <v>0.47059211900558817</v>
      </c>
    </row>
    <row r="141" spans="1:61" x14ac:dyDescent="0.55000000000000004">
      <c r="A141" s="19" t="s">
        <v>900</v>
      </c>
      <c r="B141" s="19" t="s">
        <v>901</v>
      </c>
      <c r="C141" s="19" t="s">
        <v>322</v>
      </c>
      <c r="D141" s="19" t="s">
        <v>9</v>
      </c>
      <c r="E141" s="19">
        <v>2354</v>
      </c>
      <c r="F141" s="19">
        <v>68.671368044787783</v>
      </c>
      <c r="G141" s="19">
        <v>32.850071047337764</v>
      </c>
      <c r="H141" s="19">
        <v>77329.067245433092</v>
      </c>
      <c r="I141" s="19">
        <v>35.372478996990168</v>
      </c>
      <c r="J141" s="19">
        <v>13.66976206540404</v>
      </c>
      <c r="K141" s="19">
        <v>18.279549719461095</v>
      </c>
      <c r="L141" s="19">
        <v>37.419414821649632</v>
      </c>
      <c r="M141" s="19">
        <v>32.547837206680896</v>
      </c>
      <c r="N141" s="19">
        <v>9.1500450649613008</v>
      </c>
      <c r="O141" s="19">
        <v>8.5820411398515084</v>
      </c>
      <c r="P141" s="19">
        <v>33.738252277008144</v>
      </c>
      <c r="Q141" s="19">
        <v>432.29333709219463</v>
      </c>
      <c r="R141" s="19">
        <v>62.785233057515065</v>
      </c>
      <c r="S141" s="19">
        <v>667.03477210634242</v>
      </c>
      <c r="T141" s="19">
        <v>680.01780101831037</v>
      </c>
      <c r="U141" s="19">
        <v>36.648188001733658</v>
      </c>
      <c r="V141" s="19">
        <v>20.079172280836946</v>
      </c>
      <c r="W141" s="19">
        <v>35.857991201813789</v>
      </c>
      <c r="X141" s="19">
        <v>39.691757805287963</v>
      </c>
      <c r="Y141" s="19">
        <v>21.901698640314102</v>
      </c>
      <c r="Z141" s="19">
        <v>22.078696469987179</v>
      </c>
      <c r="AA141" s="19">
        <v>19.102770873936059</v>
      </c>
      <c r="AB141" s="19">
        <v>31.535985249724867</v>
      </c>
      <c r="AC141" s="19">
        <v>28.936892537519046</v>
      </c>
      <c r="AD141" s="19">
        <v>13.78398669601019</v>
      </c>
      <c r="AE141" s="19">
        <v>26.028365973402963</v>
      </c>
      <c r="AF141" s="19">
        <v>40.369007837397739</v>
      </c>
      <c r="AG141" s="19">
        <v>590.80490222399703</v>
      </c>
      <c r="AH141" s="19">
        <v>336.76373995405561</v>
      </c>
      <c r="AI141" s="19">
        <v>1289.1287318728976</v>
      </c>
      <c r="AJ141" s="19">
        <v>1403.2734828510809</v>
      </c>
      <c r="AK141" s="19">
        <v>1353.0331161504478</v>
      </c>
      <c r="AL141" s="19">
        <v>3358.6790864235227</v>
      </c>
      <c r="AM141" s="19">
        <v>1251.883741580051</v>
      </c>
      <c r="AN141" s="19">
        <v>3390.6510606570578</v>
      </c>
      <c r="AO141" s="19"/>
      <c r="AP141" s="19">
        <v>1.1390969221262057</v>
      </c>
      <c r="AQ141" s="19">
        <v>1.0270374218792553</v>
      </c>
      <c r="AR141" s="19">
        <v>1.2082700749137243</v>
      </c>
      <c r="AS141" s="19">
        <v>0.95999747471720021</v>
      </c>
      <c r="AT141" s="19">
        <v>1.2288864696586197</v>
      </c>
      <c r="AU141" s="19">
        <v>0.94529749237352656</v>
      </c>
      <c r="AV141" s="19">
        <v>0.36531202132790086</v>
      </c>
      <c r="AW141" s="19">
        <v>0.48850442495121954</v>
      </c>
      <c r="AX141" s="19">
        <v>0.96471616073786703</v>
      </c>
      <c r="AY141" s="19">
        <v>0.27120684823371394</v>
      </c>
      <c r="AZ141" s="19">
        <v>0.25437124215530205</v>
      </c>
      <c r="BA141" s="19">
        <v>0.92331985349490309</v>
      </c>
      <c r="BB141" s="19">
        <v>0.50587762777696588</v>
      </c>
      <c r="BC141" s="19">
        <v>0.90341151877724557</v>
      </c>
      <c r="BD141" s="19">
        <v>0.69449863281202484</v>
      </c>
      <c r="BE141" s="19">
        <v>0.70011119979769154</v>
      </c>
      <c r="BF141" s="19">
        <v>0.60574517405010264</v>
      </c>
      <c r="BG141" s="19">
        <v>0.71680960438943431</v>
      </c>
      <c r="BH141" s="19">
        <v>0.34144972676887897</v>
      </c>
      <c r="BI141" s="19">
        <v>0.64476110183937574</v>
      </c>
    </row>
    <row r="142" spans="1:61" x14ac:dyDescent="0.55000000000000004">
      <c r="A142" s="19" t="s">
        <v>902</v>
      </c>
      <c r="B142" s="19" t="s">
        <v>903</v>
      </c>
      <c r="C142" s="19" t="s">
        <v>322</v>
      </c>
      <c r="D142" s="19" t="s">
        <v>9</v>
      </c>
      <c r="E142" s="19">
        <v>2229</v>
      </c>
      <c r="F142" s="19">
        <v>72.433501168923172</v>
      </c>
      <c r="G142" s="19">
        <v>38.032430151792113</v>
      </c>
      <c r="H142" s="19">
        <v>84774.286808344623</v>
      </c>
      <c r="I142" s="19">
        <v>38.907670713303098</v>
      </c>
      <c r="J142" s="19">
        <v>14.271077769068214</v>
      </c>
      <c r="K142" s="19">
        <v>30.267695592869046</v>
      </c>
      <c r="L142" s="19">
        <v>41.239452277611385</v>
      </c>
      <c r="M142" s="19">
        <v>36.225886188790966</v>
      </c>
      <c r="N142" s="19">
        <v>13.77699229936259</v>
      </c>
      <c r="O142" s="19">
        <v>17.833286399198236</v>
      </c>
      <c r="P142" s="19">
        <v>37.974119567396542</v>
      </c>
      <c r="Q142" s="19">
        <v>526.18822711036501</v>
      </c>
      <c r="R142" s="19">
        <v>327.99032133599974</v>
      </c>
      <c r="S142" s="19">
        <v>1601.0829990175969</v>
      </c>
      <c r="T142" s="19">
        <v>1674.8509622322485</v>
      </c>
      <c r="U142" s="19">
        <v>23.449748836258166</v>
      </c>
      <c r="V142" s="19">
        <v>9.3609392704602232</v>
      </c>
      <c r="W142" s="19">
        <v>50.549946870375287</v>
      </c>
      <c r="X142" s="19">
        <v>53.387839119563807</v>
      </c>
      <c r="Y142" s="19">
        <v>34.326239912106274</v>
      </c>
      <c r="Z142" s="19">
        <v>21.258006099641971</v>
      </c>
      <c r="AA142" s="19">
        <v>18.449598573974352</v>
      </c>
      <c r="AB142" s="19">
        <v>37.943012455941144</v>
      </c>
      <c r="AC142" s="19">
        <v>44.168033590807283</v>
      </c>
      <c r="AD142" s="19">
        <v>27.28504821343509</v>
      </c>
      <c r="AE142" s="19">
        <v>29.35958485244948</v>
      </c>
      <c r="AF142" s="19">
        <v>54.103073332123287</v>
      </c>
      <c r="AG142" s="19">
        <v>803.20102936831984</v>
      </c>
      <c r="AH142" s="19">
        <v>41.341079988066227</v>
      </c>
      <c r="AI142" s="19">
        <v>1803.8548756018158</v>
      </c>
      <c r="AJ142" s="19">
        <v>1882.337273602232</v>
      </c>
      <c r="AK142" s="19">
        <v>1952.6907437351711</v>
      </c>
      <c r="AL142" s="19">
        <v>1328.4208384243459</v>
      </c>
      <c r="AM142" s="19">
        <v>2637.3913390584753</v>
      </c>
      <c r="AN142" s="19">
        <v>3218.5356882236019</v>
      </c>
      <c r="AO142" s="19"/>
      <c r="AP142" s="19">
        <v>1.0843233554369167</v>
      </c>
      <c r="AQ142" s="19">
        <v>0.99846681939169157</v>
      </c>
      <c r="AR142" s="19">
        <v>1.403745143460104</v>
      </c>
      <c r="AS142" s="19">
        <v>0.99764890922052329</v>
      </c>
      <c r="AT142" s="19">
        <v>1.4225510469930862</v>
      </c>
      <c r="AU142" s="19">
        <v>0.94345750402766149</v>
      </c>
      <c r="AV142" s="19">
        <v>0.34605400850136614</v>
      </c>
      <c r="AW142" s="19">
        <v>0.73394999014817586</v>
      </c>
      <c r="AX142" s="19">
        <v>0.95396250397582472</v>
      </c>
      <c r="AY142" s="19">
        <v>0.36279951862771054</v>
      </c>
      <c r="AZ142" s="19">
        <v>0.46961684964275957</v>
      </c>
      <c r="BA142" s="19">
        <v>0.43923390088408876</v>
      </c>
      <c r="BB142" s="19">
        <v>0.17533841835209127</v>
      </c>
      <c r="BC142" s="19">
        <v>0.94684384504057251</v>
      </c>
      <c r="BD142" s="19">
        <v>0.90467882464433702</v>
      </c>
      <c r="BE142" s="19">
        <v>0.56026142163399517</v>
      </c>
      <c r="BF142" s="19">
        <v>0.48624496000146927</v>
      </c>
      <c r="BG142" s="19">
        <v>0.81636829241977371</v>
      </c>
      <c r="BH142" s="19">
        <v>0.50431604958816267</v>
      </c>
      <c r="BI142" s="19">
        <v>0.54266020475804377</v>
      </c>
    </row>
    <row r="143" spans="1:61" x14ac:dyDescent="0.55000000000000004">
      <c r="A143" s="19" t="s">
        <v>906</v>
      </c>
      <c r="B143" s="19" t="s">
        <v>907</v>
      </c>
      <c r="C143" s="19" t="s">
        <v>322</v>
      </c>
      <c r="D143" s="19" t="s">
        <v>9</v>
      </c>
      <c r="E143" s="19">
        <v>2131</v>
      </c>
      <c r="F143" s="19">
        <v>71.727955300142042</v>
      </c>
      <c r="G143" s="19">
        <v>37.426403669894036</v>
      </c>
      <c r="H143" s="19">
        <v>79755.666220544197</v>
      </c>
      <c r="I143" s="19">
        <v>43.441128557938022</v>
      </c>
      <c r="J143" s="19">
        <v>12.466453574091471</v>
      </c>
      <c r="K143" s="19">
        <v>17.075259382120993</v>
      </c>
      <c r="L143" s="19">
        <v>46.00825665374559</v>
      </c>
      <c r="M143" s="19">
        <v>40.254330145237098</v>
      </c>
      <c r="N143" s="19">
        <v>12.657279567305302</v>
      </c>
      <c r="O143" s="19">
        <v>10.60586910485431</v>
      </c>
      <c r="P143" s="19">
        <v>40.955720199482357</v>
      </c>
      <c r="Q143" s="19">
        <v>668.45062611377318</v>
      </c>
      <c r="R143" s="19">
        <v>230.81186886990685</v>
      </c>
      <c r="S143" s="19">
        <v>925.82844964396099</v>
      </c>
      <c r="T143" s="19">
        <v>1045.6623608927298</v>
      </c>
      <c r="U143" s="19">
        <v>42.386871685496878</v>
      </c>
      <c r="V143" s="19">
        <v>10.141189556387971</v>
      </c>
      <c r="W143" s="19">
        <v>76.800093714762028</v>
      </c>
      <c r="X143" s="19">
        <v>80.846268921579366</v>
      </c>
      <c r="Y143" s="19">
        <v>36.921077917284492</v>
      </c>
      <c r="Z143" s="19">
        <v>29.066505131520877</v>
      </c>
      <c r="AA143" s="19">
        <v>30.550096218705654</v>
      </c>
      <c r="AB143" s="19">
        <v>47.272675805969072</v>
      </c>
      <c r="AC143" s="19">
        <v>30.185696040205826</v>
      </c>
      <c r="AD143" s="19">
        <v>16.702536994503127</v>
      </c>
      <c r="AE143" s="19">
        <v>44.076722004498109</v>
      </c>
      <c r="AF143" s="19">
        <v>49.358864588318021</v>
      </c>
      <c r="AG143" s="19">
        <v>889.04665042483123</v>
      </c>
      <c r="AH143" s="19">
        <v>185.33026014736009</v>
      </c>
      <c r="AI143" s="19">
        <v>2755.2103435367526</v>
      </c>
      <c r="AJ143" s="19">
        <v>2876.6179337918384</v>
      </c>
      <c r="AK143" s="19">
        <v>1930.3957295628998</v>
      </c>
      <c r="AL143" s="19">
        <v>1713.6060362571286</v>
      </c>
      <c r="AM143" s="19">
        <v>4775.2347149581419</v>
      </c>
      <c r="AN143" s="19">
        <v>5150.1545683843024</v>
      </c>
      <c r="AO143" s="19"/>
      <c r="AP143" s="19">
        <v>1.2292994288081929</v>
      </c>
      <c r="AQ143" s="19">
        <v>1.0943001780432171</v>
      </c>
      <c r="AR143" s="19">
        <v>2.1601399278075029</v>
      </c>
      <c r="AS143" s="19">
        <v>1.2630835765819366</v>
      </c>
      <c r="AT143" s="19">
        <v>1.3188246731817972</v>
      </c>
      <c r="AU143" s="19">
        <v>0.9442028826450094</v>
      </c>
      <c r="AV143" s="19">
        <v>0.27096122480608187</v>
      </c>
      <c r="AW143" s="19">
        <v>0.37113467503513581</v>
      </c>
      <c r="AX143" s="19">
        <v>0.98287442997390817</v>
      </c>
      <c r="AY143" s="19">
        <v>0.30904790602278992</v>
      </c>
      <c r="AZ143" s="19">
        <v>0.25895940916669213</v>
      </c>
      <c r="BA143" s="19">
        <v>0.52428976934745142</v>
      </c>
      <c r="BB143" s="19">
        <v>0.12543794156072799</v>
      </c>
      <c r="BC143" s="19">
        <v>0.94995223328435707</v>
      </c>
      <c r="BD143" s="19">
        <v>0.78102365241238381</v>
      </c>
      <c r="BE143" s="19">
        <v>0.61486904720233082</v>
      </c>
      <c r="BF143" s="19">
        <v>0.64625273898390423</v>
      </c>
      <c r="BG143" s="19">
        <v>0.611555721388089</v>
      </c>
      <c r="BH143" s="19">
        <v>0.33838981374089772</v>
      </c>
      <c r="BI143" s="19">
        <v>0.89298492524339668</v>
      </c>
    </row>
    <row r="144" spans="1:61" x14ac:dyDescent="0.55000000000000004">
      <c r="A144" s="19" t="s">
        <v>912</v>
      </c>
      <c r="B144" s="19" t="s">
        <v>913</v>
      </c>
      <c r="C144" s="19" t="s">
        <v>322</v>
      </c>
      <c r="D144" s="19" t="s">
        <v>9</v>
      </c>
      <c r="E144" s="19">
        <v>2230</v>
      </c>
      <c r="F144" s="19">
        <v>71.442768661487506</v>
      </c>
      <c r="G144" s="19">
        <v>57.457627091954457</v>
      </c>
      <c r="H144" s="19">
        <v>128130.50841505844</v>
      </c>
      <c r="I144" s="19">
        <v>23.681539569277437</v>
      </c>
      <c r="J144" s="19">
        <v>22.381555871282302</v>
      </c>
      <c r="K144" s="19">
        <v>23.73202183386308</v>
      </c>
      <c r="L144" s="19">
        <v>37.820777432614598</v>
      </c>
      <c r="M144" s="19">
        <v>35.520379760330535</v>
      </c>
      <c r="N144" s="19">
        <v>16.520129920251584</v>
      </c>
      <c r="O144" s="19">
        <v>21.716642029417031</v>
      </c>
      <c r="P144" s="19">
        <v>41.087004386854851</v>
      </c>
      <c r="Q144" s="19">
        <v>803.52612369564349</v>
      </c>
      <c r="R144" s="19">
        <v>421.65478750248406</v>
      </c>
      <c r="S144" s="19">
        <v>1028.2792997866884</v>
      </c>
      <c r="T144" s="19">
        <v>1185.8986051649892</v>
      </c>
      <c r="U144" s="19">
        <v>30.534864989766806</v>
      </c>
      <c r="V144" s="19">
        <v>8.8004274968268668</v>
      </c>
      <c r="W144" s="19">
        <v>36.250433020405481</v>
      </c>
      <c r="X144" s="19">
        <v>38.854680816953305</v>
      </c>
      <c r="Y144" s="19">
        <v>27.464099847889546</v>
      </c>
      <c r="Z144" s="19">
        <v>18.568825350796317</v>
      </c>
      <c r="AA144" s="19">
        <v>17.539182200355359</v>
      </c>
      <c r="AB144" s="19">
        <v>32.041138890105977</v>
      </c>
      <c r="AC144" s="19">
        <v>34.353037446636357</v>
      </c>
      <c r="AD144" s="19">
        <v>12.117279764898562</v>
      </c>
      <c r="AE144" s="19">
        <v>33.845416986942723</v>
      </c>
      <c r="AF144" s="19">
        <v>46.682545683225101</v>
      </c>
      <c r="AG144" s="19">
        <v>525.92672687484969</v>
      </c>
      <c r="AH144" s="19">
        <v>330.44276850845222</v>
      </c>
      <c r="AI144" s="19">
        <v>1258.9250605174154</v>
      </c>
      <c r="AJ144" s="19">
        <v>1336.7726288366812</v>
      </c>
      <c r="AK144" s="19">
        <v>1980.6922480547637</v>
      </c>
      <c r="AL144" s="19">
        <v>1898.1750266526353</v>
      </c>
      <c r="AM144" s="19">
        <v>2280.9842524652145</v>
      </c>
      <c r="AN144" s="19">
        <v>2967.479568170656</v>
      </c>
      <c r="AO144" s="19"/>
      <c r="AP144" s="19">
        <v>0.65823771963444833</v>
      </c>
      <c r="AQ144" s="19">
        <v>0.71508355750751296</v>
      </c>
      <c r="AR144" s="19">
        <v>0.67623190833778724</v>
      </c>
      <c r="AS144" s="19">
        <v>0.55764814023432863</v>
      </c>
      <c r="AT144" s="19">
        <v>0.81246908453972433</v>
      </c>
      <c r="AU144" s="19">
        <v>0.62615158060859311</v>
      </c>
      <c r="AV144" s="19">
        <v>0.591779370774691</v>
      </c>
      <c r="AW144" s="19">
        <v>0.62748635657071039</v>
      </c>
      <c r="AX144" s="19">
        <v>0.8645161722156296</v>
      </c>
      <c r="AY144" s="19">
        <v>0.40207676774646883</v>
      </c>
      <c r="AZ144" s="19">
        <v>0.52855257650190079</v>
      </c>
      <c r="BA144" s="19">
        <v>0.78587352534481902</v>
      </c>
      <c r="BB144" s="19">
        <v>0.22649594107557336</v>
      </c>
      <c r="BC144" s="19">
        <v>0.93297467018667357</v>
      </c>
      <c r="BD144" s="19">
        <v>0.85715117499678573</v>
      </c>
      <c r="BE144" s="19">
        <v>0.57953075308849922</v>
      </c>
      <c r="BF144" s="19">
        <v>0.54739571712824808</v>
      </c>
      <c r="BG144" s="19">
        <v>0.73588612068730375</v>
      </c>
      <c r="BH144" s="19">
        <v>0.25956767326107461</v>
      </c>
      <c r="BI144" s="19">
        <v>0.72501223940546011</v>
      </c>
    </row>
    <row r="145" spans="1:61" x14ac:dyDescent="0.55000000000000004">
      <c r="A145" s="19" t="s">
        <v>914</v>
      </c>
      <c r="B145" s="19" t="s">
        <v>915</v>
      </c>
      <c r="C145" s="19" t="s">
        <v>322</v>
      </c>
      <c r="D145" s="19" t="s">
        <v>9</v>
      </c>
      <c r="E145" s="19">
        <v>1815</v>
      </c>
      <c r="F145" s="19">
        <v>66.411974170547481</v>
      </c>
      <c r="G145" s="19">
        <v>43.812534228223193</v>
      </c>
      <c r="H145" s="19">
        <v>79519.749624225093</v>
      </c>
      <c r="I145" s="19">
        <v>25.322421679312406</v>
      </c>
      <c r="J145" s="19">
        <v>9.8131266000804906</v>
      </c>
      <c r="K145" s="19">
        <v>29.517894184367695</v>
      </c>
      <c r="L145" s="19">
        <v>37.170362856377309</v>
      </c>
      <c r="M145" s="19">
        <v>30.917028223937997</v>
      </c>
      <c r="N145" s="19">
        <v>15.224321532356853</v>
      </c>
      <c r="O145" s="19">
        <v>11.654955896976315</v>
      </c>
      <c r="P145" s="19">
        <v>36.120865016360511</v>
      </c>
      <c r="Q145" s="19">
        <v>606.24928752716482</v>
      </c>
      <c r="R145" s="19">
        <v>221.36223978421941</v>
      </c>
      <c r="S145" s="19">
        <v>1248.9429886408434</v>
      </c>
      <c r="T145" s="19">
        <v>1249.378696500225</v>
      </c>
      <c r="U145" s="19">
        <v>23.364388078034526</v>
      </c>
      <c r="V145" s="19">
        <v>12.727898821768516</v>
      </c>
      <c r="W145" s="19">
        <v>51.163545280186888</v>
      </c>
      <c r="X145" s="19">
        <v>56.283144884690735</v>
      </c>
      <c r="Y145" s="19">
        <v>27.746765465081879</v>
      </c>
      <c r="Z145" s="19">
        <v>26.989096380880891</v>
      </c>
      <c r="AA145" s="19">
        <v>19.025909917302819</v>
      </c>
      <c r="AB145" s="19">
        <v>37.126320126565766</v>
      </c>
      <c r="AC145" s="19">
        <v>45.274818952958597</v>
      </c>
      <c r="AD145" s="19">
        <v>23.644353075446588</v>
      </c>
      <c r="AE145" s="19">
        <v>36.01156671162213</v>
      </c>
      <c r="AF145" s="19">
        <v>54.462719466418889</v>
      </c>
      <c r="AG145" s="19">
        <v>764.10611306185365</v>
      </c>
      <c r="AH145" s="19">
        <v>491.37740933222051</v>
      </c>
      <c r="AI145" s="19">
        <v>1817.173621417149</v>
      </c>
      <c r="AJ145" s="19">
        <v>1947.3161039117415</v>
      </c>
      <c r="AK145" s="19">
        <v>622.88148510513429</v>
      </c>
      <c r="AL145" s="19">
        <v>3116.9675312967152</v>
      </c>
      <c r="AM145" s="19">
        <v>1287.3236048213191</v>
      </c>
      <c r="AN145" s="19">
        <v>3123.7450912631271</v>
      </c>
      <c r="AO145" s="19"/>
      <c r="AP145" s="19">
        <v>0.84839563634355752</v>
      </c>
      <c r="AQ145" s="19">
        <v>0.82444135343104952</v>
      </c>
      <c r="AR145" s="19">
        <v>1.284635684197291</v>
      </c>
      <c r="AS145" s="19">
        <v>0.84739038224019703</v>
      </c>
      <c r="AT145" s="19">
        <v>1.2430853504779702</v>
      </c>
      <c r="AU145" s="19">
        <v>0.68125301270681149</v>
      </c>
      <c r="AV145" s="19">
        <v>0.26400405715697378</v>
      </c>
      <c r="AW145" s="19">
        <v>0.79412445604639337</v>
      </c>
      <c r="AX145" s="19">
        <v>0.85593266412458568</v>
      </c>
      <c r="AY145" s="19">
        <v>0.4214827503566479</v>
      </c>
      <c r="AZ145" s="19">
        <v>0.32266547026759584</v>
      </c>
      <c r="BA145" s="19">
        <v>0.41512229151199659</v>
      </c>
      <c r="BB145" s="19">
        <v>0.22614050525862781</v>
      </c>
      <c r="BC145" s="19">
        <v>0.90903849429536054</v>
      </c>
      <c r="BD145" s="19">
        <v>0.7473610465699686</v>
      </c>
      <c r="BE145" s="19">
        <v>0.72695317739203635</v>
      </c>
      <c r="BF145" s="19">
        <v>0.51246419931849951</v>
      </c>
      <c r="BG145" s="19">
        <v>0.83129927033618933</v>
      </c>
      <c r="BH145" s="19">
        <v>0.43413831162113442</v>
      </c>
      <c r="BI145" s="19">
        <v>0.66121499375047665</v>
      </c>
    </row>
    <row r="146" spans="1:61" x14ac:dyDescent="0.55000000000000004">
      <c r="A146" s="19" t="s">
        <v>916</v>
      </c>
      <c r="B146" s="19" t="s">
        <v>917</v>
      </c>
      <c r="C146" s="19" t="s">
        <v>322</v>
      </c>
      <c r="D146" s="19" t="s">
        <v>9</v>
      </c>
      <c r="E146" s="19">
        <v>1985</v>
      </c>
      <c r="F146" s="19">
        <v>67.344151151105478</v>
      </c>
      <c r="G146" s="19">
        <v>39.831890910904896</v>
      </c>
      <c r="H146" s="19">
        <v>79066.303458146213</v>
      </c>
      <c r="I146" s="19">
        <v>41.621849727063363</v>
      </c>
      <c r="J146" s="19">
        <v>19.351101411028225</v>
      </c>
      <c r="K146" s="19">
        <v>23.983640951419151</v>
      </c>
      <c r="L146" s="19">
        <v>48.791891989186141</v>
      </c>
      <c r="M146" s="19">
        <v>39.948718298530963</v>
      </c>
      <c r="N146" s="19">
        <v>16.997528825766771</v>
      </c>
      <c r="O146" s="19">
        <v>6.9447652221734018</v>
      </c>
      <c r="P146" s="19">
        <v>41.853457303620338</v>
      </c>
      <c r="Q146" s="19">
        <v>434.8591800004844</v>
      </c>
      <c r="R146" s="19">
        <v>106.31472807277888</v>
      </c>
      <c r="S146" s="19">
        <v>1114.2776151406892</v>
      </c>
      <c r="T146" s="19">
        <v>1122.979825644594</v>
      </c>
      <c r="U146" s="19">
        <v>33.552084346754782</v>
      </c>
      <c r="V146" s="19">
        <v>43.120835558115573</v>
      </c>
      <c r="W146" s="19">
        <v>71.328987111700428</v>
      </c>
      <c r="X146" s="19">
        <v>77.193155930773983</v>
      </c>
      <c r="Y146" s="19">
        <v>31.992157839051472</v>
      </c>
      <c r="Z146" s="19">
        <v>29.710087290069765</v>
      </c>
      <c r="AA146" s="19">
        <v>27.656440408592523</v>
      </c>
      <c r="AB146" s="19">
        <v>43.369466941818466</v>
      </c>
      <c r="AC146" s="19">
        <v>66.597211102835743</v>
      </c>
      <c r="AD146" s="19">
        <v>27.978182342448974</v>
      </c>
      <c r="AE146" s="19">
        <v>36.460052181286144</v>
      </c>
      <c r="AF146" s="19">
        <v>69.068272931184865</v>
      </c>
      <c r="AG146" s="19">
        <v>1050.6280901210753</v>
      </c>
      <c r="AH146" s="19">
        <v>802.71569218672414</v>
      </c>
      <c r="AI146" s="19">
        <v>1916.245802514999</v>
      </c>
      <c r="AJ146" s="19">
        <v>2126.5262057917612</v>
      </c>
      <c r="AK146" s="19">
        <v>2008.9751450394299</v>
      </c>
      <c r="AL146" s="19">
        <v>3213.4397670122767</v>
      </c>
      <c r="AM146" s="19">
        <v>740.64676234221565</v>
      </c>
      <c r="AN146" s="19">
        <v>3357.926435000486</v>
      </c>
      <c r="AO146" s="19"/>
      <c r="AP146" s="19">
        <v>1.2249454111611919</v>
      </c>
      <c r="AQ146" s="19">
        <v>1.0507524585573214</v>
      </c>
      <c r="AR146" s="19">
        <v>1.9379736729907688</v>
      </c>
      <c r="AS146" s="19">
        <v>1.0888126561409386</v>
      </c>
      <c r="AT146" s="19">
        <v>1.7339943284559418</v>
      </c>
      <c r="AU146" s="19">
        <v>0.85304848879990369</v>
      </c>
      <c r="AV146" s="19">
        <v>0.39660485835058523</v>
      </c>
      <c r="AW146" s="19">
        <v>0.49154972216971421</v>
      </c>
      <c r="AX146" s="19">
        <v>0.95449028281530723</v>
      </c>
      <c r="AY146" s="19">
        <v>0.40612006560080471</v>
      </c>
      <c r="AZ146" s="19">
        <v>0.16593050298792586</v>
      </c>
      <c r="BA146" s="19">
        <v>0.4346510249800376</v>
      </c>
      <c r="BB146" s="19">
        <v>0.55860956892066815</v>
      </c>
      <c r="BC146" s="19">
        <v>0.92403252920074308</v>
      </c>
      <c r="BD146" s="19">
        <v>0.73766546132489896</v>
      </c>
      <c r="BE146" s="19">
        <v>0.68504617153645908</v>
      </c>
      <c r="BF146" s="19">
        <v>0.63769380531456676</v>
      </c>
      <c r="BG146" s="19">
        <v>0.96422290983283854</v>
      </c>
      <c r="BH146" s="19">
        <v>0.40508009184368365</v>
      </c>
      <c r="BI146" s="19">
        <v>0.52788423155755715</v>
      </c>
    </row>
    <row r="147" spans="1:61" x14ac:dyDescent="0.55000000000000004">
      <c r="A147" s="19" t="s">
        <v>918</v>
      </c>
      <c r="B147" s="19" t="s">
        <v>919</v>
      </c>
      <c r="C147" s="19" t="s">
        <v>322</v>
      </c>
      <c r="D147" s="19" t="s">
        <v>9</v>
      </c>
      <c r="E147" s="19">
        <v>2510</v>
      </c>
      <c r="F147" s="19">
        <v>62.772451130157336</v>
      </c>
      <c r="G147" s="19">
        <v>112.63637360102864</v>
      </c>
      <c r="H147" s="19">
        <v>282717.2977385819</v>
      </c>
      <c r="I147" s="19">
        <v>21.341277722868195</v>
      </c>
      <c r="J147" s="19">
        <v>22.880778413998101</v>
      </c>
      <c r="K147" s="19">
        <v>15.605976346050312</v>
      </c>
      <c r="L147" s="19">
        <v>31.936775997687757</v>
      </c>
      <c r="M147" s="19">
        <v>24.99304517476925</v>
      </c>
      <c r="N147" s="19">
        <v>15.171666459171647</v>
      </c>
      <c r="O147" s="19">
        <v>8.5900751293525026</v>
      </c>
      <c r="P147" s="19">
        <v>26.65113920125566</v>
      </c>
      <c r="Q147" s="19">
        <v>593.27908098392652</v>
      </c>
      <c r="R147" s="19">
        <v>54.521415121383491</v>
      </c>
      <c r="S147" s="19">
        <v>982.50191956647404</v>
      </c>
      <c r="T147" s="19">
        <v>1147.73258640022</v>
      </c>
      <c r="U147" s="19">
        <v>33.179584977338195</v>
      </c>
      <c r="V147" s="19">
        <v>14.745141614688496</v>
      </c>
      <c r="W147" s="19">
        <v>33.315447391220083</v>
      </c>
      <c r="X147" s="19">
        <v>39.873021847940635</v>
      </c>
      <c r="Y147" s="19">
        <v>20.634268686236339</v>
      </c>
      <c r="Z147" s="19">
        <v>25.533444862024741</v>
      </c>
      <c r="AA147" s="19">
        <v>8.1372405398167089</v>
      </c>
      <c r="AB147" s="19">
        <v>32.570780652055049</v>
      </c>
      <c r="AC147" s="19">
        <v>26.845807617997011</v>
      </c>
      <c r="AD147" s="19">
        <v>16.165848845146808</v>
      </c>
      <c r="AE147" s="19">
        <v>17.337220997848807</v>
      </c>
      <c r="AF147" s="19">
        <v>32.367535799029902</v>
      </c>
      <c r="AG147" s="19">
        <v>698.10945275300128</v>
      </c>
      <c r="AH147" s="19">
        <v>198.20755207700719</v>
      </c>
      <c r="AI147" s="19">
        <v>1148.6566993991141</v>
      </c>
      <c r="AJ147" s="19">
        <v>1318.9786081739669</v>
      </c>
      <c r="AK147" s="19">
        <v>791.55769955987341</v>
      </c>
      <c r="AL147" s="19">
        <v>1713.3121828615911</v>
      </c>
      <c r="AM147" s="19">
        <v>625.65899869409213</v>
      </c>
      <c r="AN147" s="19">
        <v>1729.5092622064999</v>
      </c>
      <c r="AO147" s="19"/>
      <c r="AP147" s="19">
        <v>0.28353874487127573</v>
      </c>
      <c r="AQ147" s="19">
        <v>0.23661219150802162</v>
      </c>
      <c r="AR147" s="19">
        <v>0.35399774134397827</v>
      </c>
      <c r="AS147" s="19">
        <v>0.28916751854445</v>
      </c>
      <c r="AT147" s="19">
        <v>0.28736308498069674</v>
      </c>
      <c r="AU147" s="19">
        <v>0.66823519457359493</v>
      </c>
      <c r="AV147" s="19">
        <v>0.71643983148626789</v>
      </c>
      <c r="AW147" s="19">
        <v>0.48865221546408427</v>
      </c>
      <c r="AX147" s="19">
        <v>0.93778524760366377</v>
      </c>
      <c r="AY147" s="19">
        <v>0.56926896612572708</v>
      </c>
      <c r="AZ147" s="19">
        <v>0.32231549520208819</v>
      </c>
      <c r="BA147" s="19">
        <v>0.8321311864415879</v>
      </c>
      <c r="BB147" s="19">
        <v>0.36980246119595406</v>
      </c>
      <c r="BC147" s="19">
        <v>0.83553856334921262</v>
      </c>
      <c r="BD147" s="19">
        <v>0.63352085130125435</v>
      </c>
      <c r="BE147" s="19">
        <v>0.78393714706416506</v>
      </c>
      <c r="BF147" s="19">
        <v>0.24983253016698237</v>
      </c>
      <c r="BG147" s="19">
        <v>0.82940535803166127</v>
      </c>
      <c r="BH147" s="19">
        <v>0.49944638805748443</v>
      </c>
      <c r="BI147" s="19">
        <v>0.53563611099391839</v>
      </c>
    </row>
    <row r="148" spans="1:61" x14ac:dyDescent="0.55000000000000004">
      <c r="A148" s="19" t="s">
        <v>920</v>
      </c>
      <c r="B148" s="19" t="s">
        <v>921</v>
      </c>
      <c r="C148" s="19" t="s">
        <v>322</v>
      </c>
      <c r="D148" s="19" t="s">
        <v>9</v>
      </c>
      <c r="E148" s="19">
        <v>2247</v>
      </c>
      <c r="F148" s="19">
        <v>72.562546628384737</v>
      </c>
      <c r="G148" s="19">
        <v>35.954511470399495</v>
      </c>
      <c r="H148" s="19">
        <v>80789.787273987662</v>
      </c>
      <c r="I148" s="19">
        <v>43.687137320579772</v>
      </c>
      <c r="J148" s="19">
        <v>15.617539234322365</v>
      </c>
      <c r="K148" s="19">
        <v>13.836072628265958</v>
      </c>
      <c r="L148" s="19">
        <v>45.692295281970985</v>
      </c>
      <c r="M148" s="19">
        <v>32.013313100069162</v>
      </c>
      <c r="N148" s="19">
        <v>12.781740850276123</v>
      </c>
      <c r="O148" s="19">
        <v>9.4939014469133269</v>
      </c>
      <c r="P148" s="19">
        <v>33.254894324086926</v>
      </c>
      <c r="Q148" s="19">
        <v>694.3944113950156</v>
      </c>
      <c r="R148" s="19">
        <v>51.131645446762406</v>
      </c>
      <c r="S148" s="19">
        <v>775.25180451230631</v>
      </c>
      <c r="T148" s="19">
        <v>1020.9704780005353</v>
      </c>
      <c r="U148" s="19">
        <v>23.321488851212045</v>
      </c>
      <c r="V148" s="19">
        <v>13.101442932515605</v>
      </c>
      <c r="W148" s="19">
        <v>52.015994790081329</v>
      </c>
      <c r="X148" s="19">
        <v>56.219928954542468</v>
      </c>
      <c r="Y148" s="19">
        <v>28.836053786145303</v>
      </c>
      <c r="Z148" s="19">
        <v>31.084900141272087</v>
      </c>
      <c r="AA148" s="19">
        <v>12.778121298870211</v>
      </c>
      <c r="AB148" s="19">
        <v>42.353919989635692</v>
      </c>
      <c r="AC148" s="19">
        <v>33.269104323266646</v>
      </c>
      <c r="AD148" s="19">
        <v>20.303924660053593</v>
      </c>
      <c r="AE148" s="19">
        <v>28.437676893993398</v>
      </c>
      <c r="AF148" s="19">
        <v>40.365765782861679</v>
      </c>
      <c r="AG148" s="19">
        <v>765.5112353437155</v>
      </c>
      <c r="AH148" s="19">
        <v>32.995609570832357</v>
      </c>
      <c r="AI148" s="19">
        <v>1822.9127902340429</v>
      </c>
      <c r="AJ148" s="19">
        <v>1934.7542015049526</v>
      </c>
      <c r="AK148" s="19">
        <v>895.21558762938275</v>
      </c>
      <c r="AL148" s="19">
        <v>1934.1918225499928</v>
      </c>
      <c r="AM148" s="19">
        <v>3495.253515802764</v>
      </c>
      <c r="AN148" s="19">
        <v>3550.4778754842764</v>
      </c>
      <c r="AO148" s="19"/>
      <c r="AP148" s="19">
        <v>1.2708362153547372</v>
      </c>
      <c r="AQ148" s="19">
        <v>0.92491576061226422</v>
      </c>
      <c r="AR148" s="19">
        <v>1.5636404627782807</v>
      </c>
      <c r="AS148" s="19">
        <v>1.177986245884739</v>
      </c>
      <c r="AT148" s="19">
        <v>1.1226898692836882</v>
      </c>
      <c r="AU148" s="19">
        <v>0.95611605963287216</v>
      </c>
      <c r="AV148" s="19">
        <v>0.34179808954540852</v>
      </c>
      <c r="AW148" s="19">
        <v>0.30280975256074122</v>
      </c>
      <c r="AX148" s="19">
        <v>0.96266470697762907</v>
      </c>
      <c r="AY148" s="19">
        <v>0.38435668222882163</v>
      </c>
      <c r="AZ148" s="19">
        <v>0.28548884727733981</v>
      </c>
      <c r="BA148" s="19">
        <v>0.41482601072066477</v>
      </c>
      <c r="BB148" s="19">
        <v>0.23303912289019413</v>
      </c>
      <c r="BC148" s="19">
        <v>0.92522341734262425</v>
      </c>
      <c r="BD148" s="19">
        <v>0.6808355352515586</v>
      </c>
      <c r="BE148" s="19">
        <v>0.73393206930736954</v>
      </c>
      <c r="BF148" s="19">
        <v>0.30169866926124217</v>
      </c>
      <c r="BG148" s="19">
        <v>0.82419108563999788</v>
      </c>
      <c r="BH148" s="19">
        <v>0.50299862436089704</v>
      </c>
      <c r="BI148" s="19">
        <v>0.70449987365450506</v>
      </c>
    </row>
    <row r="149" spans="1:61" x14ac:dyDescent="0.55000000000000004">
      <c r="A149" s="19" t="s">
        <v>922</v>
      </c>
      <c r="B149" s="19" t="s">
        <v>923</v>
      </c>
      <c r="C149" s="19" t="s">
        <v>322</v>
      </c>
      <c r="D149" s="19" t="s">
        <v>9</v>
      </c>
      <c r="E149" s="19">
        <v>1565</v>
      </c>
      <c r="F149" s="19">
        <v>73.581031050384652</v>
      </c>
      <c r="G149" s="19">
        <v>64.790311055555904</v>
      </c>
      <c r="H149" s="19">
        <v>101396.83680194498</v>
      </c>
      <c r="I149" s="19">
        <v>45.093747212067981</v>
      </c>
      <c r="J149" s="19">
        <v>18.810337390707314</v>
      </c>
      <c r="K149" s="19">
        <v>25.694450112556527</v>
      </c>
      <c r="L149" s="19">
        <v>47.703393222954162</v>
      </c>
      <c r="M149" s="19">
        <v>40.131229038408087</v>
      </c>
      <c r="N149" s="19">
        <v>11.9218765371734</v>
      </c>
      <c r="O149" s="19">
        <v>17.159646042284582</v>
      </c>
      <c r="P149" s="19">
        <v>41.51877850746736</v>
      </c>
      <c r="Q149" s="19">
        <v>834.163709554192</v>
      </c>
      <c r="R149" s="19">
        <v>152.95955898190971</v>
      </c>
      <c r="S149" s="19">
        <v>939.33803200688044</v>
      </c>
      <c r="T149" s="19">
        <v>968.42627407551117</v>
      </c>
      <c r="U149" s="19">
        <v>58.672799152951036</v>
      </c>
      <c r="V149" s="19">
        <v>16.9096246614107</v>
      </c>
      <c r="W149" s="19">
        <v>79.976005506485109</v>
      </c>
      <c r="X149" s="19">
        <v>86.345374364885842</v>
      </c>
      <c r="Y149" s="19">
        <v>48.093340335021374</v>
      </c>
      <c r="Z149" s="19">
        <v>21.89852091534598</v>
      </c>
      <c r="AA149" s="19">
        <v>13.591957858619782</v>
      </c>
      <c r="AB149" s="19">
        <v>52.563240367994062</v>
      </c>
      <c r="AC149" s="19">
        <v>36.18091440180558</v>
      </c>
      <c r="AD149" s="19">
        <v>18.658385131375017</v>
      </c>
      <c r="AE149" s="19">
        <v>22.384949948561967</v>
      </c>
      <c r="AF149" s="19">
        <v>45.023977204085007</v>
      </c>
      <c r="AG149" s="19">
        <v>1200.0969309338793</v>
      </c>
      <c r="AH149" s="19">
        <v>172.90126574412324</v>
      </c>
      <c r="AI149" s="19">
        <v>3400.1742395599185</v>
      </c>
      <c r="AJ149" s="19">
        <v>3565.3619742782835</v>
      </c>
      <c r="AK149" s="19">
        <v>1544.3204791619085</v>
      </c>
      <c r="AL149" s="19">
        <v>1476.8522397567594</v>
      </c>
      <c r="AM149" s="19">
        <v>1125.4806638897426</v>
      </c>
      <c r="AN149" s="19">
        <v>1877.0675996616662</v>
      </c>
      <c r="AO149" s="19"/>
      <c r="AP149" s="19">
        <v>0.7362735638365715</v>
      </c>
      <c r="AQ149" s="19">
        <v>0.64081770608982191</v>
      </c>
      <c r="AR149" s="19">
        <v>1.3326896098839078</v>
      </c>
      <c r="AS149" s="19">
        <v>0.81128242034403164</v>
      </c>
      <c r="AT149" s="19">
        <v>0.69491836773986448</v>
      </c>
      <c r="AU149" s="19">
        <v>0.94529433160678267</v>
      </c>
      <c r="AV149" s="19">
        <v>0.39431864527523924</v>
      </c>
      <c r="AW149" s="19">
        <v>0.53862940089957245</v>
      </c>
      <c r="AX149" s="19">
        <v>0.9665801953010319</v>
      </c>
      <c r="AY149" s="19">
        <v>0.28714420235241728</v>
      </c>
      <c r="AZ149" s="19">
        <v>0.41329843167708641</v>
      </c>
      <c r="BA149" s="19">
        <v>0.67951293956994596</v>
      </c>
      <c r="BB149" s="19">
        <v>0.19583706464636458</v>
      </c>
      <c r="BC149" s="19">
        <v>0.92623381501035018</v>
      </c>
      <c r="BD149" s="19">
        <v>0.91496148255550802</v>
      </c>
      <c r="BE149" s="19">
        <v>0.41661284125626441</v>
      </c>
      <c r="BF149" s="19">
        <v>0.25858295195392811</v>
      </c>
      <c r="BG149" s="19">
        <v>0.80359214464338569</v>
      </c>
      <c r="BH149" s="19">
        <v>0.41440997197560214</v>
      </c>
      <c r="BI149" s="19">
        <v>0.49717842222368108</v>
      </c>
    </row>
    <row r="150" spans="1:61" x14ac:dyDescent="0.55000000000000004">
      <c r="A150" s="19" t="s">
        <v>924</v>
      </c>
      <c r="B150" s="19" t="s">
        <v>925</v>
      </c>
      <c r="C150" s="19" t="s">
        <v>322</v>
      </c>
      <c r="D150" s="19" t="s">
        <v>9</v>
      </c>
      <c r="E150" s="19">
        <v>2468</v>
      </c>
      <c r="F150" s="19">
        <v>67.330023354963714</v>
      </c>
      <c r="G150" s="19">
        <v>33.104479640216525</v>
      </c>
      <c r="H150" s="19">
        <v>81701.855752054384</v>
      </c>
      <c r="I150" s="19">
        <v>30.975561197070601</v>
      </c>
      <c r="J150" s="19">
        <v>15.125463711561423</v>
      </c>
      <c r="K150" s="19">
        <v>19.475000186149952</v>
      </c>
      <c r="L150" s="19">
        <v>37.531280182501291</v>
      </c>
      <c r="M150" s="19">
        <v>29.10615017771244</v>
      </c>
      <c r="N150" s="19">
        <v>12.719601233683788</v>
      </c>
      <c r="O150" s="19">
        <v>3.1606485648918614</v>
      </c>
      <c r="P150" s="19">
        <v>30.889336022956609</v>
      </c>
      <c r="Q150" s="19">
        <v>378.80247141299822</v>
      </c>
      <c r="R150" s="19">
        <v>44.825600400167929</v>
      </c>
      <c r="S150" s="19">
        <v>930.74228420953523</v>
      </c>
      <c r="T150" s="19">
        <v>974.59890655238632</v>
      </c>
      <c r="U150" s="19">
        <v>37.847979961895227</v>
      </c>
      <c r="V150" s="19">
        <v>27.601508125086475</v>
      </c>
      <c r="W150" s="19">
        <v>46.504278941614302</v>
      </c>
      <c r="X150" s="19">
        <v>51.540530519954991</v>
      </c>
      <c r="Y150" s="19">
        <v>25.504070153240676</v>
      </c>
      <c r="Z150" s="19">
        <v>26.744629667956708</v>
      </c>
      <c r="AA150" s="19">
        <v>8.5932614829603349</v>
      </c>
      <c r="AB150" s="19">
        <v>36.876195222744002</v>
      </c>
      <c r="AC150" s="19">
        <v>30.211318249371796</v>
      </c>
      <c r="AD150" s="19">
        <v>16.121864228053848</v>
      </c>
      <c r="AE150" s="19">
        <v>18.086328515874744</v>
      </c>
      <c r="AF150" s="19">
        <v>38.656774741298968</v>
      </c>
      <c r="AG150" s="19">
        <v>748.54838388981693</v>
      </c>
      <c r="AH150" s="19">
        <v>217.97311142123914</v>
      </c>
      <c r="AI150" s="19">
        <v>1663.6183874902513</v>
      </c>
      <c r="AJ150" s="19">
        <v>1806.9827534738902</v>
      </c>
      <c r="AK150" s="19">
        <v>1053.2071606001457</v>
      </c>
      <c r="AL150" s="19">
        <v>1366.1638691415851</v>
      </c>
      <c r="AM150" s="19">
        <v>760.38739658339091</v>
      </c>
      <c r="AN150" s="19">
        <v>1372.7885081708034</v>
      </c>
      <c r="AO150" s="19"/>
      <c r="AP150" s="19">
        <v>1.1337221001627504</v>
      </c>
      <c r="AQ150" s="19">
        <v>0.93308628797871573</v>
      </c>
      <c r="AR150" s="19">
        <v>1.5569050195050245</v>
      </c>
      <c r="AS150" s="19">
        <v>1.1139336918604048</v>
      </c>
      <c r="AT150" s="19">
        <v>1.1677203557169742</v>
      </c>
      <c r="AU150" s="19">
        <v>0.8253265288699837</v>
      </c>
      <c r="AV150" s="19">
        <v>0.40300953332824413</v>
      </c>
      <c r="AW150" s="19">
        <v>0.51890050356529116</v>
      </c>
      <c r="AX150" s="19">
        <v>0.94227179749286527</v>
      </c>
      <c r="AY150" s="19">
        <v>0.41177969070719816</v>
      </c>
      <c r="AZ150" s="19">
        <v>0.10232167381464279</v>
      </c>
      <c r="BA150" s="19">
        <v>0.73433431088260903</v>
      </c>
      <c r="BB150" s="19">
        <v>0.53553015164250151</v>
      </c>
      <c r="BC150" s="19">
        <v>0.9022856084806733</v>
      </c>
      <c r="BD150" s="19">
        <v>0.69161338362561386</v>
      </c>
      <c r="BE150" s="19">
        <v>0.72525458514390106</v>
      </c>
      <c r="BF150" s="19">
        <v>0.23303004637691849</v>
      </c>
      <c r="BG150" s="19">
        <v>0.78152713079540836</v>
      </c>
      <c r="BH150" s="19">
        <v>0.41705145698122748</v>
      </c>
      <c r="BI150" s="19">
        <v>0.46786956844985345</v>
      </c>
    </row>
    <row r="151" spans="1:61" x14ac:dyDescent="0.55000000000000004">
      <c r="A151" s="19" t="s">
        <v>926</v>
      </c>
      <c r="B151" s="19" t="s">
        <v>927</v>
      </c>
      <c r="C151" s="19" t="s">
        <v>322</v>
      </c>
      <c r="D151" s="19" t="s">
        <v>9</v>
      </c>
      <c r="E151" s="19">
        <v>1574</v>
      </c>
      <c r="F151" s="19">
        <v>71.07034609788839</v>
      </c>
      <c r="G151" s="19">
        <v>38.13836941067153</v>
      </c>
      <c r="H151" s="19">
        <v>60029.793452396989</v>
      </c>
      <c r="I151" s="19">
        <v>39.347239149188155</v>
      </c>
      <c r="J151" s="19">
        <v>19.097869957881137</v>
      </c>
      <c r="K151" s="19">
        <v>26.981284557580704</v>
      </c>
      <c r="L151" s="19">
        <v>42.564042294107523</v>
      </c>
      <c r="M151" s="19">
        <v>38.359225159068274</v>
      </c>
      <c r="N151" s="19">
        <v>10.295623746415611</v>
      </c>
      <c r="O151" s="19">
        <v>16.065732330779181</v>
      </c>
      <c r="P151" s="19">
        <v>40.590606143290536</v>
      </c>
      <c r="Q151" s="19">
        <v>714.55250947119009</v>
      </c>
      <c r="R151" s="19">
        <v>161.62496340053664</v>
      </c>
      <c r="S151" s="19">
        <v>1015.4272060852788</v>
      </c>
      <c r="T151" s="19">
        <v>1039.1538712851375</v>
      </c>
      <c r="U151" s="19">
        <v>62.445393179853475</v>
      </c>
      <c r="V151" s="19">
        <v>13.95286002134301</v>
      </c>
      <c r="W151" s="19">
        <v>78.787650155751479</v>
      </c>
      <c r="X151" s="19">
        <v>88.190896611984371</v>
      </c>
      <c r="Y151" s="19">
        <v>39.959420341285764</v>
      </c>
      <c r="Z151" s="19">
        <v>19.777247190120097</v>
      </c>
      <c r="AA151" s="19">
        <v>13.002940676049702</v>
      </c>
      <c r="AB151" s="19">
        <v>42.166103934227571</v>
      </c>
      <c r="AC151" s="19">
        <v>34.885256694116663</v>
      </c>
      <c r="AD151" s="19">
        <v>17.776061553316683</v>
      </c>
      <c r="AE151" s="19">
        <v>25.757398481181347</v>
      </c>
      <c r="AF151" s="19">
        <v>45.085241206011503</v>
      </c>
      <c r="AG151" s="19">
        <v>1322.1738356041317</v>
      </c>
      <c r="AH151" s="19">
        <v>324.34806231420953</v>
      </c>
      <c r="AI151" s="19">
        <v>3700.6440345354936</v>
      </c>
      <c r="AJ151" s="19">
        <v>3918.709729274749</v>
      </c>
      <c r="AK151" s="19">
        <v>1510.051051148715</v>
      </c>
      <c r="AL151" s="19">
        <v>1890.1452763366342</v>
      </c>
      <c r="AM151" s="19">
        <v>895.59997851630396</v>
      </c>
      <c r="AN151" s="19">
        <v>1936.8728792961083</v>
      </c>
      <c r="AO151" s="19"/>
      <c r="AP151" s="19">
        <v>1.1160425301821542</v>
      </c>
      <c r="AQ151" s="19">
        <v>1.0642984157558881</v>
      </c>
      <c r="AR151" s="19">
        <v>2.3123929516322637</v>
      </c>
      <c r="AS151" s="19">
        <v>1.1056084616567021</v>
      </c>
      <c r="AT151" s="19">
        <v>1.1821491558943305</v>
      </c>
      <c r="AU151" s="19">
        <v>0.92442439741291449</v>
      </c>
      <c r="AV151" s="19">
        <v>0.44868553193137406</v>
      </c>
      <c r="AW151" s="19">
        <v>0.63389854683317837</v>
      </c>
      <c r="AX151" s="19">
        <v>0.94502715785161784</v>
      </c>
      <c r="AY151" s="19">
        <v>0.25364547920448921</v>
      </c>
      <c r="AZ151" s="19">
        <v>0.39579927124184572</v>
      </c>
      <c r="BA151" s="19">
        <v>0.70807073721674463</v>
      </c>
      <c r="BB151" s="19">
        <v>0.15821202139186483</v>
      </c>
      <c r="BC151" s="19">
        <v>0.89337622342581924</v>
      </c>
      <c r="BD151" s="19">
        <v>0.94766688436797752</v>
      </c>
      <c r="BE151" s="19">
        <v>0.46903188449588473</v>
      </c>
      <c r="BF151" s="19">
        <v>0.30837424999787094</v>
      </c>
      <c r="BG151" s="19">
        <v>0.77376222819154372</v>
      </c>
      <c r="BH151" s="19">
        <v>0.39427673175998196</v>
      </c>
      <c r="BI151" s="19">
        <v>0.57130444003806169</v>
      </c>
    </row>
    <row r="152" spans="1:61" x14ac:dyDescent="0.55000000000000004">
      <c r="A152" s="19" t="s">
        <v>930</v>
      </c>
      <c r="B152" s="19" t="s">
        <v>931</v>
      </c>
      <c r="C152" s="19" t="s">
        <v>322</v>
      </c>
      <c r="D152" s="19" t="s">
        <v>9</v>
      </c>
      <c r="E152" s="19">
        <v>1816</v>
      </c>
      <c r="F152" s="19">
        <v>71.457900137087393</v>
      </c>
      <c r="G152" s="19">
        <v>43.849132291517229</v>
      </c>
      <c r="H152" s="19">
        <v>79630.024241395295</v>
      </c>
      <c r="I152" s="19">
        <v>40.56469029812753</v>
      </c>
      <c r="J152" s="19">
        <v>29.721647030810871</v>
      </c>
      <c r="K152" s="19">
        <v>29.209025866889551</v>
      </c>
      <c r="L152" s="19">
        <v>53.623487360782349</v>
      </c>
      <c r="M152" s="19">
        <v>39.533567157973195</v>
      </c>
      <c r="N152" s="19">
        <v>14.10428207334062</v>
      </c>
      <c r="O152" s="19">
        <v>11.065714257524684</v>
      </c>
      <c r="P152" s="19">
        <v>42.19248328441811</v>
      </c>
      <c r="Q152" s="19">
        <v>499.81223302677546</v>
      </c>
      <c r="R152" s="19">
        <v>37.300476096891089</v>
      </c>
      <c r="S152" s="19">
        <v>686.38623743347443</v>
      </c>
      <c r="T152" s="19">
        <v>791.24511132212547</v>
      </c>
      <c r="U152" s="19">
        <v>23.825677841032881</v>
      </c>
      <c r="V152" s="19">
        <v>35.958185031171396</v>
      </c>
      <c r="W152" s="19">
        <v>61.132956740548401</v>
      </c>
      <c r="X152" s="19">
        <v>67.262119580745207</v>
      </c>
      <c r="Y152" s="19">
        <v>30.779003654044601</v>
      </c>
      <c r="Z152" s="19">
        <v>39.944474424062591</v>
      </c>
      <c r="AA152" s="19">
        <v>12.757169816518386</v>
      </c>
      <c r="AB152" s="19">
        <v>46.318634846453158</v>
      </c>
      <c r="AC152" s="19">
        <v>31.357594685611616</v>
      </c>
      <c r="AD152" s="19">
        <v>21.256220273635286</v>
      </c>
      <c r="AE152" s="19">
        <v>30.272872639403566</v>
      </c>
      <c r="AF152" s="19">
        <v>42.615513553134804</v>
      </c>
      <c r="AG152" s="19">
        <v>818.44690416098638</v>
      </c>
      <c r="AH152" s="19">
        <v>37.163404472594131</v>
      </c>
      <c r="AI152" s="19">
        <v>2180.4109014283713</v>
      </c>
      <c r="AJ152" s="19">
        <v>2310.257846930554</v>
      </c>
      <c r="AK152" s="19">
        <v>2550.2296084738946</v>
      </c>
      <c r="AL152" s="19">
        <v>533.18828878912211</v>
      </c>
      <c r="AM152" s="19">
        <v>2773.0947937444203</v>
      </c>
      <c r="AN152" s="19">
        <v>3763.4546333849526</v>
      </c>
      <c r="AO152" s="19"/>
      <c r="AP152" s="19">
        <v>1.2229087454749019</v>
      </c>
      <c r="AQ152" s="19">
        <v>0.96221934345050641</v>
      </c>
      <c r="AR152" s="19">
        <v>1.5339441413247146</v>
      </c>
      <c r="AS152" s="19">
        <v>1.0563181624329123</v>
      </c>
      <c r="AT152" s="19">
        <v>0.97186674686784913</v>
      </c>
      <c r="AU152" s="19">
        <v>0.75647243949662635</v>
      </c>
      <c r="AV152" s="19">
        <v>0.55426546264776988</v>
      </c>
      <c r="AW152" s="19">
        <v>0.54470582396794343</v>
      </c>
      <c r="AX152" s="19">
        <v>0.93698128388127211</v>
      </c>
      <c r="AY152" s="19">
        <v>0.33428423679791802</v>
      </c>
      <c r="AZ152" s="19">
        <v>0.26226743239858807</v>
      </c>
      <c r="BA152" s="19">
        <v>0.35422133571677306</v>
      </c>
      <c r="BB152" s="19">
        <v>0.53459785768429702</v>
      </c>
      <c r="BC152" s="19">
        <v>0.90887645411115814</v>
      </c>
      <c r="BD152" s="19">
        <v>0.66450584642827615</v>
      </c>
      <c r="BE152" s="19">
        <v>0.86238453608313403</v>
      </c>
      <c r="BF152" s="19">
        <v>0.27542197344132791</v>
      </c>
      <c r="BG152" s="19">
        <v>0.7358258078132428</v>
      </c>
      <c r="BH152" s="19">
        <v>0.49879066333747551</v>
      </c>
      <c r="BI152" s="19">
        <v>0.71037211839904457</v>
      </c>
    </row>
    <row r="153" spans="1:61" x14ac:dyDescent="0.55000000000000004">
      <c r="A153" s="19" t="s">
        <v>932</v>
      </c>
      <c r="B153" s="19" t="s">
        <v>933</v>
      </c>
      <c r="C153" s="19" t="s">
        <v>322</v>
      </c>
      <c r="D153" s="19" t="s">
        <v>9</v>
      </c>
      <c r="E153" s="19">
        <v>2319</v>
      </c>
      <c r="F153" s="19">
        <v>68.674634570129427</v>
      </c>
      <c r="G153" s="19">
        <v>39.508473974235649</v>
      </c>
      <c r="H153" s="19">
        <v>91620.151146252465</v>
      </c>
      <c r="I153" s="19">
        <v>25.321728564704241</v>
      </c>
      <c r="J153" s="19">
        <v>26.790850607093095</v>
      </c>
      <c r="K153" s="19">
        <v>23.962419173980329</v>
      </c>
      <c r="L153" s="19">
        <v>39.543820622459251</v>
      </c>
      <c r="M153" s="19">
        <v>33.963942387975031</v>
      </c>
      <c r="N153" s="19">
        <v>15.781157538148593</v>
      </c>
      <c r="O153" s="19">
        <v>7.1439325571384327</v>
      </c>
      <c r="P153" s="19">
        <v>37.414995636602484</v>
      </c>
      <c r="Q153" s="19">
        <v>394.48906017798021</v>
      </c>
      <c r="R153" s="19">
        <v>19.29275911660018</v>
      </c>
      <c r="S153" s="19">
        <v>1085.9870002380878</v>
      </c>
      <c r="T153" s="19">
        <v>1101.8661489411379</v>
      </c>
      <c r="U153" s="19">
        <v>35.964605150567913</v>
      </c>
      <c r="V153" s="19">
        <v>7.0993853242744418</v>
      </c>
      <c r="W153" s="19">
        <v>56.81790147857177</v>
      </c>
      <c r="X153" s="19">
        <v>63.393891754563626</v>
      </c>
      <c r="Y153" s="19">
        <v>34.866785796534074</v>
      </c>
      <c r="Z153" s="19">
        <v>12.027519712921084</v>
      </c>
      <c r="AA153" s="19">
        <v>14.116228093220723</v>
      </c>
      <c r="AB153" s="19">
        <v>37.980373732357407</v>
      </c>
      <c r="AC153" s="19">
        <v>49.72914136847109</v>
      </c>
      <c r="AD153" s="19">
        <v>20.13942319141362</v>
      </c>
      <c r="AE153" s="19">
        <v>36.170424024189074</v>
      </c>
      <c r="AF153" s="19">
        <v>56.135890375977617</v>
      </c>
      <c r="AG153" s="19">
        <v>931.92827297647182</v>
      </c>
      <c r="AH153" s="19">
        <v>70.912643911103771</v>
      </c>
      <c r="AI153" s="19">
        <v>2072.7508707064981</v>
      </c>
      <c r="AJ153" s="19">
        <v>2270.6110648723939</v>
      </c>
      <c r="AK153" s="19">
        <v>740.72519217250056</v>
      </c>
      <c r="AL153" s="19">
        <v>2043.8118881412643</v>
      </c>
      <c r="AM153" s="19">
        <v>1644.065006573685</v>
      </c>
      <c r="AN153" s="19">
        <v>2048.0739094689034</v>
      </c>
      <c r="AO153" s="19"/>
      <c r="AP153" s="19">
        <v>1.0008946599214805</v>
      </c>
      <c r="AQ153" s="19">
        <v>0.94701191600064405</v>
      </c>
      <c r="AR153" s="19">
        <v>1.6045644232147307</v>
      </c>
      <c r="AS153" s="19">
        <v>0.96132221551065855</v>
      </c>
      <c r="AT153" s="19">
        <v>1.4208569638145243</v>
      </c>
      <c r="AU153" s="19">
        <v>0.64034603045722271</v>
      </c>
      <c r="AV153" s="19">
        <v>0.677497778044163</v>
      </c>
      <c r="AW153" s="19">
        <v>0.60597126925997302</v>
      </c>
      <c r="AX153" s="19">
        <v>0.90776283172270789</v>
      </c>
      <c r="AY153" s="19">
        <v>0.42178696722097547</v>
      </c>
      <c r="AZ153" s="19">
        <v>0.19093768248765047</v>
      </c>
      <c r="BA153" s="19">
        <v>0.56731972363849825</v>
      </c>
      <c r="BB153" s="19">
        <v>0.11198847598378228</v>
      </c>
      <c r="BC153" s="19">
        <v>0.89626776186179702</v>
      </c>
      <c r="BD153" s="19">
        <v>0.91802113486917303</v>
      </c>
      <c r="BE153" s="19">
        <v>0.31667723434417472</v>
      </c>
      <c r="BF153" s="19">
        <v>0.3716716479067817</v>
      </c>
      <c r="BG153" s="19">
        <v>0.88587071542650397</v>
      </c>
      <c r="BH153" s="19">
        <v>0.35876198019711003</v>
      </c>
      <c r="BI153" s="19">
        <v>0.64433687222083469</v>
      </c>
    </row>
    <row r="154" spans="1:61" x14ac:dyDescent="0.55000000000000004">
      <c r="A154" s="19" t="s">
        <v>934</v>
      </c>
      <c r="B154" s="19" t="s">
        <v>935</v>
      </c>
      <c r="C154" s="19" t="s">
        <v>322</v>
      </c>
      <c r="D154" s="19" t="s">
        <v>9</v>
      </c>
      <c r="E154" s="19">
        <v>1634</v>
      </c>
      <c r="F154" s="19">
        <v>66.795171688748582</v>
      </c>
      <c r="G154" s="19">
        <v>42.079130259340992</v>
      </c>
      <c r="H154" s="19">
        <v>68757.298843763187</v>
      </c>
      <c r="I154" s="19">
        <v>40.337251240506042</v>
      </c>
      <c r="J154" s="19">
        <v>4.8641369689623417</v>
      </c>
      <c r="K154" s="19">
        <v>18.489448993734594</v>
      </c>
      <c r="L154" s="19">
        <v>44.263138903551337</v>
      </c>
      <c r="M154" s="19">
        <v>39.484607788151422</v>
      </c>
      <c r="N154" s="19">
        <v>15.178391392785121</v>
      </c>
      <c r="O154" s="19">
        <v>10.0497689230692</v>
      </c>
      <c r="P154" s="19">
        <v>39.498930884196021</v>
      </c>
      <c r="Q154" s="19">
        <v>554.70031333899249</v>
      </c>
      <c r="R154" s="19">
        <v>39.411181400949559</v>
      </c>
      <c r="S154" s="19">
        <v>1009.8035244888603</v>
      </c>
      <c r="T154" s="19">
        <v>1051.9149210652333</v>
      </c>
      <c r="U154" s="19">
        <v>49.23769039219556</v>
      </c>
      <c r="V154" s="19">
        <v>11.882386462560548</v>
      </c>
      <c r="W154" s="19">
        <v>44.547459535506889</v>
      </c>
      <c r="X154" s="19">
        <v>66.687602558744601</v>
      </c>
      <c r="Y154" s="19">
        <v>40.983733809018887</v>
      </c>
      <c r="Z154" s="19">
        <v>27.290080688247574</v>
      </c>
      <c r="AA154" s="19">
        <v>17.617757238042607</v>
      </c>
      <c r="AB154" s="19">
        <v>47.088276341701885</v>
      </c>
      <c r="AC154" s="19">
        <v>50.713630662804334</v>
      </c>
      <c r="AD154" s="19">
        <v>18.763297251083777</v>
      </c>
      <c r="AE154" s="19">
        <v>17.449070626956569</v>
      </c>
      <c r="AF154" s="19">
        <v>54.308872036805951</v>
      </c>
      <c r="AG154" s="19">
        <v>1257.441509133919</v>
      </c>
      <c r="AH154" s="19">
        <v>70.470063833757735</v>
      </c>
      <c r="AI154" s="19">
        <v>2429.0008994678951</v>
      </c>
      <c r="AJ154" s="19">
        <v>2732.6803433302061</v>
      </c>
      <c r="AK154" s="19">
        <v>1592.6772058617635</v>
      </c>
      <c r="AL154" s="19">
        <v>2705.4273530760402</v>
      </c>
      <c r="AM154" s="19">
        <v>302.16497840395198</v>
      </c>
      <c r="AN154" s="19">
        <v>3091.537129395826</v>
      </c>
      <c r="AO154" s="19"/>
      <c r="AP154" s="19">
        <v>1.0519024188653596</v>
      </c>
      <c r="AQ154" s="19">
        <v>0.93868220756363652</v>
      </c>
      <c r="AR154" s="19">
        <v>1.5848141857433202</v>
      </c>
      <c r="AS154" s="19">
        <v>1.1190411030714906</v>
      </c>
      <c r="AT154" s="19">
        <v>1.2906367527582185</v>
      </c>
      <c r="AU154" s="19">
        <v>0.91130571034287156</v>
      </c>
      <c r="AV154" s="19">
        <v>0.10989136987237208</v>
      </c>
      <c r="AW154" s="19">
        <v>0.41771662497824213</v>
      </c>
      <c r="AX154" s="19">
        <v>0.99963738015880499</v>
      </c>
      <c r="AY154" s="19">
        <v>0.38427347406656442</v>
      </c>
      <c r="AZ154" s="19">
        <v>0.25443141619537424</v>
      </c>
      <c r="BA154" s="19">
        <v>0.73833349082871069</v>
      </c>
      <c r="BB154" s="19">
        <v>0.17817984162938599</v>
      </c>
      <c r="BC154" s="19">
        <v>0.66800211472987603</v>
      </c>
      <c r="BD154" s="19">
        <v>0.87035960950482383</v>
      </c>
      <c r="BE154" s="19">
        <v>0.5795514894241135</v>
      </c>
      <c r="BF154" s="19">
        <v>0.37414317547317255</v>
      </c>
      <c r="BG154" s="19">
        <v>0.93380010964755322</v>
      </c>
      <c r="BH154" s="19">
        <v>0.34549230259040559</v>
      </c>
      <c r="BI154" s="19">
        <v>0.32129318788155031</v>
      </c>
    </row>
    <row r="155" spans="1:61" x14ac:dyDescent="0.55000000000000004">
      <c r="A155" s="19" t="s">
        <v>938</v>
      </c>
      <c r="B155" s="19" t="s">
        <v>939</v>
      </c>
      <c r="C155" s="19" t="s">
        <v>322</v>
      </c>
      <c r="D155" s="19" t="s">
        <v>9</v>
      </c>
      <c r="E155" s="19">
        <v>2222</v>
      </c>
      <c r="F155" s="19">
        <v>67.207747749257791</v>
      </c>
      <c r="G155" s="19">
        <v>31.218444820163306</v>
      </c>
      <c r="H155" s="19">
        <v>69367.384390402862</v>
      </c>
      <c r="I155" s="19">
        <v>43.475760769658521</v>
      </c>
      <c r="J155" s="19">
        <v>35.205207598873685</v>
      </c>
      <c r="K155" s="19">
        <v>28.297054277463211</v>
      </c>
      <c r="L155" s="19">
        <v>59.638627238354694</v>
      </c>
      <c r="M155" s="19">
        <v>31.282990731537687</v>
      </c>
      <c r="N155" s="19">
        <v>14.935803499322862</v>
      </c>
      <c r="O155" s="19">
        <v>13.312235825628965</v>
      </c>
      <c r="P155" s="19">
        <v>36.018508172041045</v>
      </c>
      <c r="Q155" s="19">
        <v>395.22406478574595</v>
      </c>
      <c r="R155" s="19">
        <v>30.698991797712821</v>
      </c>
      <c r="S155" s="19">
        <v>1166.7781745892303</v>
      </c>
      <c r="T155" s="19">
        <v>1170.768411185348</v>
      </c>
      <c r="U155" s="19">
        <v>22.669836991672014</v>
      </c>
      <c r="V155" s="19">
        <v>10.576663175997208</v>
      </c>
      <c r="W155" s="19">
        <v>39.441292083540809</v>
      </c>
      <c r="X155" s="19">
        <v>42.598411751500194</v>
      </c>
      <c r="Y155" s="19">
        <v>25.875221460404532</v>
      </c>
      <c r="Z155" s="19">
        <v>22.089161160169706</v>
      </c>
      <c r="AA155" s="19">
        <v>11.9638615987134</v>
      </c>
      <c r="AB155" s="19">
        <v>31.992652814829626</v>
      </c>
      <c r="AC155" s="19">
        <v>34.061336784851775</v>
      </c>
      <c r="AD155" s="19">
        <v>20.23473960529186</v>
      </c>
      <c r="AE155" s="19">
        <v>23.559578265164312</v>
      </c>
      <c r="AF155" s="19">
        <v>43.135649523766688</v>
      </c>
      <c r="AG155" s="19">
        <v>628.20517041807693</v>
      </c>
      <c r="AH155" s="19">
        <v>44.234812147944176</v>
      </c>
      <c r="AI155" s="19">
        <v>1388.194183795451</v>
      </c>
      <c r="AJ155" s="19">
        <v>1458.9516241404344</v>
      </c>
      <c r="AK155" s="19">
        <v>964.23441687549575</v>
      </c>
      <c r="AL155" s="19">
        <v>1569.9060419446328</v>
      </c>
      <c r="AM155" s="19">
        <v>1107.8435533983475</v>
      </c>
      <c r="AN155" s="19">
        <v>1595.2076508746295</v>
      </c>
      <c r="AO155" s="19"/>
      <c r="AP155" s="19">
        <v>1.9103650928772538</v>
      </c>
      <c r="AQ155" s="19">
        <v>1.1537572861021406</v>
      </c>
      <c r="AR155" s="19">
        <v>1.3645270287130644</v>
      </c>
      <c r="AS155" s="19">
        <v>1.0247996977148033</v>
      </c>
      <c r="AT155" s="19">
        <v>1.3817360144700841</v>
      </c>
      <c r="AU155" s="19">
        <v>0.72898661124276287</v>
      </c>
      <c r="AV155" s="19">
        <v>0.59030881878234398</v>
      </c>
      <c r="AW155" s="19">
        <v>0.47447527865404748</v>
      </c>
      <c r="AX155" s="19">
        <v>0.86852544203429138</v>
      </c>
      <c r="AY155" s="19">
        <v>0.41467024197622399</v>
      </c>
      <c r="AZ155" s="19">
        <v>0.36959431417990923</v>
      </c>
      <c r="BA155" s="19">
        <v>0.53217563893972286</v>
      </c>
      <c r="BB155" s="19">
        <v>0.2482877351788762</v>
      </c>
      <c r="BC155" s="19">
        <v>0.92588644650940066</v>
      </c>
      <c r="BD155" s="19">
        <v>0.80878636761283307</v>
      </c>
      <c r="BE155" s="19">
        <v>0.69044481206418329</v>
      </c>
      <c r="BF155" s="19">
        <v>0.37395653520697619</v>
      </c>
      <c r="BG155" s="19">
        <v>0.78963310303429679</v>
      </c>
      <c r="BH155" s="19">
        <v>0.46909551215040851</v>
      </c>
      <c r="BI155" s="19">
        <v>0.54617418597542067</v>
      </c>
    </row>
    <row r="156" spans="1:61" x14ac:dyDescent="0.55000000000000004">
      <c r="A156" s="19" t="s">
        <v>944</v>
      </c>
      <c r="B156" s="19" t="s">
        <v>945</v>
      </c>
      <c r="C156" s="19" t="s">
        <v>322</v>
      </c>
      <c r="D156" s="19" t="s">
        <v>9</v>
      </c>
      <c r="E156" s="19">
        <v>2570</v>
      </c>
      <c r="F156" s="19">
        <v>71.012161183670159</v>
      </c>
      <c r="G156" s="19">
        <v>33.529734010635714</v>
      </c>
      <c r="H156" s="19">
        <v>86171.416407333789</v>
      </c>
      <c r="I156" s="19">
        <v>39.235478559307168</v>
      </c>
      <c r="J156" s="19">
        <v>23.572635455356277</v>
      </c>
      <c r="K156" s="19">
        <v>22.774758757564477</v>
      </c>
      <c r="L156" s="19">
        <v>41.112434524253196</v>
      </c>
      <c r="M156" s="19">
        <v>37.707976647792066</v>
      </c>
      <c r="N156" s="19">
        <v>9.0238635332397354</v>
      </c>
      <c r="O156" s="19">
        <v>13.056207840232604</v>
      </c>
      <c r="P156" s="19">
        <v>37.917403142876573</v>
      </c>
      <c r="Q156" s="19">
        <v>574.16871705937263</v>
      </c>
      <c r="R156" s="19">
        <v>110.4907305860301</v>
      </c>
      <c r="S156" s="19">
        <v>921.68405201985206</v>
      </c>
      <c r="T156" s="19">
        <v>963.16239280390948</v>
      </c>
      <c r="U156" s="19">
        <v>28.801770035616912</v>
      </c>
      <c r="V156" s="19">
        <v>17.900430489147062</v>
      </c>
      <c r="W156" s="19">
        <v>53.386859557374301</v>
      </c>
      <c r="X156" s="19">
        <v>56.796617977300635</v>
      </c>
      <c r="Y156" s="19">
        <v>31.31299800604765</v>
      </c>
      <c r="Z156" s="19">
        <v>19.117784748017574</v>
      </c>
      <c r="AA156" s="19">
        <v>78.520078919144524</v>
      </c>
      <c r="AB156" s="19">
        <v>83.057643134813617</v>
      </c>
      <c r="AC156" s="19">
        <v>36.274757552891927</v>
      </c>
      <c r="AD156" s="19">
        <v>17.16951515178593</v>
      </c>
      <c r="AE156" s="19">
        <v>23.665012086719919</v>
      </c>
      <c r="AF156" s="19">
        <v>41.610712355427779</v>
      </c>
      <c r="AG156" s="19">
        <v>638.66665329674538</v>
      </c>
      <c r="AH156" s="19">
        <v>36.130137088971338</v>
      </c>
      <c r="AI156" s="19">
        <v>1958.075423659079</v>
      </c>
      <c r="AJ156" s="19">
        <v>2055.6487503534327</v>
      </c>
      <c r="AK156" s="19">
        <v>2357.5168109931733</v>
      </c>
      <c r="AL156" s="19">
        <v>654.86079869810499</v>
      </c>
      <c r="AM156" s="19">
        <v>2743.6486512658985</v>
      </c>
      <c r="AN156" s="19">
        <v>3557.4085470743912</v>
      </c>
      <c r="AO156" s="19"/>
      <c r="AP156" s="19">
        <v>1.226148543594537</v>
      </c>
      <c r="AQ156" s="19">
        <v>1.1308590497869466</v>
      </c>
      <c r="AR156" s="19">
        <v>1.6939179403953699</v>
      </c>
      <c r="AS156" s="19">
        <v>2.4771339703579973</v>
      </c>
      <c r="AT156" s="19">
        <v>1.2410093185418281</v>
      </c>
      <c r="AU156" s="19">
        <v>0.95434578402700121</v>
      </c>
      <c r="AV156" s="19">
        <v>0.57336997256755062</v>
      </c>
      <c r="AW156" s="19">
        <v>0.55396278573892554</v>
      </c>
      <c r="AX156" s="19">
        <v>0.99447677114660604</v>
      </c>
      <c r="AY156" s="19">
        <v>0.23798738271281167</v>
      </c>
      <c r="AZ156" s="19">
        <v>0.34433285926875068</v>
      </c>
      <c r="BA156" s="19">
        <v>0.50710361041440599</v>
      </c>
      <c r="BB156" s="19">
        <v>0.31516718999538246</v>
      </c>
      <c r="BC156" s="19">
        <v>0.93996546728734653</v>
      </c>
      <c r="BD156" s="19">
        <v>0.37700320914744095</v>
      </c>
      <c r="BE156" s="19">
        <v>0.23017490054451537</v>
      </c>
      <c r="BF156" s="19">
        <v>0.94536849295971448</v>
      </c>
      <c r="BG156" s="19">
        <v>0.87176487734798846</v>
      </c>
      <c r="BH156" s="19">
        <v>0.41262247579730044</v>
      </c>
      <c r="BI156" s="19">
        <v>0.56872403155657614</v>
      </c>
    </row>
    <row r="157" spans="1:61" x14ac:dyDescent="0.55000000000000004">
      <c r="A157" s="19" t="s">
        <v>946</v>
      </c>
      <c r="B157" s="19" t="s">
        <v>947</v>
      </c>
      <c r="C157" s="19" t="s">
        <v>322</v>
      </c>
      <c r="D157" s="19" t="s">
        <v>9</v>
      </c>
      <c r="E157" s="19">
        <v>2172</v>
      </c>
      <c r="F157" s="19">
        <v>71.209368129468913</v>
      </c>
      <c r="G157" s="19">
        <v>54.715823275531868</v>
      </c>
      <c r="H157" s="19">
        <v>118842.76815445522</v>
      </c>
      <c r="I157" s="19">
        <v>34.684496539408762</v>
      </c>
      <c r="J157" s="19">
        <v>14.445648100940941</v>
      </c>
      <c r="K157" s="19">
        <v>22.782133046134383</v>
      </c>
      <c r="L157" s="19">
        <v>40.499015920681224</v>
      </c>
      <c r="M157" s="19">
        <v>38.370241221932673</v>
      </c>
      <c r="N157" s="19">
        <v>11.758284177037414</v>
      </c>
      <c r="O157" s="19">
        <v>5.3686646605692125</v>
      </c>
      <c r="P157" s="19">
        <v>39.689910759843045</v>
      </c>
      <c r="Q157" s="19">
        <v>499.15005464928555</v>
      </c>
      <c r="R157" s="19">
        <v>55.930710706526277</v>
      </c>
      <c r="S157" s="19">
        <v>776.82666678528517</v>
      </c>
      <c r="T157" s="19">
        <v>782.18563758015955</v>
      </c>
      <c r="U157" s="19">
        <v>22.569053745473582</v>
      </c>
      <c r="V157" s="19">
        <v>19.342896793145965</v>
      </c>
      <c r="W157" s="19">
        <v>53.883083466704662</v>
      </c>
      <c r="X157" s="19">
        <v>60.517369694895429</v>
      </c>
      <c r="Y157" s="19">
        <v>22.87461370833266</v>
      </c>
      <c r="Z157" s="19">
        <v>40.566889552057702</v>
      </c>
      <c r="AA157" s="19">
        <v>12.184452706172484</v>
      </c>
      <c r="AB157" s="19">
        <v>45.213039421875969</v>
      </c>
      <c r="AC157" s="19">
        <v>40.601717605109435</v>
      </c>
      <c r="AD157" s="19">
        <v>24.134251875872287</v>
      </c>
      <c r="AE157" s="19">
        <v>28.368048894100927</v>
      </c>
      <c r="AF157" s="19">
        <v>48.410286746414428</v>
      </c>
      <c r="AG157" s="19">
        <v>726.00766519782655</v>
      </c>
      <c r="AH157" s="19">
        <v>47.861797063219555</v>
      </c>
      <c r="AI157" s="19">
        <v>1961.9081264641541</v>
      </c>
      <c r="AJ157" s="19">
        <v>2073.3969811714351</v>
      </c>
      <c r="AK157" s="19">
        <v>940.51161538820645</v>
      </c>
      <c r="AL157" s="19">
        <v>2093.1283435851633</v>
      </c>
      <c r="AM157" s="19">
        <v>1663.1555626474635</v>
      </c>
      <c r="AN157" s="19">
        <v>2093.1286118135549</v>
      </c>
      <c r="AO157" s="19"/>
      <c r="AP157" s="19">
        <v>0.74017009150608548</v>
      </c>
      <c r="AQ157" s="19">
        <v>0.72538268427356012</v>
      </c>
      <c r="AR157" s="19">
        <v>1.1060305058401256</v>
      </c>
      <c r="AS157" s="19">
        <v>0.8263247579077293</v>
      </c>
      <c r="AT157" s="19">
        <v>0.88475844551648763</v>
      </c>
      <c r="AU157" s="19">
        <v>0.85642813166965814</v>
      </c>
      <c r="AV157" s="19">
        <v>0.35669133613600046</v>
      </c>
      <c r="AW157" s="19">
        <v>0.56253547223848621</v>
      </c>
      <c r="AX157" s="19">
        <v>0.96675050377675398</v>
      </c>
      <c r="AY157" s="19">
        <v>0.2962537317905502</v>
      </c>
      <c r="AZ157" s="19">
        <v>0.1352652237757373</v>
      </c>
      <c r="BA157" s="19">
        <v>0.37293514009709605</v>
      </c>
      <c r="BB157" s="19">
        <v>0.31962553710885283</v>
      </c>
      <c r="BC157" s="19">
        <v>0.89037385032366401</v>
      </c>
      <c r="BD157" s="19">
        <v>0.50592957254859894</v>
      </c>
      <c r="BE157" s="19">
        <v>0.89723871853723991</v>
      </c>
      <c r="BF157" s="19">
        <v>0.26948979458074507</v>
      </c>
      <c r="BG157" s="19">
        <v>0.83870020885833019</v>
      </c>
      <c r="BH157" s="19">
        <v>0.49853561087736836</v>
      </c>
      <c r="BI157" s="19">
        <v>0.58599216820796962</v>
      </c>
    </row>
    <row r="158" spans="1:61" x14ac:dyDescent="0.55000000000000004">
      <c r="A158" s="19" t="s">
        <v>948</v>
      </c>
      <c r="B158" s="19" t="s">
        <v>949</v>
      </c>
      <c r="C158" s="19" t="s">
        <v>322</v>
      </c>
      <c r="D158" s="19" t="s">
        <v>9</v>
      </c>
      <c r="E158" s="19">
        <v>2525</v>
      </c>
      <c r="F158" s="19">
        <v>68.46794079989283</v>
      </c>
      <c r="G158" s="19">
        <v>31.801326617828092</v>
      </c>
      <c r="H158" s="19">
        <v>80298.349710015929</v>
      </c>
      <c r="I158" s="19">
        <v>37.768498220956033</v>
      </c>
      <c r="J158" s="19">
        <v>8.5021196114141517</v>
      </c>
      <c r="K158" s="19">
        <v>21.397335555241312</v>
      </c>
      <c r="L158" s="19">
        <v>40.46833252384404</v>
      </c>
      <c r="M158" s="19">
        <v>33.363304503469848</v>
      </c>
      <c r="N158" s="19">
        <v>12.002318136775267</v>
      </c>
      <c r="O158" s="19">
        <v>5.9131627614010096</v>
      </c>
      <c r="P158" s="19">
        <v>35.427314710497441</v>
      </c>
      <c r="Q158" s="19">
        <v>455.53951362843736</v>
      </c>
      <c r="R158" s="19">
        <v>68.760895490939177</v>
      </c>
      <c r="S158" s="19">
        <v>820.91048437928202</v>
      </c>
      <c r="T158" s="19">
        <v>835.20355730300037</v>
      </c>
      <c r="U158" s="19">
        <v>22.299254483811854</v>
      </c>
      <c r="V158" s="19">
        <v>15.445438690995028</v>
      </c>
      <c r="W158" s="19">
        <v>42.611421350146919</v>
      </c>
      <c r="X158" s="19">
        <v>49.421094443864568</v>
      </c>
      <c r="Y158" s="19">
        <v>24.835710574624549</v>
      </c>
      <c r="Z158" s="19">
        <v>33.302270515144968</v>
      </c>
      <c r="AA158" s="19">
        <v>36.207373027024914</v>
      </c>
      <c r="AB158" s="19">
        <v>49.972237166746801</v>
      </c>
      <c r="AC158" s="19">
        <v>30.239550820396779</v>
      </c>
      <c r="AD158" s="19">
        <v>21.129083062591505</v>
      </c>
      <c r="AE158" s="19">
        <v>24.327577135998602</v>
      </c>
      <c r="AF158" s="19">
        <v>43.079449101164833</v>
      </c>
      <c r="AG158" s="19">
        <v>713.27186634069449</v>
      </c>
      <c r="AH158" s="19">
        <v>29.934121512332645</v>
      </c>
      <c r="AI158" s="19">
        <v>1605.5043081343426</v>
      </c>
      <c r="AJ158" s="19">
        <v>1749.0181674811499</v>
      </c>
      <c r="AK158" s="19">
        <v>816.24064653849223</v>
      </c>
      <c r="AL158" s="19">
        <v>1521.0118504895215</v>
      </c>
      <c r="AM158" s="19">
        <v>736.4534023969361</v>
      </c>
      <c r="AN158" s="19">
        <v>1537.492874363161</v>
      </c>
      <c r="AO158" s="19"/>
      <c r="AP158" s="19">
        <v>1.2725359860037144</v>
      </c>
      <c r="AQ158" s="19">
        <v>1.1140200261531414</v>
      </c>
      <c r="AR158" s="19">
        <v>1.5540576353238889</v>
      </c>
      <c r="AS158" s="19">
        <v>1.5713884444912416</v>
      </c>
      <c r="AT158" s="19">
        <v>1.3546431448873624</v>
      </c>
      <c r="AU158" s="19">
        <v>0.93328525949772556</v>
      </c>
      <c r="AV158" s="19">
        <v>0.21009315386060648</v>
      </c>
      <c r="AW158" s="19">
        <v>0.52874270375815335</v>
      </c>
      <c r="AX158" s="19">
        <v>0.94173958077562092</v>
      </c>
      <c r="AY158" s="19">
        <v>0.33878712611596468</v>
      </c>
      <c r="AZ158" s="19">
        <v>0.16690970822151768</v>
      </c>
      <c r="BA158" s="19">
        <v>0.45120924040119509</v>
      </c>
      <c r="BB158" s="19">
        <v>0.31252724903813855</v>
      </c>
      <c r="BC158" s="19">
        <v>0.86221120413566554</v>
      </c>
      <c r="BD158" s="19">
        <v>0.49699016859607525</v>
      </c>
      <c r="BE158" s="19">
        <v>0.66641544191872626</v>
      </c>
      <c r="BF158" s="19">
        <v>0.7245497716303666</v>
      </c>
      <c r="BG158" s="19">
        <v>0.70194841046793066</v>
      </c>
      <c r="BH158" s="19">
        <v>0.49046781013780866</v>
      </c>
      <c r="BI158" s="19">
        <v>0.56471421161559854</v>
      </c>
    </row>
    <row r="159" spans="1:61" x14ac:dyDescent="0.55000000000000004">
      <c r="A159" s="19" t="s">
        <v>950</v>
      </c>
      <c r="B159" s="19" t="s">
        <v>951</v>
      </c>
      <c r="C159" s="19" t="s">
        <v>322</v>
      </c>
      <c r="D159" s="19" t="s">
        <v>9</v>
      </c>
      <c r="E159" s="19">
        <v>2876</v>
      </c>
      <c r="F159" s="19">
        <v>69.409473248385936</v>
      </c>
      <c r="G159" s="19">
        <v>27.947334849318423</v>
      </c>
      <c r="H159" s="19">
        <v>80376.535026639787</v>
      </c>
      <c r="I159" s="19">
        <v>35.874691019069651</v>
      </c>
      <c r="J159" s="19">
        <v>12.462128945013415</v>
      </c>
      <c r="K159" s="19">
        <v>29.093393626761191</v>
      </c>
      <c r="L159" s="19">
        <v>37.678345220209152</v>
      </c>
      <c r="M159" s="19">
        <v>38.288216273162057</v>
      </c>
      <c r="N159" s="19">
        <v>7.3330764444268661</v>
      </c>
      <c r="O159" s="19">
        <v>19.393789167802975</v>
      </c>
      <c r="P159" s="19">
        <v>39.003724924157567</v>
      </c>
      <c r="Q159" s="19">
        <v>445.09395826082834</v>
      </c>
      <c r="R159" s="19">
        <v>426.77737824035518</v>
      </c>
      <c r="S159" s="19">
        <v>1058.94242607619</v>
      </c>
      <c r="T159" s="19">
        <v>1069.0687780835356</v>
      </c>
      <c r="U159" s="19">
        <v>29.721390596474631</v>
      </c>
      <c r="V159" s="19">
        <v>9.3166295522502427</v>
      </c>
      <c r="W159" s="19">
        <v>45.645227262197082</v>
      </c>
      <c r="X159" s="19">
        <v>48.632218323885418</v>
      </c>
      <c r="Y159" s="19">
        <v>24.487277048427341</v>
      </c>
      <c r="Z159" s="19">
        <v>18.906513251842725</v>
      </c>
      <c r="AA159" s="19">
        <v>20.115065886105498</v>
      </c>
      <c r="AB159" s="19">
        <v>35.03829732781756</v>
      </c>
      <c r="AC159" s="19">
        <v>30.402228981285425</v>
      </c>
      <c r="AD159" s="19">
        <v>15.81602669790237</v>
      </c>
      <c r="AE159" s="19">
        <v>20.896769824938268</v>
      </c>
      <c r="AF159" s="19">
        <v>36.923588531638103</v>
      </c>
      <c r="AG159" s="19">
        <v>554.34745714972382</v>
      </c>
      <c r="AH159" s="19">
        <v>98.757983239745187</v>
      </c>
      <c r="AI159" s="19">
        <v>1626.1899586855873</v>
      </c>
      <c r="AJ159" s="19">
        <v>1700.237594581017</v>
      </c>
      <c r="AK159" s="19">
        <v>2083.3351460699078</v>
      </c>
      <c r="AL159" s="19">
        <v>822.34610103381124</v>
      </c>
      <c r="AM159" s="19">
        <v>2518.3056624987053</v>
      </c>
      <c r="AN159" s="19">
        <v>3257.1678568787074</v>
      </c>
      <c r="AO159" s="19"/>
      <c r="AP159" s="19">
        <v>1.3481909965067045</v>
      </c>
      <c r="AQ159" s="19">
        <v>1.3956151860079347</v>
      </c>
      <c r="AR159" s="19">
        <v>1.7401379625675275</v>
      </c>
      <c r="AS159" s="19">
        <v>1.2537258925307531</v>
      </c>
      <c r="AT159" s="19">
        <v>1.3211846042106083</v>
      </c>
      <c r="AU159" s="19">
        <v>0.95213021722163915</v>
      </c>
      <c r="AV159" s="19">
        <v>0.33075043163862805</v>
      </c>
      <c r="AW159" s="19">
        <v>0.77215157557282166</v>
      </c>
      <c r="AX159" s="19">
        <v>0.98165537644451106</v>
      </c>
      <c r="AY159" s="19">
        <v>0.18800964417336999</v>
      </c>
      <c r="AZ159" s="19">
        <v>0.49722915453624095</v>
      </c>
      <c r="BA159" s="19">
        <v>0.61114610068850495</v>
      </c>
      <c r="BB159" s="19">
        <v>0.19157319722087274</v>
      </c>
      <c r="BC159" s="19">
        <v>0.93857999563591177</v>
      </c>
      <c r="BD159" s="19">
        <v>0.69887177505587394</v>
      </c>
      <c r="BE159" s="19">
        <v>0.5395956622821535</v>
      </c>
      <c r="BF159" s="19">
        <v>0.57408799571250202</v>
      </c>
      <c r="BG159" s="19">
        <v>0.82338229273774866</v>
      </c>
      <c r="BH159" s="19">
        <v>0.42834478789488062</v>
      </c>
      <c r="BI159" s="19">
        <v>0.56594634096934537</v>
      </c>
    </row>
    <row r="160" spans="1:61" x14ac:dyDescent="0.55000000000000004">
      <c r="A160" s="19" t="s">
        <v>952</v>
      </c>
      <c r="B160" s="19" t="s">
        <v>953</v>
      </c>
      <c r="C160" s="19" t="s">
        <v>322</v>
      </c>
      <c r="D160" s="19" t="s">
        <v>9</v>
      </c>
      <c r="E160" s="19">
        <v>2272</v>
      </c>
      <c r="F160" s="19">
        <v>71.467565022296782</v>
      </c>
      <c r="G160" s="19">
        <v>41.796280417697595</v>
      </c>
      <c r="H160" s="19">
        <v>94961.14910900894</v>
      </c>
      <c r="I160" s="19">
        <v>46.841139683990662</v>
      </c>
      <c r="J160" s="19">
        <v>23.647205030026132</v>
      </c>
      <c r="K160" s="19">
        <v>30.632147687308851</v>
      </c>
      <c r="L160" s="19">
        <v>51.135842340468194</v>
      </c>
      <c r="M160" s="19">
        <v>35.732064813649686</v>
      </c>
      <c r="N160" s="19">
        <v>14.00588677202555</v>
      </c>
      <c r="O160" s="19">
        <v>18.049335278934532</v>
      </c>
      <c r="P160" s="19">
        <v>38.730187921197626</v>
      </c>
      <c r="Q160" s="19">
        <v>686.46870777347567</v>
      </c>
      <c r="R160" s="19">
        <v>561.8545334886951</v>
      </c>
      <c r="S160" s="19">
        <v>1418.6066002941643</v>
      </c>
      <c r="T160" s="19">
        <v>1432.9277340211481</v>
      </c>
      <c r="U160" s="19">
        <v>31.496725783945266</v>
      </c>
      <c r="V160" s="19">
        <v>10.723367582204357</v>
      </c>
      <c r="W160" s="19">
        <v>59.934708543887879</v>
      </c>
      <c r="X160" s="19">
        <v>64.698507767402276</v>
      </c>
      <c r="Y160" s="19">
        <v>34.106432114297448</v>
      </c>
      <c r="Z160" s="19">
        <v>22.30319965841959</v>
      </c>
      <c r="AA160" s="19">
        <v>48.256191631351896</v>
      </c>
      <c r="AB160" s="19">
        <v>56.457987926048297</v>
      </c>
      <c r="AC160" s="19">
        <v>40.919309295763306</v>
      </c>
      <c r="AD160" s="19">
        <v>34.30222908389603</v>
      </c>
      <c r="AE160" s="19">
        <v>32.824776923578753</v>
      </c>
      <c r="AF160" s="19">
        <v>60.85492934989454</v>
      </c>
      <c r="AG160" s="19">
        <v>980.92888172149355</v>
      </c>
      <c r="AH160" s="19">
        <v>48.818463677784464</v>
      </c>
      <c r="AI160" s="19">
        <v>2204.147341122633</v>
      </c>
      <c r="AJ160" s="19">
        <v>2341.9880064659642</v>
      </c>
      <c r="AK160" s="19">
        <v>2372.6289563128453</v>
      </c>
      <c r="AL160" s="19">
        <v>1088.2988839953759</v>
      </c>
      <c r="AM160" s="19">
        <v>2828.1031945912082</v>
      </c>
      <c r="AN160" s="19">
        <v>3687.6335642865206</v>
      </c>
      <c r="AO160" s="19"/>
      <c r="AP160" s="19">
        <v>1.2234543798977862</v>
      </c>
      <c r="AQ160" s="19">
        <v>0.92664197708842755</v>
      </c>
      <c r="AR160" s="19">
        <v>1.5479489351881968</v>
      </c>
      <c r="AS160" s="19">
        <v>1.3507897679369232</v>
      </c>
      <c r="AT160" s="19">
        <v>1.4559891153406808</v>
      </c>
      <c r="AU160" s="19">
        <v>0.91601384743243464</v>
      </c>
      <c r="AV160" s="19">
        <v>0.46243894590765472</v>
      </c>
      <c r="AW160" s="19">
        <v>0.59903477258390625</v>
      </c>
      <c r="AX160" s="19">
        <v>0.92258950269882323</v>
      </c>
      <c r="AY160" s="19">
        <v>0.36162713180020262</v>
      </c>
      <c r="AZ160" s="19">
        <v>0.4660275678408432</v>
      </c>
      <c r="BA160" s="19">
        <v>0.48682306394421337</v>
      </c>
      <c r="BB160" s="19">
        <v>0.16574366167386667</v>
      </c>
      <c r="BC160" s="19">
        <v>0.92636925660417491</v>
      </c>
      <c r="BD160" s="19">
        <v>0.60410286245007316</v>
      </c>
      <c r="BE160" s="19">
        <v>0.39504063955721408</v>
      </c>
      <c r="BF160" s="19">
        <v>0.85472744254649047</v>
      </c>
      <c r="BG160" s="19">
        <v>0.67240747352595875</v>
      </c>
      <c r="BH160" s="19">
        <v>0.56367215360107015</v>
      </c>
      <c r="BI160" s="19">
        <v>0.53939388763148133</v>
      </c>
    </row>
    <row r="161" spans="1:61" x14ac:dyDescent="0.55000000000000004">
      <c r="A161" s="19" t="s">
        <v>958</v>
      </c>
      <c r="B161" s="19" t="s">
        <v>959</v>
      </c>
      <c r="C161" s="19" t="s">
        <v>322</v>
      </c>
      <c r="D161" s="19" t="s">
        <v>9</v>
      </c>
      <c r="E161" s="19">
        <v>2148</v>
      </c>
      <c r="F161" s="19">
        <v>68.743418844204072</v>
      </c>
      <c r="G161" s="19">
        <v>47.397939333352632</v>
      </c>
      <c r="H161" s="19">
        <v>101810.77368804146</v>
      </c>
      <c r="I161" s="19">
        <v>34.05002169257115</v>
      </c>
      <c r="J161" s="19">
        <v>12.040210996996022</v>
      </c>
      <c r="K161" s="19">
        <v>27.949740148492076</v>
      </c>
      <c r="L161" s="19">
        <v>43.797017346217608</v>
      </c>
      <c r="M161" s="19">
        <v>39.311516912630459</v>
      </c>
      <c r="N161" s="19">
        <v>18.773233283330626</v>
      </c>
      <c r="O161" s="19">
        <v>11.783386118208718</v>
      </c>
      <c r="P161" s="19">
        <v>44.466934827952684</v>
      </c>
      <c r="Q161" s="19">
        <v>531.00617894901075</v>
      </c>
      <c r="R161" s="19">
        <v>122.94589970532709</v>
      </c>
      <c r="S161" s="19">
        <v>1144.5809728511458</v>
      </c>
      <c r="T161" s="19">
        <v>1198.9477669535941</v>
      </c>
      <c r="U161" s="19">
        <v>51.422088093843357</v>
      </c>
      <c r="V161" s="19">
        <v>24.384591184872416</v>
      </c>
      <c r="W161" s="19">
        <v>72.382048350336305</v>
      </c>
      <c r="X161" s="19">
        <v>72.930971515042771</v>
      </c>
      <c r="Y161" s="19">
        <v>38.075992815866826</v>
      </c>
      <c r="Z161" s="19">
        <v>26.579933804377163</v>
      </c>
      <c r="AA161" s="19">
        <v>64.044422432579125</v>
      </c>
      <c r="AB161" s="19">
        <v>70.635379284471526</v>
      </c>
      <c r="AC161" s="19">
        <v>49.651659595107418</v>
      </c>
      <c r="AD161" s="19">
        <v>21.276470267246435</v>
      </c>
      <c r="AE161" s="19">
        <v>40.046358932853572</v>
      </c>
      <c r="AF161" s="19">
        <v>58.43533576666939</v>
      </c>
      <c r="AG161" s="19">
        <v>914.36615586315713</v>
      </c>
      <c r="AH161" s="19">
        <v>864.93151646130423</v>
      </c>
      <c r="AI161" s="19">
        <v>2534.658015297603</v>
      </c>
      <c r="AJ161" s="19">
        <v>2580.9771794355706</v>
      </c>
      <c r="AK161" s="19">
        <v>715.51692020376458</v>
      </c>
      <c r="AL161" s="19">
        <v>3717.7736287681209</v>
      </c>
      <c r="AM161" s="19">
        <v>1195.3630776607802</v>
      </c>
      <c r="AN161" s="19">
        <v>3767.8979335775757</v>
      </c>
      <c r="AO161" s="19"/>
      <c r="AP161" s="19">
        <v>0.92402787889554616</v>
      </c>
      <c r="AQ161" s="19">
        <v>0.93816177355758001</v>
      </c>
      <c r="AR161" s="19">
        <v>1.5386949842294777</v>
      </c>
      <c r="AS161" s="19">
        <v>1.4902626628488751</v>
      </c>
      <c r="AT161" s="19">
        <v>1.2328665884752936</v>
      </c>
      <c r="AU161" s="19">
        <v>0.77745069769030228</v>
      </c>
      <c r="AV161" s="19">
        <v>0.27490938256862457</v>
      </c>
      <c r="AW161" s="19">
        <v>0.63816537842173093</v>
      </c>
      <c r="AX161" s="19">
        <v>0.88406176555076066</v>
      </c>
      <c r="AY161" s="19">
        <v>0.42218410951792085</v>
      </c>
      <c r="AZ161" s="19">
        <v>0.26499209274936297</v>
      </c>
      <c r="BA161" s="19">
        <v>0.70507888522007445</v>
      </c>
      <c r="BB161" s="19">
        <v>0.33435165716725496</v>
      </c>
      <c r="BC161" s="19">
        <v>0.99247338746072722</v>
      </c>
      <c r="BD161" s="19">
        <v>0.53904988125741471</v>
      </c>
      <c r="BE161" s="19">
        <v>0.37629774305212083</v>
      </c>
      <c r="BF161" s="19">
        <v>0.90669043022550377</v>
      </c>
      <c r="BG161" s="19">
        <v>0.84968553604902797</v>
      </c>
      <c r="BH161" s="19">
        <v>0.36410281532740341</v>
      </c>
      <c r="BI161" s="19">
        <v>0.6853106670381347</v>
      </c>
    </row>
    <row r="162" spans="1:61" x14ac:dyDescent="0.55000000000000004">
      <c r="A162" s="19" t="s">
        <v>960</v>
      </c>
      <c r="B162" s="19" t="s">
        <v>961</v>
      </c>
      <c r="C162" s="19" t="s">
        <v>322</v>
      </c>
      <c r="D162" s="19" t="s">
        <v>9</v>
      </c>
      <c r="E162" s="19">
        <v>2338</v>
      </c>
      <c r="F162" s="19">
        <v>66.539051806514337</v>
      </c>
      <c r="G162" s="19">
        <v>27.898498838890063</v>
      </c>
      <c r="H162" s="19">
        <v>65226.69028532497</v>
      </c>
      <c r="I162" s="19">
        <v>21.977768119352692</v>
      </c>
      <c r="J162" s="19">
        <v>9.1112801529452589</v>
      </c>
      <c r="K162" s="19">
        <v>17.605606895660255</v>
      </c>
      <c r="L162" s="19">
        <v>29.273602707204525</v>
      </c>
      <c r="M162" s="19">
        <v>28.4773300428452</v>
      </c>
      <c r="N162" s="19">
        <v>12.379252622266286</v>
      </c>
      <c r="O162" s="19">
        <v>7.04787247157621</v>
      </c>
      <c r="P162" s="19">
        <v>29.467038978471098</v>
      </c>
      <c r="Q162" s="19">
        <v>428.83363433033327</v>
      </c>
      <c r="R162" s="19">
        <v>135.84923785351569</v>
      </c>
      <c r="S162" s="19">
        <v>764.67784488053644</v>
      </c>
      <c r="T162" s="19">
        <v>772.43508123313165</v>
      </c>
      <c r="U162" s="19">
        <v>30.355231044436646</v>
      </c>
      <c r="V162" s="19">
        <v>14.126840829938216</v>
      </c>
      <c r="W162" s="19">
        <v>33.608877864180137</v>
      </c>
      <c r="X162" s="19">
        <v>41.559647997909138</v>
      </c>
      <c r="Y162" s="19">
        <v>19.929249564115882</v>
      </c>
      <c r="Z162" s="19">
        <v>22.693396936770537</v>
      </c>
      <c r="AA162" s="19">
        <v>22.119745675335501</v>
      </c>
      <c r="AB162" s="19">
        <v>33.706009574110809</v>
      </c>
      <c r="AC162" s="19">
        <v>25.806740193155633</v>
      </c>
      <c r="AD162" s="19">
        <v>13.298284926451203</v>
      </c>
      <c r="AE162" s="19">
        <v>20.753088028400445</v>
      </c>
      <c r="AF162" s="19">
        <v>32.607908749477211</v>
      </c>
      <c r="AG162" s="19">
        <v>674.72395911459841</v>
      </c>
      <c r="AH162" s="19">
        <v>246.65953021089308</v>
      </c>
      <c r="AI162" s="19">
        <v>1073.9182674981857</v>
      </c>
      <c r="AJ162" s="19">
        <v>1258.6026465335183</v>
      </c>
      <c r="AK162" s="19">
        <v>517.88160505041026</v>
      </c>
      <c r="AL162" s="19">
        <v>1707.1878720631994</v>
      </c>
      <c r="AM162" s="19">
        <v>586.96664778502009</v>
      </c>
      <c r="AN162" s="19">
        <v>1708.2732942063947</v>
      </c>
      <c r="AO162" s="19"/>
      <c r="AP162" s="19">
        <v>1.0492895290264719</v>
      </c>
      <c r="AQ162" s="19">
        <v>1.0562231017747277</v>
      </c>
      <c r="AR162" s="19">
        <v>1.4896732701608895</v>
      </c>
      <c r="AS162" s="19">
        <v>1.2081657070066139</v>
      </c>
      <c r="AT162" s="19">
        <v>1.1688051367130301</v>
      </c>
      <c r="AU162" s="19">
        <v>0.75077086818370142</v>
      </c>
      <c r="AV162" s="19">
        <v>0.31124560390043426</v>
      </c>
      <c r="AW162" s="19">
        <v>0.60141578990984057</v>
      </c>
      <c r="AX162" s="19">
        <v>0.96641301705444549</v>
      </c>
      <c r="AY162" s="19">
        <v>0.42010507507424438</v>
      </c>
      <c r="AZ162" s="19">
        <v>0.23917817045429821</v>
      </c>
      <c r="BA162" s="19">
        <v>0.73040154348669684</v>
      </c>
      <c r="BB162" s="19">
        <v>0.3399172396900218</v>
      </c>
      <c r="BC162" s="19">
        <v>0.80869014737254263</v>
      </c>
      <c r="BD162" s="19">
        <v>0.59126695256810535</v>
      </c>
      <c r="BE162" s="19">
        <v>0.67327450574870396</v>
      </c>
      <c r="BF162" s="19">
        <v>0.65625524809455404</v>
      </c>
      <c r="BG162" s="19">
        <v>0.79142579769300236</v>
      </c>
      <c r="BH162" s="19">
        <v>0.40782391255509165</v>
      </c>
      <c r="BI162" s="19">
        <v>0.63644339132092209</v>
      </c>
    </row>
    <row r="163" spans="1:61" x14ac:dyDescent="0.55000000000000004">
      <c r="A163" s="19" t="s">
        <v>962</v>
      </c>
      <c r="B163" s="19" t="s">
        <v>963</v>
      </c>
      <c r="C163" s="19" t="s">
        <v>322</v>
      </c>
      <c r="D163" s="19" t="s">
        <v>9</v>
      </c>
      <c r="E163" s="19">
        <v>2567</v>
      </c>
      <c r="F163" s="19">
        <v>67.253067645970788</v>
      </c>
      <c r="G163" s="19">
        <v>31.241883533937447</v>
      </c>
      <c r="H163" s="19">
        <v>80197.91503161742</v>
      </c>
      <c r="I163" s="19">
        <v>20.052558825295716</v>
      </c>
      <c r="J163" s="19">
        <v>19.618313613612564</v>
      </c>
      <c r="K163" s="19">
        <v>27.046006458094464</v>
      </c>
      <c r="L163" s="19">
        <v>35.861086163732523</v>
      </c>
      <c r="M163" s="19">
        <v>23.788762247396281</v>
      </c>
      <c r="N163" s="19">
        <v>12.788868760569896</v>
      </c>
      <c r="O163" s="19">
        <v>17.085285385508236</v>
      </c>
      <c r="P163" s="19">
        <v>30.163753417004568</v>
      </c>
      <c r="Q163" s="19">
        <v>327.9898888216544</v>
      </c>
      <c r="R163" s="19">
        <v>48.747078377046591</v>
      </c>
      <c r="S163" s="19">
        <v>1030.4508958032688</v>
      </c>
      <c r="T163" s="19">
        <v>1042.2086109863997</v>
      </c>
      <c r="U163" s="19">
        <v>31.296394336538896</v>
      </c>
      <c r="V163" s="19">
        <v>14.541560313941206</v>
      </c>
      <c r="W163" s="19">
        <v>35.024747893131</v>
      </c>
      <c r="X163" s="19">
        <v>42.532851506457035</v>
      </c>
      <c r="Y163" s="19">
        <v>21.362151564067439</v>
      </c>
      <c r="Z163" s="19">
        <v>24.604610353090109</v>
      </c>
      <c r="AA163" s="19">
        <v>5.9623783008429827</v>
      </c>
      <c r="AB163" s="19">
        <v>32.292475212848409</v>
      </c>
      <c r="AC163" s="19">
        <v>29.826071261430897</v>
      </c>
      <c r="AD163" s="19">
        <v>13.801363406421292</v>
      </c>
      <c r="AE163" s="19">
        <v>18.41752929333374</v>
      </c>
      <c r="AF163" s="19">
        <v>36.940641258546229</v>
      </c>
      <c r="AG163" s="19">
        <v>767.23816470688303</v>
      </c>
      <c r="AH163" s="19">
        <v>304.3514336595461</v>
      </c>
      <c r="AI163" s="19">
        <v>1061.0705426644697</v>
      </c>
      <c r="AJ163" s="19">
        <v>1306.4618898409062</v>
      </c>
      <c r="AK163" s="19">
        <v>572.18379044112169</v>
      </c>
      <c r="AL163" s="19">
        <v>1383.7940007933912</v>
      </c>
      <c r="AM163" s="19">
        <v>710.12762755109065</v>
      </c>
      <c r="AN163" s="19">
        <v>1415.2025480678717</v>
      </c>
      <c r="AO163" s="19"/>
      <c r="AP163" s="19">
        <v>1.1478528855271266</v>
      </c>
      <c r="AQ163" s="19">
        <v>0.96549087330916761</v>
      </c>
      <c r="AR163" s="19">
        <v>1.361404841684863</v>
      </c>
      <c r="AS163" s="19">
        <v>1.0336276677355167</v>
      </c>
      <c r="AT163" s="19">
        <v>1.1824076233565859</v>
      </c>
      <c r="AU163" s="19">
        <v>0.55917321449051693</v>
      </c>
      <c r="AV163" s="19">
        <v>0.54706412192983711</v>
      </c>
      <c r="AW163" s="19">
        <v>0.7541881563377455</v>
      </c>
      <c r="AX163" s="19">
        <v>0.78865391579502708</v>
      </c>
      <c r="AY163" s="19">
        <v>0.42398134554966482</v>
      </c>
      <c r="AZ163" s="19">
        <v>0.5664177514419193</v>
      </c>
      <c r="BA163" s="19">
        <v>0.73581697977121752</v>
      </c>
      <c r="BB163" s="19">
        <v>0.34189008728308773</v>
      </c>
      <c r="BC163" s="19">
        <v>0.82347518806289743</v>
      </c>
      <c r="BD163" s="19">
        <v>0.66152103309714538</v>
      </c>
      <c r="BE163" s="19">
        <v>0.76193014598337505</v>
      </c>
      <c r="BF163" s="19">
        <v>0.18463676944995205</v>
      </c>
      <c r="BG163" s="19">
        <v>0.80740534666627173</v>
      </c>
      <c r="BH163" s="19">
        <v>0.37360919941335186</v>
      </c>
      <c r="BI163" s="19">
        <v>0.49857091446870427</v>
      </c>
    </row>
    <row r="164" spans="1:61" x14ac:dyDescent="0.55000000000000004">
      <c r="A164" s="19" t="s">
        <v>964</v>
      </c>
      <c r="B164" s="19" t="s">
        <v>965</v>
      </c>
      <c r="C164" s="19" t="s">
        <v>322</v>
      </c>
      <c r="D164" s="19" t="s">
        <v>9</v>
      </c>
      <c r="E164" s="19">
        <v>3251</v>
      </c>
      <c r="F164" s="19">
        <v>69.256741300053321</v>
      </c>
      <c r="G164" s="19">
        <v>45.462536145804144</v>
      </c>
      <c r="H164" s="19">
        <v>147798.70501000926</v>
      </c>
      <c r="I164" s="19">
        <v>40.81041383901082</v>
      </c>
      <c r="J164" s="19">
        <v>6.8376246458488588</v>
      </c>
      <c r="K164" s="19">
        <v>21.779135252053301</v>
      </c>
      <c r="L164" s="19">
        <v>43.502457831097225</v>
      </c>
      <c r="M164" s="19">
        <v>29.534589010128023</v>
      </c>
      <c r="N164" s="19">
        <v>7.6337865993123595</v>
      </c>
      <c r="O164" s="19">
        <v>8.8307620443524542</v>
      </c>
      <c r="P164" s="19">
        <v>30.048836654323821</v>
      </c>
      <c r="Q164" s="19">
        <v>329.35734224048974</v>
      </c>
      <c r="R164" s="19">
        <v>84.463838177383735</v>
      </c>
      <c r="S164" s="19">
        <v>922.89062554662166</v>
      </c>
      <c r="T164" s="19">
        <v>924.93758026761782</v>
      </c>
      <c r="U164" s="19">
        <v>37.541666207053751</v>
      </c>
      <c r="V164" s="19">
        <v>7.1863654772347951</v>
      </c>
      <c r="W164" s="19">
        <v>40.096056776385062</v>
      </c>
      <c r="X164" s="19">
        <v>42.702236326310612</v>
      </c>
      <c r="Y164" s="19">
        <v>25.537821421518089</v>
      </c>
      <c r="Z164" s="19">
        <v>14.682455890522153</v>
      </c>
      <c r="AA164" s="19">
        <v>12.426295590290493</v>
      </c>
      <c r="AB164" s="19">
        <v>30.073672221347884</v>
      </c>
      <c r="AC164" s="19">
        <v>24.811324356691934</v>
      </c>
      <c r="AD164" s="19">
        <v>13.937554326062978</v>
      </c>
      <c r="AE164" s="19">
        <v>20.467831744888336</v>
      </c>
      <c r="AF164" s="19">
        <v>34.289940361510006</v>
      </c>
      <c r="AG164" s="19">
        <v>592.89486662769195</v>
      </c>
      <c r="AH164" s="19">
        <v>56.138316394304447</v>
      </c>
      <c r="AI164" s="19">
        <v>1422.5959753092529</v>
      </c>
      <c r="AJ164" s="19">
        <v>1491.3096548072976</v>
      </c>
      <c r="AK164" s="19">
        <v>1563.3141474519</v>
      </c>
      <c r="AL164" s="19">
        <v>1212.7552675357033</v>
      </c>
      <c r="AM164" s="19">
        <v>1795.4165805759558</v>
      </c>
      <c r="AN164" s="19">
        <v>2365.51236073464</v>
      </c>
      <c r="AO164" s="19"/>
      <c r="AP164" s="19">
        <v>0.95688585633628753</v>
      </c>
      <c r="AQ164" s="19">
        <v>0.66095821310877545</v>
      </c>
      <c r="AR164" s="19">
        <v>0.9392840775393414</v>
      </c>
      <c r="AS164" s="19">
        <v>0.66150449954876667</v>
      </c>
      <c r="AT164" s="19">
        <v>0.75424609510428098</v>
      </c>
      <c r="AU164" s="19">
        <v>0.9381174276971076</v>
      </c>
      <c r="AV164" s="19">
        <v>0.15717789262382922</v>
      </c>
      <c r="AW164" s="19">
        <v>0.50064148873181002</v>
      </c>
      <c r="AX164" s="19">
        <v>0.98288627110221916</v>
      </c>
      <c r="AY164" s="19">
        <v>0.2540459947627926</v>
      </c>
      <c r="AZ164" s="19">
        <v>0.29388033040812472</v>
      </c>
      <c r="BA164" s="19">
        <v>0.87914988620684442</v>
      </c>
      <c r="BB164" s="19">
        <v>0.16829014345571824</v>
      </c>
      <c r="BC164" s="19">
        <v>0.93896854651802453</v>
      </c>
      <c r="BD164" s="19">
        <v>0.84917535954887446</v>
      </c>
      <c r="BE164" s="19">
        <v>0.48821626379567201</v>
      </c>
      <c r="BF164" s="19">
        <v>0.41319515285099273</v>
      </c>
      <c r="BG164" s="19">
        <v>0.72357443889118889</v>
      </c>
      <c r="BH164" s="19">
        <v>0.40646190046185365</v>
      </c>
      <c r="BI164" s="19">
        <v>0.59690485107589164</v>
      </c>
    </row>
    <row r="165" spans="1:61" x14ac:dyDescent="0.55000000000000004">
      <c r="A165" s="19" t="s">
        <v>968</v>
      </c>
      <c r="B165" s="19" t="s">
        <v>969</v>
      </c>
      <c r="C165" s="19" t="s">
        <v>322</v>
      </c>
      <c r="D165" s="19" t="s">
        <v>9</v>
      </c>
      <c r="E165" s="19">
        <v>2512</v>
      </c>
      <c r="F165" s="19">
        <v>65.46646858387146</v>
      </c>
      <c r="G165" s="19">
        <v>29.69762568570048</v>
      </c>
      <c r="H165" s="19">
        <v>74600.435722479611</v>
      </c>
      <c r="I165" s="19">
        <v>25.215808118019865</v>
      </c>
      <c r="J165" s="19">
        <v>24.692137168943631</v>
      </c>
      <c r="K165" s="19">
        <v>25.176108573173174</v>
      </c>
      <c r="L165" s="19">
        <v>36.278179815082147</v>
      </c>
      <c r="M165" s="19">
        <v>30.201746293005773</v>
      </c>
      <c r="N165" s="19">
        <v>19.178131394378696</v>
      </c>
      <c r="O165" s="19">
        <v>9.4782342499052277</v>
      </c>
      <c r="P165" s="19">
        <v>35.105580879140909</v>
      </c>
      <c r="Q165" s="19">
        <v>380.64687608480057</v>
      </c>
      <c r="R165" s="19">
        <v>27.072968820552692</v>
      </c>
      <c r="S165" s="19">
        <v>1114.1040951981854</v>
      </c>
      <c r="T165" s="19">
        <v>1135.3262415121026</v>
      </c>
      <c r="U165" s="19">
        <v>30.19611016357624</v>
      </c>
      <c r="V165" s="19">
        <v>6.0557484473345999</v>
      </c>
      <c r="W165" s="19">
        <v>49.724139288408757</v>
      </c>
      <c r="X165" s="19">
        <v>54.293814584098925</v>
      </c>
      <c r="Y165" s="19">
        <v>33.410624067430732</v>
      </c>
      <c r="Z165" s="19">
        <v>13.407228189264087</v>
      </c>
      <c r="AA165" s="19">
        <v>13.080275584187735</v>
      </c>
      <c r="AB165" s="19">
        <v>35.345465536284969</v>
      </c>
      <c r="AC165" s="19">
        <v>38.139638781944889</v>
      </c>
      <c r="AD165" s="19">
        <v>12.622847024483246</v>
      </c>
      <c r="AE165" s="19">
        <v>26.561871726852758</v>
      </c>
      <c r="AF165" s="19">
        <v>43.886622266091273</v>
      </c>
      <c r="AG165" s="19">
        <v>722.95548657868608</v>
      </c>
      <c r="AH165" s="19">
        <v>136.0676626762602</v>
      </c>
      <c r="AI165" s="19">
        <v>1790.9162221746926</v>
      </c>
      <c r="AJ165" s="19">
        <v>1929.2470055865881</v>
      </c>
      <c r="AK165" s="19">
        <v>844.11384972202654</v>
      </c>
      <c r="AL165" s="19">
        <v>1777.8383067857535</v>
      </c>
      <c r="AM165" s="19">
        <v>927.33221287733659</v>
      </c>
      <c r="AN165" s="19">
        <v>1778.5696365220829</v>
      </c>
      <c r="AO165" s="19"/>
      <c r="AP165" s="19">
        <v>1.2215851933425852</v>
      </c>
      <c r="AQ165" s="19">
        <v>1.1821005911608746</v>
      </c>
      <c r="AR165" s="19">
        <v>1.8282207190132915</v>
      </c>
      <c r="AS165" s="19">
        <v>1.1901781613909945</v>
      </c>
      <c r="AT165" s="19">
        <v>1.4777821880630291</v>
      </c>
      <c r="AU165" s="19">
        <v>0.69506817173712621</v>
      </c>
      <c r="AV165" s="19">
        <v>0.68063329788883786</v>
      </c>
      <c r="AW165" s="19">
        <v>0.69397386256701221</v>
      </c>
      <c r="AX165" s="19">
        <v>0.86031182326770994</v>
      </c>
      <c r="AY165" s="19">
        <v>0.54629864865087563</v>
      </c>
      <c r="AZ165" s="19">
        <v>0.26999223521001531</v>
      </c>
      <c r="BA165" s="19">
        <v>0.55616114643784487</v>
      </c>
      <c r="BB165" s="19">
        <v>0.11153661782143692</v>
      </c>
      <c r="BC165" s="19">
        <v>0.91583432973544476</v>
      </c>
      <c r="BD165" s="19">
        <v>0.94525913184343358</v>
      </c>
      <c r="BE165" s="19">
        <v>0.37931960962575206</v>
      </c>
      <c r="BF165" s="19">
        <v>0.37006941019802886</v>
      </c>
      <c r="BG165" s="19">
        <v>0.86904930962101512</v>
      </c>
      <c r="BH165" s="19">
        <v>0.28762402692895805</v>
      </c>
      <c r="BI165" s="19">
        <v>0.60523846118309321</v>
      </c>
    </row>
    <row r="166" spans="1:61" x14ac:dyDescent="0.55000000000000004">
      <c r="A166" s="19" t="s">
        <v>970</v>
      </c>
      <c r="B166" s="19" t="s">
        <v>971</v>
      </c>
      <c r="C166" s="19" t="s">
        <v>322</v>
      </c>
      <c r="D166" s="19" t="s">
        <v>9</v>
      </c>
      <c r="E166" s="19">
        <v>2017</v>
      </c>
      <c r="F166" s="19">
        <v>67.670152456766971</v>
      </c>
      <c r="G166" s="19">
        <v>43.862840277393168</v>
      </c>
      <c r="H166" s="19">
        <v>88471.348839502025</v>
      </c>
      <c r="I166" s="19">
        <v>37.190313234619339</v>
      </c>
      <c r="J166" s="19">
        <v>17.989495802885028</v>
      </c>
      <c r="K166" s="19">
        <v>21.842436935455645</v>
      </c>
      <c r="L166" s="19">
        <v>45.473509049126278</v>
      </c>
      <c r="M166" s="19">
        <v>34.604832660506375</v>
      </c>
      <c r="N166" s="19">
        <v>12.150906274535121</v>
      </c>
      <c r="O166" s="19">
        <v>10.291200612378022</v>
      </c>
      <c r="P166" s="19">
        <v>37.515647620069025</v>
      </c>
      <c r="Q166" s="19">
        <v>426.06233159408742</v>
      </c>
      <c r="R166" s="19">
        <v>51.558340524192104</v>
      </c>
      <c r="S166" s="19">
        <v>807.53916343233698</v>
      </c>
      <c r="T166" s="19">
        <v>857.72972152205512</v>
      </c>
      <c r="U166" s="19">
        <v>43.887396908822247</v>
      </c>
      <c r="V166" s="19">
        <v>13.251265902365821</v>
      </c>
      <c r="W166" s="19">
        <v>60.695449709982114</v>
      </c>
      <c r="X166" s="19">
        <v>66.890053152497941</v>
      </c>
      <c r="Y166" s="19">
        <v>39.7684442555462</v>
      </c>
      <c r="Z166" s="19">
        <v>26.438575636343401</v>
      </c>
      <c r="AA166" s="19">
        <v>59.77768965940632</v>
      </c>
      <c r="AB166" s="19">
        <v>69.923189450112034</v>
      </c>
      <c r="AC166" s="19">
        <v>38.812634283312249</v>
      </c>
      <c r="AD166" s="19">
        <v>16.2989993136142</v>
      </c>
      <c r="AE166" s="19">
        <v>40.459594671932976</v>
      </c>
      <c r="AF166" s="19">
        <v>45.503204007484726</v>
      </c>
      <c r="AG166" s="19">
        <v>1044.9748240742344</v>
      </c>
      <c r="AH166" s="19">
        <v>608.4219426920115</v>
      </c>
      <c r="AI166" s="19">
        <v>2186.1222539450218</v>
      </c>
      <c r="AJ166" s="19">
        <v>2356.0305689570541</v>
      </c>
      <c r="AK166" s="19">
        <v>955.89904219544212</v>
      </c>
      <c r="AL166" s="19">
        <v>1561.2681764877466</v>
      </c>
      <c r="AM166" s="19">
        <v>2377.9543689078591</v>
      </c>
      <c r="AN166" s="19">
        <v>2388.2682025896938</v>
      </c>
      <c r="AO166" s="19"/>
      <c r="AP166" s="19">
        <v>1.0367205762679086</v>
      </c>
      <c r="AQ166" s="19">
        <v>0.85529453594012983</v>
      </c>
      <c r="AR166" s="19">
        <v>1.5249822567229636</v>
      </c>
      <c r="AS166" s="19">
        <v>1.5941327330357657</v>
      </c>
      <c r="AT166" s="19">
        <v>1.0373975720614015</v>
      </c>
      <c r="AU166" s="19">
        <v>0.81784568669291879</v>
      </c>
      <c r="AV166" s="19">
        <v>0.39560386209585197</v>
      </c>
      <c r="AW166" s="19">
        <v>0.48033321800300616</v>
      </c>
      <c r="AX166" s="19">
        <v>0.92241064344560297</v>
      </c>
      <c r="AY166" s="19">
        <v>0.32388901819290422</v>
      </c>
      <c r="AZ166" s="19">
        <v>0.27431755188127782</v>
      </c>
      <c r="BA166" s="19">
        <v>0.65611245380185967</v>
      </c>
      <c r="BB166" s="19">
        <v>0.19810517824160176</v>
      </c>
      <c r="BC166" s="19">
        <v>0.90739126147211779</v>
      </c>
      <c r="BD166" s="19">
        <v>0.56874471213759092</v>
      </c>
      <c r="BE166" s="19">
        <v>0.37810883405435164</v>
      </c>
      <c r="BF166" s="19">
        <v>0.85490507697815754</v>
      </c>
      <c r="BG166" s="19">
        <v>0.85296486543954231</v>
      </c>
      <c r="BH166" s="19">
        <v>0.35819454188178074</v>
      </c>
      <c r="BI166" s="19">
        <v>0.88915924833068594</v>
      </c>
    </row>
    <row r="167" spans="1:61" x14ac:dyDescent="0.55000000000000004">
      <c r="A167" s="19" t="s">
        <v>972</v>
      </c>
      <c r="B167" s="19" t="s">
        <v>973</v>
      </c>
      <c r="C167" s="19" t="s">
        <v>322</v>
      </c>
      <c r="D167" s="19" t="s">
        <v>9</v>
      </c>
      <c r="E167" s="19">
        <v>2863</v>
      </c>
      <c r="F167" s="19">
        <v>64.446571412173242</v>
      </c>
      <c r="G167" s="19">
        <v>25.667824086943082</v>
      </c>
      <c r="H167" s="19">
        <v>73486.980360918038</v>
      </c>
      <c r="I167" s="19">
        <v>39.53613744235146</v>
      </c>
      <c r="J167" s="19">
        <v>12.368680678458496</v>
      </c>
      <c r="K167" s="19">
        <v>28.008248004941191</v>
      </c>
      <c r="L167" s="19">
        <v>40.982877333069737</v>
      </c>
      <c r="M167" s="19">
        <v>39.858510965174538</v>
      </c>
      <c r="N167" s="19">
        <v>7.722528691084416</v>
      </c>
      <c r="O167" s="19">
        <v>21.331001762120753</v>
      </c>
      <c r="P167" s="19">
        <v>40.901811394659404</v>
      </c>
      <c r="Q167" s="19">
        <v>573.77994659872536</v>
      </c>
      <c r="R167" s="19">
        <v>104.22191863595836</v>
      </c>
      <c r="S167" s="19">
        <v>1135.4492887013232</v>
      </c>
      <c r="T167" s="19">
        <v>1169.3675412381176</v>
      </c>
      <c r="U167" s="19">
        <v>33.579278655315306</v>
      </c>
      <c r="V167" s="19">
        <v>9.1709249480209429</v>
      </c>
      <c r="W167" s="19">
        <v>45.008322230068721</v>
      </c>
      <c r="X167" s="19">
        <v>47.943328497649382</v>
      </c>
      <c r="Y167" s="19">
        <v>27.632433836633687</v>
      </c>
      <c r="Z167" s="19">
        <v>15.780599879007562</v>
      </c>
      <c r="AA167" s="19">
        <v>20.147918082627278</v>
      </c>
      <c r="AB167" s="19">
        <v>32.972807136811831</v>
      </c>
      <c r="AC167" s="19">
        <v>26.676454523061548</v>
      </c>
      <c r="AD167" s="19">
        <v>16.081534520224132</v>
      </c>
      <c r="AE167" s="19">
        <v>21.471384003747534</v>
      </c>
      <c r="AF167" s="19">
        <v>34.758677026231176</v>
      </c>
      <c r="AG167" s="19">
        <v>627.97981283395518</v>
      </c>
      <c r="AH167" s="19">
        <v>577.69103285937445</v>
      </c>
      <c r="AI167" s="19">
        <v>1594.4047478781663</v>
      </c>
      <c r="AJ167" s="19">
        <v>1672.3626868861932</v>
      </c>
      <c r="AK167" s="19">
        <v>1540.76754361752</v>
      </c>
      <c r="AL167" s="19">
        <v>1312.3691640355546</v>
      </c>
      <c r="AM167" s="19">
        <v>2345.5863224335335</v>
      </c>
      <c r="AN167" s="19">
        <v>2802.2384866062407</v>
      </c>
      <c r="AO167" s="19"/>
      <c r="AP167" s="19">
        <v>1.5966634800928545</v>
      </c>
      <c r="AQ167" s="19">
        <v>1.5935052093280346</v>
      </c>
      <c r="AR167" s="19">
        <v>1.8678376606935523</v>
      </c>
      <c r="AS167" s="19">
        <v>1.2845968955188807</v>
      </c>
      <c r="AT167" s="19">
        <v>1.3541731043697041</v>
      </c>
      <c r="AU167" s="19">
        <v>0.96469891855175138</v>
      </c>
      <c r="AV167" s="19">
        <v>0.30180117852481797</v>
      </c>
      <c r="AW167" s="19">
        <v>0.6834134113453495</v>
      </c>
      <c r="AX167" s="19">
        <v>0.97449256172500243</v>
      </c>
      <c r="AY167" s="19">
        <v>0.18880652048805729</v>
      </c>
      <c r="AZ167" s="19">
        <v>0.52151728822714105</v>
      </c>
      <c r="BA167" s="19">
        <v>0.70039523136074433</v>
      </c>
      <c r="BB167" s="19">
        <v>0.19128678035924404</v>
      </c>
      <c r="BC167" s="19">
        <v>0.93878175838950018</v>
      </c>
      <c r="BD167" s="19">
        <v>0.83803704434324644</v>
      </c>
      <c r="BE167" s="19">
        <v>0.47859437061364507</v>
      </c>
      <c r="BF167" s="19">
        <v>0.611046490492268</v>
      </c>
      <c r="BG167" s="19">
        <v>0.76747611834966412</v>
      </c>
      <c r="BH167" s="19">
        <v>0.46266244564164372</v>
      </c>
      <c r="BI167" s="19">
        <v>0.61772730842269463</v>
      </c>
    </row>
    <row r="168" spans="1:61" x14ac:dyDescent="0.55000000000000004">
      <c r="A168" s="19" t="s">
        <v>974</v>
      </c>
      <c r="B168" s="19" t="s">
        <v>975</v>
      </c>
      <c r="C168" s="19" t="s">
        <v>322</v>
      </c>
      <c r="D168" s="19" t="s">
        <v>9</v>
      </c>
      <c r="E168" s="19">
        <v>1806</v>
      </c>
      <c r="F168" s="19">
        <v>65.789712150096918</v>
      </c>
      <c r="G168" s="19">
        <v>58.373840281262851</v>
      </c>
      <c r="H168" s="19">
        <v>105423.15554796071</v>
      </c>
      <c r="I168" s="19">
        <v>28.689265723579322</v>
      </c>
      <c r="J168" s="19">
        <v>24.382348479871599</v>
      </c>
      <c r="K168" s="19">
        <v>28.871958201917202</v>
      </c>
      <c r="L168" s="19">
        <v>38.797533609735886</v>
      </c>
      <c r="M168" s="19">
        <v>37.911172670194013</v>
      </c>
      <c r="N168" s="19">
        <v>18.683934639862692</v>
      </c>
      <c r="O168" s="19">
        <v>11.135855895986051</v>
      </c>
      <c r="P168" s="19">
        <v>42.829707626436644</v>
      </c>
      <c r="Q168" s="19">
        <v>308.78795387798937</v>
      </c>
      <c r="R168" s="19">
        <v>224.47609854506464</v>
      </c>
      <c r="S168" s="19">
        <v>1617.4459476251502</v>
      </c>
      <c r="T168" s="19">
        <v>1621.4384716947284</v>
      </c>
      <c r="U168" s="19">
        <v>23.174222805342744</v>
      </c>
      <c r="V168" s="19">
        <v>9.0424449033412611</v>
      </c>
      <c r="W168" s="19">
        <v>44.776282746467388</v>
      </c>
      <c r="X168" s="19">
        <v>49.688928149633192</v>
      </c>
      <c r="Y168" s="19">
        <v>33.715559485336271</v>
      </c>
      <c r="Z168" s="19">
        <v>19.701778542815195</v>
      </c>
      <c r="AA168" s="19">
        <v>36.441016679965273</v>
      </c>
      <c r="AB168" s="19">
        <v>45.758664531825637</v>
      </c>
      <c r="AC168" s="19">
        <v>53.464146960465918</v>
      </c>
      <c r="AD168" s="19">
        <v>20.931525845781202</v>
      </c>
      <c r="AE168" s="19">
        <v>38.072307990341066</v>
      </c>
      <c r="AF168" s="19">
        <v>63.329829767890935</v>
      </c>
      <c r="AG168" s="19">
        <v>752.20260977186513</v>
      </c>
      <c r="AH168" s="19">
        <v>103.16471621620947</v>
      </c>
      <c r="AI168" s="19">
        <v>1647.4242105817366</v>
      </c>
      <c r="AJ168" s="19">
        <v>1793.3145726736495</v>
      </c>
      <c r="AK168" s="19">
        <v>584.62915858578151</v>
      </c>
      <c r="AL168" s="19">
        <v>2489.4544614395218</v>
      </c>
      <c r="AM168" s="19">
        <v>1216.4591397821625</v>
      </c>
      <c r="AN168" s="19">
        <v>2493.3329133494135</v>
      </c>
      <c r="AO168" s="19"/>
      <c r="AP168" s="19">
        <v>0.66463904760758608</v>
      </c>
      <c r="AQ168" s="19">
        <v>0.73371406472608514</v>
      </c>
      <c r="AR168" s="19">
        <v>0.85121910619923036</v>
      </c>
      <c r="AS168" s="19">
        <v>0.7838899121823496</v>
      </c>
      <c r="AT168" s="19">
        <v>1.0849008642013036</v>
      </c>
      <c r="AU168" s="19">
        <v>0.7394610701846267</v>
      </c>
      <c r="AV168" s="19">
        <v>0.62845099188864606</v>
      </c>
      <c r="AW168" s="19">
        <v>0.7441699385414553</v>
      </c>
      <c r="AX168" s="19">
        <v>0.88516066933861892</v>
      </c>
      <c r="AY168" s="19">
        <v>0.4362377348644339</v>
      </c>
      <c r="AZ168" s="19">
        <v>0.26000307994426847</v>
      </c>
      <c r="BA168" s="19">
        <v>0.46638604752261731</v>
      </c>
      <c r="BB168" s="19">
        <v>0.18198108190442044</v>
      </c>
      <c r="BC168" s="19">
        <v>0.90113199084568962</v>
      </c>
      <c r="BD168" s="19">
        <v>0.73681257594147531</v>
      </c>
      <c r="BE168" s="19">
        <v>0.43055842525981936</v>
      </c>
      <c r="BF168" s="19">
        <v>0.79637413051292527</v>
      </c>
      <c r="BG168" s="19">
        <v>0.84421744312935054</v>
      </c>
      <c r="BH168" s="19">
        <v>0.33051606048045568</v>
      </c>
      <c r="BI168" s="19">
        <v>0.6011749617815052</v>
      </c>
    </row>
    <row r="169" spans="1:61" x14ac:dyDescent="0.55000000000000004">
      <c r="A169" s="19" t="s">
        <v>976</v>
      </c>
      <c r="B169" s="19" t="s">
        <v>977</v>
      </c>
      <c r="C169" s="19" t="s">
        <v>322</v>
      </c>
      <c r="D169" s="19" t="s">
        <v>9</v>
      </c>
      <c r="E169" s="19">
        <v>2224</v>
      </c>
      <c r="F169" s="19">
        <v>49.444979609264387</v>
      </c>
      <c r="G169" s="19">
        <v>29.136684839707964</v>
      </c>
      <c r="H169" s="19">
        <v>64799.98708351051</v>
      </c>
      <c r="I169" s="19">
        <v>42.253903932101807</v>
      </c>
      <c r="J169" s="19">
        <v>17.858715074875896</v>
      </c>
      <c r="K169" s="19">
        <v>26.130179511389098</v>
      </c>
      <c r="L169" s="19">
        <v>48.387863628146327</v>
      </c>
      <c r="M169" s="19">
        <v>27.797815648709957</v>
      </c>
      <c r="N169" s="19">
        <v>12.109412060012573</v>
      </c>
      <c r="O169" s="19">
        <v>11.914620803080398</v>
      </c>
      <c r="P169" s="19">
        <v>31.816508940697418</v>
      </c>
      <c r="Q169" s="19">
        <v>341.84183125843839</v>
      </c>
      <c r="R169" s="19">
        <v>136.90028679775909</v>
      </c>
      <c r="S169" s="19">
        <v>1131.7700677019111</v>
      </c>
      <c r="T169" s="19">
        <v>1131.7984084290385</v>
      </c>
      <c r="U169" s="19">
        <v>19.088427780382133</v>
      </c>
      <c r="V169" s="19">
        <v>8.0595881533955023</v>
      </c>
      <c r="W169" s="19">
        <v>33.002810013890894</v>
      </c>
      <c r="X169" s="19">
        <v>36.344889870671871</v>
      </c>
      <c r="Y169" s="19">
        <v>25.334104835973399</v>
      </c>
      <c r="Z169" s="19">
        <v>17.614442274640194</v>
      </c>
      <c r="AA169" s="19">
        <v>42.503635415352704</v>
      </c>
      <c r="AB169" s="19">
        <v>49.831919703453032</v>
      </c>
      <c r="AC169" s="19">
        <v>31.844780102394495</v>
      </c>
      <c r="AD169" s="19">
        <v>20.619697146827143</v>
      </c>
      <c r="AE169" s="19">
        <v>23.429292267790402</v>
      </c>
      <c r="AF169" s="19">
        <v>40.709837683864926</v>
      </c>
      <c r="AG169" s="19">
        <v>563.59924179462109</v>
      </c>
      <c r="AH169" s="19">
        <v>83.688378887505749</v>
      </c>
      <c r="AI169" s="19">
        <v>1202.5620707060527</v>
      </c>
      <c r="AJ169" s="19">
        <v>1298.6612906345244</v>
      </c>
      <c r="AK169" s="19">
        <v>1113.5215668212625</v>
      </c>
      <c r="AL169" s="19">
        <v>1455.4320774476298</v>
      </c>
      <c r="AM169" s="19">
        <v>1152.8502445508784</v>
      </c>
      <c r="AN169" s="19">
        <v>1463.3588539106167</v>
      </c>
      <c r="AO169" s="19"/>
      <c r="AP169" s="19">
        <v>1.6607196012293937</v>
      </c>
      <c r="AQ169" s="19">
        <v>1.0919742282188996</v>
      </c>
      <c r="AR169" s="19">
        <v>1.2473927651899657</v>
      </c>
      <c r="AS169" s="19">
        <v>1.7102810418411518</v>
      </c>
      <c r="AT169" s="19">
        <v>1.3972021150595992</v>
      </c>
      <c r="AU169" s="19">
        <v>0.87323350865036931</v>
      </c>
      <c r="AV169" s="19">
        <v>0.36907426234225832</v>
      </c>
      <c r="AW169" s="19">
        <v>0.54001515157180147</v>
      </c>
      <c r="AX169" s="19">
        <v>0.87369157001235187</v>
      </c>
      <c r="AY169" s="19">
        <v>0.38060153244918316</v>
      </c>
      <c r="AZ169" s="19">
        <v>0.37447919962834331</v>
      </c>
      <c r="BA169" s="19">
        <v>0.52520252085796915</v>
      </c>
      <c r="BB169" s="19">
        <v>0.22175299421939101</v>
      </c>
      <c r="BC169" s="19">
        <v>0.90804539871565737</v>
      </c>
      <c r="BD169" s="19">
        <v>0.50839110728094039</v>
      </c>
      <c r="BE169" s="19">
        <v>0.35347709619582701</v>
      </c>
      <c r="BF169" s="19">
        <v>0.85293995632296449</v>
      </c>
      <c r="BG169" s="19">
        <v>0.78223795313769973</v>
      </c>
      <c r="BH169" s="19">
        <v>0.50650403735212202</v>
      </c>
      <c r="BI169" s="19">
        <v>0.57551917670937913</v>
      </c>
    </row>
    <row r="170" spans="1:61" x14ac:dyDescent="0.55000000000000004">
      <c r="A170" s="19" t="s">
        <v>980</v>
      </c>
      <c r="B170" s="19" t="s">
        <v>981</v>
      </c>
      <c r="C170" s="19" t="s">
        <v>322</v>
      </c>
      <c r="D170" s="19" t="s">
        <v>9</v>
      </c>
      <c r="E170" s="19">
        <v>2936</v>
      </c>
      <c r="F170" s="19">
        <v>65.001977432163784</v>
      </c>
      <c r="G170" s="19">
        <v>41.366238483356909</v>
      </c>
      <c r="H170" s="19">
        <v>121451.27618713588</v>
      </c>
      <c r="I170" s="19">
        <v>98.812082167745686</v>
      </c>
      <c r="J170" s="19">
        <v>22.291935318955776</v>
      </c>
      <c r="K170" s="19">
        <v>25.236513094353676</v>
      </c>
      <c r="L170" s="19">
        <v>100.95371301445341</v>
      </c>
      <c r="M170" s="19">
        <v>35.355107222847387</v>
      </c>
      <c r="N170" s="19">
        <v>13.399602513266727</v>
      </c>
      <c r="O170" s="19">
        <v>22.145225158748492</v>
      </c>
      <c r="P170" s="19">
        <v>42.430781267029779</v>
      </c>
      <c r="Q170" s="19">
        <v>861.04666756103552</v>
      </c>
      <c r="R170" s="19">
        <v>127.78100783998855</v>
      </c>
      <c r="S170" s="19">
        <v>1134.2466485041928</v>
      </c>
      <c r="T170" s="19">
        <v>1249.4941062121734</v>
      </c>
      <c r="U170" s="19">
        <v>26.756098669237417</v>
      </c>
      <c r="V170" s="19">
        <v>16.40393252670901</v>
      </c>
      <c r="W170" s="19">
        <v>48.821532729545055</v>
      </c>
      <c r="X170" s="19">
        <v>53.160030183020965</v>
      </c>
      <c r="Y170" s="19">
        <v>29.424698810930739</v>
      </c>
      <c r="Z170" s="19">
        <v>26.405164473775269</v>
      </c>
      <c r="AA170" s="19">
        <v>49.272007639623268</v>
      </c>
      <c r="AB170" s="19">
        <v>54.731679359821605</v>
      </c>
      <c r="AC170" s="19">
        <v>30.526866808418376</v>
      </c>
      <c r="AD170" s="19">
        <v>12.702954062608292</v>
      </c>
      <c r="AE170" s="19">
        <v>26.880122175685983</v>
      </c>
      <c r="AF170" s="19">
        <v>37.097229739468283</v>
      </c>
      <c r="AG170" s="19">
        <v>746.20579653741015</v>
      </c>
      <c r="AH170" s="19">
        <v>35.329745829450388</v>
      </c>
      <c r="AI170" s="19">
        <v>1746.9971512573225</v>
      </c>
      <c r="AJ170" s="19">
        <v>1899.3704451505514</v>
      </c>
      <c r="AK170" s="19">
        <v>2261.2988897493724</v>
      </c>
      <c r="AL170" s="19">
        <v>2752.6636302085199</v>
      </c>
      <c r="AM170" s="19">
        <v>1541.9497223933506</v>
      </c>
      <c r="AN170" s="19">
        <v>2755.7564769816204</v>
      </c>
      <c r="AO170" s="19"/>
      <c r="AP170" s="19">
        <v>2.4404856887113544</v>
      </c>
      <c r="AQ170" s="19">
        <v>1.0257345802447368</v>
      </c>
      <c r="AR170" s="19">
        <v>1.2851066988942954</v>
      </c>
      <c r="AS170" s="19">
        <v>1.3231002229473217</v>
      </c>
      <c r="AT170" s="19">
        <v>0.8967996873680889</v>
      </c>
      <c r="AU170" s="19">
        <v>0.97878601209644356</v>
      </c>
      <c r="AV170" s="19">
        <v>0.22081342680050081</v>
      </c>
      <c r="AW170" s="19">
        <v>0.24998102933312216</v>
      </c>
      <c r="AX170" s="19">
        <v>0.83324195706760551</v>
      </c>
      <c r="AY170" s="19">
        <v>0.31579909945421375</v>
      </c>
      <c r="AZ170" s="19">
        <v>0.52191415046972323</v>
      </c>
      <c r="BA170" s="19">
        <v>0.50331233028124156</v>
      </c>
      <c r="BB170" s="19">
        <v>0.30857643365199483</v>
      </c>
      <c r="BC170" s="19">
        <v>0.91838797986872467</v>
      </c>
      <c r="BD170" s="19">
        <v>0.53761732062859635</v>
      </c>
      <c r="BE170" s="19">
        <v>0.48244754742824936</v>
      </c>
      <c r="BF170" s="19">
        <v>0.90024658873876495</v>
      </c>
      <c r="BG170" s="19">
        <v>0.82288804373822011</v>
      </c>
      <c r="BH170" s="19">
        <v>0.34242325240510973</v>
      </c>
      <c r="BI170" s="19">
        <v>0.72458569991515642</v>
      </c>
    </row>
    <row r="171" spans="1:61" x14ac:dyDescent="0.55000000000000004">
      <c r="A171" s="19" t="s">
        <v>982</v>
      </c>
      <c r="B171" s="19" t="s">
        <v>983</v>
      </c>
      <c r="C171" s="19" t="s">
        <v>322</v>
      </c>
      <c r="D171" s="19" t="s">
        <v>9</v>
      </c>
      <c r="E171" s="19">
        <v>2164</v>
      </c>
      <c r="F171" s="19">
        <v>64.052622409510747</v>
      </c>
      <c r="G171" s="19">
        <v>32.186270025406259</v>
      </c>
      <c r="H171" s="19">
        <v>69651.08833497914</v>
      </c>
      <c r="I171" s="19">
        <v>40.398800799409209</v>
      </c>
      <c r="J171" s="19">
        <v>9.1272073278246726</v>
      </c>
      <c r="K171" s="19">
        <v>20.50338407376605</v>
      </c>
      <c r="L171" s="19">
        <v>44.541997395858871</v>
      </c>
      <c r="M171" s="19">
        <v>33.632286729285049</v>
      </c>
      <c r="N171" s="19">
        <v>13.708364310840901</v>
      </c>
      <c r="O171" s="19">
        <v>9.3251137250544787</v>
      </c>
      <c r="P171" s="19">
        <v>36.242196009938155</v>
      </c>
      <c r="Q171" s="19">
        <v>394.69607570799593</v>
      </c>
      <c r="R171" s="19">
        <v>732.20649983506667</v>
      </c>
      <c r="S171" s="19">
        <v>678.04009355587573</v>
      </c>
      <c r="T171" s="19">
        <v>759.3059569761574</v>
      </c>
      <c r="U171" s="19">
        <v>35.581624765749602</v>
      </c>
      <c r="V171" s="19">
        <v>15.236890203400163</v>
      </c>
      <c r="W171" s="19">
        <v>39.755709672707262</v>
      </c>
      <c r="X171" s="19">
        <v>54.498535708865752</v>
      </c>
      <c r="Y171" s="19">
        <v>22.080363102993029</v>
      </c>
      <c r="Z171" s="19">
        <v>31.351529905395203</v>
      </c>
      <c r="AA171" s="19">
        <v>19.019743609879104</v>
      </c>
      <c r="AB171" s="19">
        <v>36.896604687792276</v>
      </c>
      <c r="AC171" s="19">
        <v>27.31657829538948</v>
      </c>
      <c r="AD171" s="19">
        <v>19.727071793852648</v>
      </c>
      <c r="AE171" s="19">
        <v>29.037899585764727</v>
      </c>
      <c r="AF171" s="19">
        <v>35.956681204889399</v>
      </c>
      <c r="AG171" s="19">
        <v>1059.6079889940211</v>
      </c>
      <c r="AH171" s="19">
        <v>150.47689267763982</v>
      </c>
      <c r="AI171" s="19">
        <v>1810.634430486625</v>
      </c>
      <c r="AJ171" s="19">
        <v>2094.2579423165307</v>
      </c>
      <c r="AK171" s="19">
        <v>800.2765188526339</v>
      </c>
      <c r="AL171" s="19">
        <v>2646.4911052879197</v>
      </c>
      <c r="AM171" s="19">
        <v>723.67094788009683</v>
      </c>
      <c r="AN171" s="19">
        <v>2698.127356062233</v>
      </c>
      <c r="AO171" s="19"/>
      <c r="AP171" s="19">
        <v>1.3838819273155794</v>
      </c>
      <c r="AQ171" s="19">
        <v>1.1260141663302503</v>
      </c>
      <c r="AR171" s="19">
        <v>1.6932230937554209</v>
      </c>
      <c r="AS171" s="19">
        <v>1.1463460866595574</v>
      </c>
      <c r="AT171" s="19">
        <v>1.1171434644805678</v>
      </c>
      <c r="AU171" s="19">
        <v>0.9069822451016788</v>
      </c>
      <c r="AV171" s="19">
        <v>0.20491239417730381</v>
      </c>
      <c r="AW171" s="19">
        <v>0.4603157755038681</v>
      </c>
      <c r="AX171" s="19">
        <v>0.92798699946500396</v>
      </c>
      <c r="AY171" s="19">
        <v>0.37824320322868576</v>
      </c>
      <c r="AZ171" s="19">
        <v>0.25729990871682812</v>
      </c>
      <c r="BA171" s="19">
        <v>0.65289139062063328</v>
      </c>
      <c r="BB171" s="19">
        <v>0.27958347880751311</v>
      </c>
      <c r="BC171" s="19">
        <v>0.72948216232972762</v>
      </c>
      <c r="BD171" s="19">
        <v>0.59843888861401406</v>
      </c>
      <c r="BE171" s="19">
        <v>0.8497131421897004</v>
      </c>
      <c r="BF171" s="19">
        <v>0.51548763824797228</v>
      </c>
      <c r="BG171" s="19">
        <v>0.75970799806949274</v>
      </c>
      <c r="BH171" s="19">
        <v>0.54863438818069099</v>
      </c>
      <c r="BI171" s="19">
        <v>0.80758008283078542</v>
      </c>
    </row>
    <row r="172" spans="1:61" x14ac:dyDescent="0.55000000000000004">
      <c r="A172" s="19" t="s">
        <v>984</v>
      </c>
      <c r="B172" s="19" t="s">
        <v>985</v>
      </c>
      <c r="C172" s="19" t="s">
        <v>322</v>
      </c>
      <c r="D172" s="19" t="s">
        <v>9</v>
      </c>
      <c r="E172" s="19">
        <v>2090</v>
      </c>
      <c r="F172" s="19">
        <v>66.134909796755863</v>
      </c>
      <c r="G172" s="19">
        <v>36.836054145225255</v>
      </c>
      <c r="H172" s="19">
        <v>76987.353163520776</v>
      </c>
      <c r="I172" s="19">
        <v>45.162446466358119</v>
      </c>
      <c r="J172" s="19">
        <v>18.458447383159967</v>
      </c>
      <c r="K172" s="19">
        <v>22.314306303421478</v>
      </c>
      <c r="L172" s="19">
        <v>51.263250488663729</v>
      </c>
      <c r="M172" s="19">
        <v>38.569204235531899</v>
      </c>
      <c r="N172" s="19">
        <v>13.790057601204385</v>
      </c>
      <c r="O172" s="19">
        <v>10.395690705205427</v>
      </c>
      <c r="P172" s="19">
        <v>40.774750046467027</v>
      </c>
      <c r="Q172" s="19">
        <v>742.42329377875262</v>
      </c>
      <c r="R172" s="19">
        <v>356.19236210413806</v>
      </c>
      <c r="S172" s="19">
        <v>1124.6393502875198</v>
      </c>
      <c r="T172" s="19">
        <v>1328.4787874859094</v>
      </c>
      <c r="U172" s="19">
        <v>28.482528753152987</v>
      </c>
      <c r="V172" s="19">
        <v>10.725964383734338</v>
      </c>
      <c r="W172" s="19">
        <v>62.685139572165582</v>
      </c>
      <c r="X172" s="19">
        <v>66.002747359059299</v>
      </c>
      <c r="Y172" s="19">
        <v>29.241510974886683</v>
      </c>
      <c r="Z172" s="19">
        <v>25.655265837647967</v>
      </c>
      <c r="AA172" s="19">
        <v>17.030124440754477</v>
      </c>
      <c r="AB172" s="19">
        <v>40.267210515399533</v>
      </c>
      <c r="AC172" s="19">
        <v>36.399510398333334</v>
      </c>
      <c r="AD172" s="19">
        <v>16.493723949984336</v>
      </c>
      <c r="AE172" s="19">
        <v>34.080071144987073</v>
      </c>
      <c r="AF172" s="19">
        <v>47.453044802298166</v>
      </c>
      <c r="AG172" s="19">
        <v>886.40214826129852</v>
      </c>
      <c r="AH172" s="19">
        <v>324.50784017493368</v>
      </c>
      <c r="AI172" s="19">
        <v>2247.2410933565761</v>
      </c>
      <c r="AJ172" s="19">
        <v>2348.0525393952962</v>
      </c>
      <c r="AK172" s="19">
        <v>2328.007966743904</v>
      </c>
      <c r="AL172" s="19">
        <v>1785.5561987921028</v>
      </c>
      <c r="AM172" s="19">
        <v>2818.1911391250669</v>
      </c>
      <c r="AN172" s="19">
        <v>3617.1698600570662</v>
      </c>
      <c r="AO172" s="19"/>
      <c r="AP172" s="19">
        <v>1.3916596573172468</v>
      </c>
      <c r="AQ172" s="19">
        <v>1.1069250220372018</v>
      </c>
      <c r="AR172" s="19">
        <v>1.7917974357091848</v>
      </c>
      <c r="AS172" s="19">
        <v>1.0931466860333907</v>
      </c>
      <c r="AT172" s="19">
        <v>1.2882227997389646</v>
      </c>
      <c r="AU172" s="19">
        <v>0.8809906909111288</v>
      </c>
      <c r="AV172" s="19">
        <v>0.36007173183920199</v>
      </c>
      <c r="AW172" s="19">
        <v>0.43528855643588243</v>
      </c>
      <c r="AX172" s="19">
        <v>0.94590902927861775</v>
      </c>
      <c r="AY172" s="19">
        <v>0.3382009107471951</v>
      </c>
      <c r="AZ172" s="19">
        <v>0.25495412463248618</v>
      </c>
      <c r="BA172" s="19">
        <v>0.43153550257849349</v>
      </c>
      <c r="BB172" s="19">
        <v>0.16250784721709211</v>
      </c>
      <c r="BC172" s="19">
        <v>0.94973530770097025</v>
      </c>
      <c r="BD172" s="19">
        <v>0.72618665660249171</v>
      </c>
      <c r="BE172" s="19">
        <v>0.63712548024245519</v>
      </c>
      <c r="BF172" s="19">
        <v>0.42292784185389715</v>
      </c>
      <c r="BG172" s="19">
        <v>0.76706374796355525</v>
      </c>
      <c r="BH172" s="19">
        <v>0.34757988699569264</v>
      </c>
      <c r="BI172" s="19">
        <v>0.71818512988942207</v>
      </c>
    </row>
    <row r="173" spans="1:61" x14ac:dyDescent="0.55000000000000004">
      <c r="A173" s="19" t="s">
        <v>986</v>
      </c>
      <c r="B173" s="19" t="s">
        <v>987</v>
      </c>
      <c r="C173" s="19" t="s">
        <v>322</v>
      </c>
      <c r="D173" s="19" t="s">
        <v>9</v>
      </c>
      <c r="E173" s="19">
        <v>2367</v>
      </c>
      <c r="F173" s="19">
        <v>64.732176350101341</v>
      </c>
      <c r="G173" s="19">
        <v>33.045967939475446</v>
      </c>
      <c r="H173" s="19">
        <v>78219.806112738384</v>
      </c>
      <c r="I173" s="19">
        <v>36.983770383940737</v>
      </c>
      <c r="J173" s="19">
        <v>10.952925723127212</v>
      </c>
      <c r="K173" s="19">
        <v>29.467141561072776</v>
      </c>
      <c r="L173" s="19">
        <v>47.673879107511247</v>
      </c>
      <c r="M173" s="19">
        <v>37.79506147608739</v>
      </c>
      <c r="N173" s="19">
        <v>12.529644676876657</v>
      </c>
      <c r="O173" s="19">
        <v>6.3610460967580966</v>
      </c>
      <c r="P173" s="19">
        <v>39.151185356241214</v>
      </c>
      <c r="Q173" s="19">
        <v>534.13788738000517</v>
      </c>
      <c r="R173" s="19">
        <v>46.052833652320174</v>
      </c>
      <c r="S173" s="19">
        <v>1003.9207854496379</v>
      </c>
      <c r="T173" s="19">
        <v>1056.8211193062882</v>
      </c>
      <c r="U173" s="19">
        <v>30.503023357274266</v>
      </c>
      <c r="V173" s="19">
        <v>5.4489822661055474</v>
      </c>
      <c r="W173" s="19">
        <v>46.140548093991178</v>
      </c>
      <c r="X173" s="19">
        <v>49.640973974900582</v>
      </c>
      <c r="Y173" s="19">
        <v>31.385401577854921</v>
      </c>
      <c r="Z173" s="19">
        <v>13.937809952983507</v>
      </c>
      <c r="AA173" s="19">
        <v>13.45652045667601</v>
      </c>
      <c r="AB173" s="19">
        <v>34.486756094413629</v>
      </c>
      <c r="AC173" s="19">
        <v>36.672892659260995</v>
      </c>
      <c r="AD173" s="19">
        <v>13.43041355946619</v>
      </c>
      <c r="AE173" s="19">
        <v>22.349864246523559</v>
      </c>
      <c r="AF173" s="19">
        <v>43.120284147594852</v>
      </c>
      <c r="AG173" s="19">
        <v>621.0978260364717</v>
      </c>
      <c r="AH173" s="19">
        <v>189.31628727107827</v>
      </c>
      <c r="AI173" s="19">
        <v>1671.2533402264633</v>
      </c>
      <c r="AJ173" s="19">
        <v>1778.5893240504508</v>
      </c>
      <c r="AK173" s="19">
        <v>1987.2510969749846</v>
      </c>
      <c r="AL173" s="19">
        <v>1092.1956746239962</v>
      </c>
      <c r="AM173" s="19">
        <v>2291.5025529744844</v>
      </c>
      <c r="AN173" s="19">
        <v>3005.1840383363296</v>
      </c>
      <c r="AO173" s="19"/>
      <c r="AP173" s="19">
        <v>1.442653433387916</v>
      </c>
      <c r="AQ173" s="19">
        <v>1.1847492386347294</v>
      </c>
      <c r="AR173" s="19">
        <v>1.5021794509339028</v>
      </c>
      <c r="AS173" s="19">
        <v>1.0435995143969463</v>
      </c>
      <c r="AT173" s="19">
        <v>1.3048576524243678</v>
      </c>
      <c r="AU173" s="19">
        <v>0.77576591366809433</v>
      </c>
      <c r="AV173" s="19">
        <v>0.22974689553637614</v>
      </c>
      <c r="AW173" s="19">
        <v>0.61809825658659456</v>
      </c>
      <c r="AX173" s="19">
        <v>0.96536186917932898</v>
      </c>
      <c r="AY173" s="19">
        <v>0.32003231991235909</v>
      </c>
      <c r="AZ173" s="19">
        <v>0.16247390823236116</v>
      </c>
      <c r="BA173" s="19">
        <v>0.61447270097273221</v>
      </c>
      <c r="BB173" s="19">
        <v>0.1097678355154888</v>
      </c>
      <c r="BC173" s="19">
        <v>0.92948514904886259</v>
      </c>
      <c r="BD173" s="19">
        <v>0.91007114417870449</v>
      </c>
      <c r="BE173" s="19">
        <v>0.40414963688745537</v>
      </c>
      <c r="BF173" s="19">
        <v>0.39019385934230499</v>
      </c>
      <c r="BG173" s="19">
        <v>0.85047891924215258</v>
      </c>
      <c r="BH173" s="19">
        <v>0.31146393918685034</v>
      </c>
      <c r="BI173" s="19">
        <v>0.51831440094464643</v>
      </c>
    </row>
    <row r="174" spans="1:61" x14ac:dyDescent="0.55000000000000004">
      <c r="A174" s="19" t="s">
        <v>988</v>
      </c>
      <c r="B174" s="19" t="s">
        <v>989</v>
      </c>
      <c r="C174" s="19" t="s">
        <v>322</v>
      </c>
      <c r="D174" s="19" t="s">
        <v>9</v>
      </c>
      <c r="E174" s="19">
        <v>2446</v>
      </c>
      <c r="F174" s="19">
        <v>64.432677237098048</v>
      </c>
      <c r="G174" s="19">
        <v>40.538982224944242</v>
      </c>
      <c r="H174" s="19">
        <v>99158.350522213615</v>
      </c>
      <c r="I174" s="19">
        <v>37.730172520121997</v>
      </c>
      <c r="J174" s="19">
        <v>19.298627978932121</v>
      </c>
      <c r="K174" s="19">
        <v>24.530877635530675</v>
      </c>
      <c r="L174" s="19">
        <v>43.271854006970521</v>
      </c>
      <c r="M174" s="19">
        <v>33.866280205907749</v>
      </c>
      <c r="N174" s="19">
        <v>12.046325227796073</v>
      </c>
      <c r="O174" s="19">
        <v>12.314814989361995</v>
      </c>
      <c r="P174" s="19">
        <v>36.750180650949225</v>
      </c>
      <c r="Q174" s="19">
        <v>775.75352313263409</v>
      </c>
      <c r="R174" s="19">
        <v>123.69093308396066</v>
      </c>
      <c r="S174" s="19">
        <v>812.45709150392179</v>
      </c>
      <c r="T174" s="19">
        <v>995.55670431049327</v>
      </c>
      <c r="U174" s="19">
        <v>40.409598057884828</v>
      </c>
      <c r="V174" s="19">
        <v>9.1417518445975734</v>
      </c>
      <c r="W174" s="19">
        <v>49.47058099696234</v>
      </c>
      <c r="X174" s="19">
        <v>52.112838520463924</v>
      </c>
      <c r="Y174" s="19">
        <v>30.96620841663233</v>
      </c>
      <c r="Z174" s="19">
        <v>25.560133449055442</v>
      </c>
      <c r="AA174" s="19">
        <v>22.875351802534261</v>
      </c>
      <c r="AB174" s="19">
        <v>41.014370166389661</v>
      </c>
      <c r="AC174" s="19">
        <v>33.8381316345858</v>
      </c>
      <c r="AD174" s="19">
        <v>18.472978158445844</v>
      </c>
      <c r="AE174" s="19">
        <v>41.283667095589401</v>
      </c>
      <c r="AF174" s="19">
        <v>51.718717561576256</v>
      </c>
      <c r="AG174" s="19">
        <v>695.79616064255208</v>
      </c>
      <c r="AH174" s="19">
        <v>399.2280775850835</v>
      </c>
      <c r="AI174" s="19">
        <v>1747.9914976684267</v>
      </c>
      <c r="AJ174" s="19">
        <v>1812.7804331731993</v>
      </c>
      <c r="AK174" s="19">
        <v>1538.4421311583053</v>
      </c>
      <c r="AL174" s="19">
        <v>2994.3245502047439</v>
      </c>
      <c r="AM174" s="19">
        <v>2610.8280744080721</v>
      </c>
      <c r="AN174" s="19">
        <v>3248.1600848740268</v>
      </c>
      <c r="AO174" s="19"/>
      <c r="AP174" s="19">
        <v>1.0674134285577772</v>
      </c>
      <c r="AQ174" s="19">
        <v>0.90653930202362831</v>
      </c>
      <c r="AR174" s="19">
        <v>1.2854994294454218</v>
      </c>
      <c r="AS174" s="19">
        <v>1.0117266866446615</v>
      </c>
      <c r="AT174" s="19">
        <v>1.2757774054266453</v>
      </c>
      <c r="AU174" s="19">
        <v>0.87193334757609797</v>
      </c>
      <c r="AV174" s="19">
        <v>0.44598569721147996</v>
      </c>
      <c r="AW174" s="19">
        <v>0.56690146975396705</v>
      </c>
      <c r="AX174" s="19">
        <v>0.92152690425027917</v>
      </c>
      <c r="AY174" s="19">
        <v>0.32778955135516935</v>
      </c>
      <c r="AZ174" s="19">
        <v>0.33509535929434714</v>
      </c>
      <c r="BA174" s="19">
        <v>0.77542500476186094</v>
      </c>
      <c r="BB174" s="19">
        <v>0.17542225877808873</v>
      </c>
      <c r="BC174" s="19">
        <v>0.94929737856317287</v>
      </c>
      <c r="BD174" s="19">
        <v>0.75500875159137348</v>
      </c>
      <c r="BE174" s="19">
        <v>0.62319946266056248</v>
      </c>
      <c r="BF174" s="19">
        <v>0.55773992651190551</v>
      </c>
      <c r="BG174" s="19">
        <v>0.65427244197032053</v>
      </c>
      <c r="BH174" s="19">
        <v>0.35718167482501734</v>
      </c>
      <c r="BI174" s="19">
        <v>0.79823454722049336</v>
      </c>
    </row>
    <row r="175" spans="1:61" x14ac:dyDescent="0.55000000000000004">
      <c r="A175" s="19" t="s">
        <v>990</v>
      </c>
      <c r="B175" s="19" t="s">
        <v>991</v>
      </c>
      <c r="C175" s="19" t="s">
        <v>322</v>
      </c>
      <c r="D175" s="19" t="s">
        <v>9</v>
      </c>
      <c r="E175" s="19">
        <v>2339</v>
      </c>
      <c r="F175" s="19">
        <v>67.821919189323197</v>
      </c>
      <c r="G175" s="19">
        <v>38.475977708511422</v>
      </c>
      <c r="H175" s="19">
        <v>89995.31186020821</v>
      </c>
      <c r="I175" s="19">
        <v>46.878663579225289</v>
      </c>
      <c r="J175" s="19">
        <v>23.689313536656357</v>
      </c>
      <c r="K175" s="19">
        <v>26.256967116433234</v>
      </c>
      <c r="L175" s="19">
        <v>55.428286185728972</v>
      </c>
      <c r="M175" s="19">
        <v>35.019604026839083</v>
      </c>
      <c r="N175" s="19">
        <v>16.814311004992447</v>
      </c>
      <c r="O175" s="19">
        <v>8.0126658084088973</v>
      </c>
      <c r="P175" s="19">
        <v>38.173928017386956</v>
      </c>
      <c r="Q175" s="19">
        <v>334.47075802891311</v>
      </c>
      <c r="R175" s="19">
        <v>205.39850268953077</v>
      </c>
      <c r="S175" s="19">
        <v>1221.7966481285284</v>
      </c>
      <c r="T175" s="19">
        <v>1223.7791323785671</v>
      </c>
      <c r="U175" s="19">
        <v>42.852599757203485</v>
      </c>
      <c r="V175" s="19">
        <v>21.057684291281983</v>
      </c>
      <c r="W175" s="19">
        <v>57.215180898482934</v>
      </c>
      <c r="X175" s="19">
        <v>60.164395421009985</v>
      </c>
      <c r="Y175" s="19">
        <v>30.52167484531212</v>
      </c>
      <c r="Z175" s="19">
        <v>22.546402959079696</v>
      </c>
      <c r="AA175" s="19">
        <v>21.745188532971074</v>
      </c>
      <c r="AB175" s="19">
        <v>39.855169207979074</v>
      </c>
      <c r="AC175" s="19">
        <v>53.572570882380212</v>
      </c>
      <c r="AD175" s="19">
        <v>25.048825631609212</v>
      </c>
      <c r="AE175" s="19">
        <v>41.025675264014893</v>
      </c>
      <c r="AF175" s="19">
        <v>67.170325838632323</v>
      </c>
      <c r="AG175" s="19">
        <v>713.57316109206295</v>
      </c>
      <c r="AH175" s="19">
        <v>488.70385861968572</v>
      </c>
      <c r="AI175" s="19">
        <v>2039.7700824764056</v>
      </c>
      <c r="AJ175" s="19">
        <v>2116.6973065040975</v>
      </c>
      <c r="AK175" s="19">
        <v>2122.1692036202585</v>
      </c>
      <c r="AL175" s="19">
        <v>2858.4173722831929</v>
      </c>
      <c r="AM175" s="19">
        <v>4717.8768755195406</v>
      </c>
      <c r="AN175" s="19">
        <v>5134.1510098118488</v>
      </c>
      <c r="AO175" s="19"/>
      <c r="AP175" s="19">
        <v>1.4405946121927258</v>
      </c>
      <c r="AQ175" s="19">
        <v>0.99214965521051202</v>
      </c>
      <c r="AR175" s="19">
        <v>1.5636872408235329</v>
      </c>
      <c r="AS175" s="19">
        <v>1.0358455218452463</v>
      </c>
      <c r="AT175" s="19">
        <v>1.7457730729419076</v>
      </c>
      <c r="AU175" s="19">
        <v>0.84575343755252275</v>
      </c>
      <c r="AV175" s="19">
        <v>0.4273867219577791</v>
      </c>
      <c r="AW175" s="19">
        <v>0.47371060740451998</v>
      </c>
      <c r="AX175" s="19">
        <v>0.91736967730668995</v>
      </c>
      <c r="AY175" s="19">
        <v>0.4404658330506121</v>
      </c>
      <c r="AZ175" s="19">
        <v>0.20989890809139145</v>
      </c>
      <c r="BA175" s="19">
        <v>0.71225846212424415</v>
      </c>
      <c r="BB175" s="19">
        <v>0.35000242492137529</v>
      </c>
      <c r="BC175" s="19">
        <v>0.95098073367330549</v>
      </c>
      <c r="BD175" s="19">
        <v>0.76581470990723155</v>
      </c>
      <c r="BE175" s="19">
        <v>0.56570837377265148</v>
      </c>
      <c r="BF175" s="19">
        <v>0.54560522424322433</v>
      </c>
      <c r="BG175" s="19">
        <v>0.79756306395001142</v>
      </c>
      <c r="BH175" s="19">
        <v>0.37291505317073564</v>
      </c>
      <c r="BI175" s="19">
        <v>0.61077082404771366</v>
      </c>
    </row>
    <row r="176" spans="1:61" x14ac:dyDescent="0.55000000000000004">
      <c r="A176" s="19" t="s">
        <v>992</v>
      </c>
      <c r="B176" s="19" t="s">
        <v>993</v>
      </c>
      <c r="C176" s="19" t="s">
        <v>322</v>
      </c>
      <c r="D176" s="19" t="s">
        <v>9</v>
      </c>
      <c r="E176" s="19">
        <v>2373</v>
      </c>
      <c r="F176" s="19">
        <v>65.701580751326389</v>
      </c>
      <c r="G176" s="19">
        <v>32.902736481040577</v>
      </c>
      <c r="H176" s="19">
        <v>78078.193669509288</v>
      </c>
      <c r="I176" s="19">
        <v>30.97812571578546</v>
      </c>
      <c r="J176" s="19">
        <v>23.862171670250881</v>
      </c>
      <c r="K176" s="19">
        <v>24.460189540693118</v>
      </c>
      <c r="L176" s="19">
        <v>39.95521858835631</v>
      </c>
      <c r="M176" s="19">
        <v>34.374656768143389</v>
      </c>
      <c r="N176" s="19">
        <v>14.059638122637123</v>
      </c>
      <c r="O176" s="19">
        <v>14.572949290272836</v>
      </c>
      <c r="P176" s="19">
        <v>39.169541269761055</v>
      </c>
      <c r="Q176" s="19">
        <v>357.41993932883503</v>
      </c>
      <c r="R176" s="19">
        <v>172.88537881885941</v>
      </c>
      <c r="S176" s="19">
        <v>1131.2505421323558</v>
      </c>
      <c r="T176" s="19">
        <v>1171.8046537590519</v>
      </c>
      <c r="U176" s="19">
        <v>21.932692708466874</v>
      </c>
      <c r="V176" s="19">
        <v>8.1490136035169094</v>
      </c>
      <c r="W176" s="19">
        <v>53.997099012223657</v>
      </c>
      <c r="X176" s="19">
        <v>57.938302420865874</v>
      </c>
      <c r="Y176" s="19">
        <v>33.186002670906134</v>
      </c>
      <c r="Z176" s="19">
        <v>22.642987341741097</v>
      </c>
      <c r="AA176" s="19">
        <v>51.594272447485395</v>
      </c>
      <c r="AB176" s="19">
        <v>56.202650083940767</v>
      </c>
      <c r="AC176" s="19">
        <v>47.173820624103911</v>
      </c>
      <c r="AD176" s="19">
        <v>20.38830055140253</v>
      </c>
      <c r="AE176" s="19">
        <v>35.478247313425179</v>
      </c>
      <c r="AF176" s="19">
        <v>55.719075209813425</v>
      </c>
      <c r="AG176" s="19">
        <v>740.99186071090435</v>
      </c>
      <c r="AH176" s="19">
        <v>30.427625537453501</v>
      </c>
      <c r="AI176" s="19">
        <v>1984.6832273232594</v>
      </c>
      <c r="AJ176" s="19">
        <v>2091.3045394004789</v>
      </c>
      <c r="AK176" s="19">
        <v>2174.7068330969491</v>
      </c>
      <c r="AL176" s="19">
        <v>1349.9686122990477</v>
      </c>
      <c r="AM176" s="19">
        <v>3958.1246560306058</v>
      </c>
      <c r="AN176" s="19">
        <v>4488.8616089197967</v>
      </c>
      <c r="AO176" s="19"/>
      <c r="AP176" s="19">
        <v>1.2143433301172246</v>
      </c>
      <c r="AQ176" s="19">
        <v>1.1904645466899562</v>
      </c>
      <c r="AR176" s="19">
        <v>1.7608961629757285</v>
      </c>
      <c r="AS176" s="19">
        <v>1.7081451603980178</v>
      </c>
      <c r="AT176" s="19">
        <v>1.6934480583984322</v>
      </c>
      <c r="AU176" s="19">
        <v>0.77532114227534366</v>
      </c>
      <c r="AV176" s="19">
        <v>0.59722290387380739</v>
      </c>
      <c r="AW176" s="19">
        <v>0.61219010694691256</v>
      </c>
      <c r="AX176" s="19">
        <v>0.87758640141850919</v>
      </c>
      <c r="AY176" s="19">
        <v>0.35894313966579905</v>
      </c>
      <c r="AZ176" s="19">
        <v>0.37204799489247975</v>
      </c>
      <c r="BA176" s="19">
        <v>0.37855256008619342</v>
      </c>
      <c r="BB176" s="19">
        <v>0.14064985101431152</v>
      </c>
      <c r="BC176" s="19">
        <v>0.93197585631672164</v>
      </c>
      <c r="BD176" s="19">
        <v>0.59047042481700762</v>
      </c>
      <c r="BE176" s="19">
        <v>0.40288113297011702</v>
      </c>
      <c r="BF176" s="19">
        <v>0.91800426439727334</v>
      </c>
      <c r="BG176" s="19">
        <v>0.84663681955359349</v>
      </c>
      <c r="BH176" s="19">
        <v>0.36591240027996152</v>
      </c>
      <c r="BI176" s="19">
        <v>0.63673431728415752</v>
      </c>
    </row>
    <row r="177" spans="1:61" x14ac:dyDescent="0.55000000000000004">
      <c r="A177" s="19" t="s">
        <v>994</v>
      </c>
      <c r="B177" s="19" t="s">
        <v>995</v>
      </c>
      <c r="C177" s="19" t="s">
        <v>322</v>
      </c>
      <c r="D177" s="19" t="s">
        <v>9</v>
      </c>
      <c r="E177" s="19">
        <v>2376</v>
      </c>
      <c r="F177" s="19">
        <v>66.156317511524762</v>
      </c>
      <c r="G177" s="19">
        <v>36.832609716760572</v>
      </c>
      <c r="H177" s="19">
        <v>87514.280687023114</v>
      </c>
      <c r="I177" s="19">
        <v>36.998372345224162</v>
      </c>
      <c r="J177" s="19">
        <v>20.522859913604123</v>
      </c>
      <c r="K177" s="19">
        <v>21.100515624460279</v>
      </c>
      <c r="L177" s="19">
        <v>40.515841487451119</v>
      </c>
      <c r="M177" s="19">
        <v>40.686426938039119</v>
      </c>
      <c r="N177" s="19">
        <v>19.171021940030975</v>
      </c>
      <c r="O177" s="19">
        <v>9.0381718746471371</v>
      </c>
      <c r="P177" s="19">
        <v>44.517695124638934</v>
      </c>
      <c r="Q177" s="19">
        <v>547.9768175803232</v>
      </c>
      <c r="R177" s="19">
        <v>55.749667413858752</v>
      </c>
      <c r="S177" s="19">
        <v>950.03092995819941</v>
      </c>
      <c r="T177" s="19">
        <v>980.48687493094076</v>
      </c>
      <c r="U177" s="19">
        <v>30.850871969868393</v>
      </c>
      <c r="V177" s="19">
        <v>16.982227233524501</v>
      </c>
      <c r="W177" s="19">
        <v>57.718769034163252</v>
      </c>
      <c r="X177" s="19">
        <v>62.529892019581617</v>
      </c>
      <c r="Y177" s="19">
        <v>34.01267771465821</v>
      </c>
      <c r="Z177" s="19">
        <v>20.214791882101931</v>
      </c>
      <c r="AA177" s="19">
        <v>64.508024292661901</v>
      </c>
      <c r="AB177" s="19">
        <v>68.484749038599873</v>
      </c>
      <c r="AC177" s="19">
        <v>47.914614745884322</v>
      </c>
      <c r="AD177" s="19">
        <v>14.77126819234282</v>
      </c>
      <c r="AE177" s="19">
        <v>28.133654539735751</v>
      </c>
      <c r="AF177" s="19">
        <v>55.561960190200033</v>
      </c>
      <c r="AG177" s="19">
        <v>810.81807928423211</v>
      </c>
      <c r="AH177" s="19">
        <v>35.294830857240363</v>
      </c>
      <c r="AI177" s="19">
        <v>2147.6031157273896</v>
      </c>
      <c r="AJ177" s="19">
        <v>2294.9933542743306</v>
      </c>
      <c r="AK177" s="19">
        <v>2838.5750950838478</v>
      </c>
      <c r="AL177" s="19">
        <v>1043.9128259001413</v>
      </c>
      <c r="AM177" s="19">
        <v>2813.1689868678523</v>
      </c>
      <c r="AN177" s="19">
        <v>3955.7804382442041</v>
      </c>
      <c r="AO177" s="19"/>
      <c r="AP177" s="19">
        <v>1.099999207197488</v>
      </c>
      <c r="AQ177" s="19">
        <v>1.2086489517570427</v>
      </c>
      <c r="AR177" s="19">
        <v>1.6976774792888913</v>
      </c>
      <c r="AS177" s="19">
        <v>1.8593509817860145</v>
      </c>
      <c r="AT177" s="19">
        <v>1.5084991429460597</v>
      </c>
      <c r="AU177" s="19">
        <v>0.91318286840182217</v>
      </c>
      <c r="AV177" s="19">
        <v>0.50653915012380091</v>
      </c>
      <c r="AW177" s="19">
        <v>0.52079667729462542</v>
      </c>
      <c r="AX177" s="19">
        <v>0.91393830754550121</v>
      </c>
      <c r="AY177" s="19">
        <v>0.4306382414084261</v>
      </c>
      <c r="AZ177" s="19">
        <v>0.20302425472258639</v>
      </c>
      <c r="BA177" s="19">
        <v>0.49337798248887516</v>
      </c>
      <c r="BB177" s="19">
        <v>0.27158574379444655</v>
      </c>
      <c r="BC177" s="19">
        <v>0.92305883106416153</v>
      </c>
      <c r="BD177" s="19">
        <v>0.49664601523892182</v>
      </c>
      <c r="BE177" s="19">
        <v>0.29517216848832029</v>
      </c>
      <c r="BF177" s="19">
        <v>0.94193269593940421</v>
      </c>
      <c r="BG177" s="19">
        <v>0.86236364919205022</v>
      </c>
      <c r="BH177" s="19">
        <v>0.26585217911279097</v>
      </c>
      <c r="BI177" s="19">
        <v>0.50634740825248892</v>
      </c>
    </row>
    <row r="178" spans="1:61" x14ac:dyDescent="0.55000000000000004">
      <c r="A178" s="19" t="s">
        <v>1003</v>
      </c>
      <c r="B178" s="19" t="s">
        <v>1004</v>
      </c>
      <c r="C178" s="19" t="s">
        <v>322</v>
      </c>
      <c r="D178" s="19" t="s">
        <v>9</v>
      </c>
      <c r="E178" s="19">
        <v>1719</v>
      </c>
      <c r="F178" s="19">
        <v>69.268756265202541</v>
      </c>
      <c r="G178" s="19">
        <v>56.733105055113846</v>
      </c>
      <c r="H178" s="19">
        <v>97524.207589740705</v>
      </c>
      <c r="I178" s="19">
        <v>37.430507852015758</v>
      </c>
      <c r="J178" s="19">
        <v>49.827256196839485</v>
      </c>
      <c r="K178" s="19">
        <v>25.526232694868632</v>
      </c>
      <c r="L178" s="19">
        <v>63.498096920940561</v>
      </c>
      <c r="M178" s="19">
        <v>39.495211364850469</v>
      </c>
      <c r="N178" s="19">
        <v>17.908215424624935</v>
      </c>
      <c r="O178" s="19">
        <v>11.396438876955646</v>
      </c>
      <c r="P178" s="19">
        <v>42.679599041102975</v>
      </c>
      <c r="Q178" s="19">
        <v>606.19051009619648</v>
      </c>
      <c r="R178" s="19">
        <v>41.994216520937265</v>
      </c>
      <c r="S178" s="19">
        <v>1130.3431273557992</v>
      </c>
      <c r="T178" s="19">
        <v>1157.9319352629152</v>
      </c>
      <c r="U178" s="19">
        <v>38.627754840271614</v>
      </c>
      <c r="V178" s="19">
        <v>17.798841503367846</v>
      </c>
      <c r="W178" s="19">
        <v>61.590369848465869</v>
      </c>
      <c r="X178" s="19">
        <v>71.642594689663611</v>
      </c>
      <c r="Y178" s="19">
        <v>31.550860057887569</v>
      </c>
      <c r="Z178" s="19">
        <v>37.751694752617588</v>
      </c>
      <c r="AA178" s="19">
        <v>37.980993699480329</v>
      </c>
      <c r="AB178" s="19">
        <v>48.289142366589402</v>
      </c>
      <c r="AC178" s="19">
        <v>42.813906731044042</v>
      </c>
      <c r="AD178" s="19">
        <v>24.783475745305239</v>
      </c>
      <c r="AE178" s="19">
        <v>36.441797159064407</v>
      </c>
      <c r="AF178" s="19">
        <v>51.096723188928074</v>
      </c>
      <c r="AG178" s="19">
        <v>1198.3067752476863</v>
      </c>
      <c r="AH178" s="19">
        <v>34.151036375222141</v>
      </c>
      <c r="AI178" s="19">
        <v>2770.4935387432192</v>
      </c>
      <c r="AJ178" s="19">
        <v>2967.5487936066866</v>
      </c>
      <c r="AK178" s="19">
        <v>2925.4385613631262</v>
      </c>
      <c r="AL178" s="19">
        <v>3607.0983452054256</v>
      </c>
      <c r="AM178" s="19">
        <v>1851.3899069890356</v>
      </c>
      <c r="AN178" s="19">
        <v>4502.9707627611551</v>
      </c>
      <c r="AO178" s="19"/>
      <c r="AP178" s="19">
        <v>1.1192424045758611</v>
      </c>
      <c r="AQ178" s="19">
        <v>0.75228738140881812</v>
      </c>
      <c r="AR178" s="19">
        <v>1.2628005222006766</v>
      </c>
      <c r="AS178" s="19">
        <v>0.85116339603972868</v>
      </c>
      <c r="AT178" s="19">
        <v>0.90065091870592551</v>
      </c>
      <c r="AU178" s="19">
        <v>0.58947448296945471</v>
      </c>
      <c r="AV178" s="19">
        <v>0.7847047173536208</v>
      </c>
      <c r="AW178" s="19">
        <v>0.40199996429263896</v>
      </c>
      <c r="AX178" s="19">
        <v>0.9253885287632212</v>
      </c>
      <c r="AY178" s="19">
        <v>0.41959661821982597</v>
      </c>
      <c r="AZ178" s="19">
        <v>0.26702310080233421</v>
      </c>
      <c r="BA178" s="19">
        <v>0.53917302978202597</v>
      </c>
      <c r="BB178" s="19">
        <v>0.24843937577174061</v>
      </c>
      <c r="BC178" s="19">
        <v>0.8596892688666391</v>
      </c>
      <c r="BD178" s="19">
        <v>0.6533737919461825</v>
      </c>
      <c r="BE178" s="19">
        <v>0.78178432878396842</v>
      </c>
      <c r="BF178" s="19">
        <v>0.78653278642113267</v>
      </c>
      <c r="BG178" s="19">
        <v>0.83789926357393507</v>
      </c>
      <c r="BH178" s="19">
        <v>0.48503062816120979</v>
      </c>
      <c r="BI178" s="19">
        <v>0.71319244923636949</v>
      </c>
    </row>
    <row r="179" spans="1:61" x14ac:dyDescent="0.55000000000000004">
      <c r="A179" s="19" t="s">
        <v>1007</v>
      </c>
      <c r="B179" s="19" t="s">
        <v>1008</v>
      </c>
      <c r="C179" s="19" t="s">
        <v>322</v>
      </c>
      <c r="D179" s="19" t="s">
        <v>9</v>
      </c>
      <c r="E179" s="19">
        <v>2706</v>
      </c>
      <c r="F179" s="19">
        <v>68.759711292441949</v>
      </c>
      <c r="G179" s="19">
        <v>36.117998925517831</v>
      </c>
      <c r="H179" s="19">
        <v>97735.30509245125</v>
      </c>
      <c r="I179" s="19">
        <v>38.2923248969295</v>
      </c>
      <c r="J179" s="19">
        <v>16.46608594850526</v>
      </c>
      <c r="K179" s="19">
        <v>31.424225548830766</v>
      </c>
      <c r="L179" s="19">
        <v>43.41025071897662</v>
      </c>
      <c r="M179" s="19">
        <v>34.424608549072104</v>
      </c>
      <c r="N179" s="19">
        <v>11.917610377737798</v>
      </c>
      <c r="O179" s="19">
        <v>15.919892802270688</v>
      </c>
      <c r="P179" s="19">
        <v>38.073104243206565</v>
      </c>
      <c r="Q179" s="19">
        <v>329.69525462018663</v>
      </c>
      <c r="R179" s="19">
        <v>41.703837903826297</v>
      </c>
      <c r="S179" s="19">
        <v>1270.8030577989732</v>
      </c>
      <c r="T179" s="19">
        <v>1281.5208385935439</v>
      </c>
      <c r="U179" s="19">
        <v>20.189760393818563</v>
      </c>
      <c r="V179" s="19">
        <v>10.913251235516297</v>
      </c>
      <c r="W179" s="19">
        <v>49.931961071637375</v>
      </c>
      <c r="X179" s="19">
        <v>53.705259918610921</v>
      </c>
      <c r="Y179" s="19">
        <v>27.767725265120717</v>
      </c>
      <c r="Z179" s="19">
        <v>27.910478578597576</v>
      </c>
      <c r="AA179" s="19">
        <v>14.446316186924848</v>
      </c>
      <c r="AB179" s="19">
        <v>39.224383454424711</v>
      </c>
      <c r="AC179" s="19">
        <v>32.18556010492162</v>
      </c>
      <c r="AD179" s="19">
        <v>17.340047888149201</v>
      </c>
      <c r="AE179" s="19">
        <v>29.433076489018944</v>
      </c>
      <c r="AF179" s="19">
        <v>44.571667858470192</v>
      </c>
      <c r="AG179" s="19">
        <v>659.07667150467341</v>
      </c>
      <c r="AH179" s="19">
        <v>95.449289333398227</v>
      </c>
      <c r="AI179" s="19">
        <v>1771.0562031997631</v>
      </c>
      <c r="AJ179" s="19">
        <v>1857.4389350821584</v>
      </c>
      <c r="AK179" s="19">
        <v>1229.4256464044267</v>
      </c>
      <c r="AL179" s="19">
        <v>2535.6196868212828</v>
      </c>
      <c r="AM179" s="19">
        <v>1396.7332717162458</v>
      </c>
      <c r="AN179" s="19">
        <v>2550.9092051318885</v>
      </c>
      <c r="AO179" s="19"/>
      <c r="AP179" s="19">
        <v>1.2019007699871966</v>
      </c>
      <c r="AQ179" s="19">
        <v>1.0541310530996064</v>
      </c>
      <c r="AR179" s="19">
        <v>1.4869389644027997</v>
      </c>
      <c r="AS179" s="19">
        <v>1.0860065513405888</v>
      </c>
      <c r="AT179" s="19">
        <v>1.2340569573188545</v>
      </c>
      <c r="AU179" s="19">
        <v>0.8821032881109383</v>
      </c>
      <c r="AV179" s="19">
        <v>0.37931331139046326</v>
      </c>
      <c r="AW179" s="19">
        <v>0.72388951983393612</v>
      </c>
      <c r="AX179" s="19">
        <v>0.90417131025544184</v>
      </c>
      <c r="AY179" s="19">
        <v>0.31301914079843579</v>
      </c>
      <c r="AZ179" s="19">
        <v>0.41814013116913878</v>
      </c>
      <c r="BA179" s="19">
        <v>0.37593636869862801</v>
      </c>
      <c r="BB179" s="19">
        <v>0.20320637591280774</v>
      </c>
      <c r="BC179" s="19">
        <v>0.92974060915649803</v>
      </c>
      <c r="BD179" s="19">
        <v>0.70791999311816778</v>
      </c>
      <c r="BE179" s="19">
        <v>0.71155939547213287</v>
      </c>
      <c r="BF179" s="19">
        <v>0.36829938203388712</v>
      </c>
      <c r="BG179" s="19">
        <v>0.7221080487075654</v>
      </c>
      <c r="BH179" s="19">
        <v>0.38903744735803014</v>
      </c>
      <c r="BI179" s="19">
        <v>0.66035394014149773</v>
      </c>
    </row>
    <row r="180" spans="1:61" x14ac:dyDescent="0.55000000000000004">
      <c r="A180" s="19" t="s">
        <v>1011</v>
      </c>
      <c r="B180" s="19" t="s">
        <v>1012</v>
      </c>
      <c r="C180" s="19" t="s">
        <v>322</v>
      </c>
      <c r="D180" s="19" t="s">
        <v>9</v>
      </c>
      <c r="E180" s="19">
        <v>1851</v>
      </c>
      <c r="F180" s="19">
        <v>70.865245503027239</v>
      </c>
      <c r="G180" s="19">
        <v>46.101836057575944</v>
      </c>
      <c r="H180" s="19">
        <v>85334.49854257307</v>
      </c>
      <c r="I180" s="19">
        <v>56.774693942132636</v>
      </c>
      <c r="J180" s="19">
        <v>21.444645770447405</v>
      </c>
      <c r="K180" s="19">
        <v>30.036449822879362</v>
      </c>
      <c r="L180" s="19">
        <v>62.495271990302719</v>
      </c>
      <c r="M180" s="19">
        <v>37.830498125572618</v>
      </c>
      <c r="N180" s="19">
        <v>15.294372041423328</v>
      </c>
      <c r="O180" s="19">
        <v>12.135535091634432</v>
      </c>
      <c r="P180" s="19">
        <v>41.287823709756751</v>
      </c>
      <c r="Q180" s="19">
        <v>420.44448913070045</v>
      </c>
      <c r="R180" s="19">
        <v>261.09874198099897</v>
      </c>
      <c r="S180" s="19">
        <v>1179.1115774310772</v>
      </c>
      <c r="T180" s="19">
        <v>1183.4679564961341</v>
      </c>
      <c r="U180" s="19">
        <v>34.41919419038679</v>
      </c>
      <c r="V180" s="19">
        <v>18.209726451391791</v>
      </c>
      <c r="W180" s="19">
        <v>65.512966388966376</v>
      </c>
      <c r="X180" s="19">
        <v>73.708174654612151</v>
      </c>
      <c r="Y180" s="19">
        <v>30.864904257534789</v>
      </c>
      <c r="Z180" s="19">
        <v>37.229446416109553</v>
      </c>
      <c r="AA180" s="19">
        <v>30.726306804533522</v>
      </c>
      <c r="AB180" s="19">
        <v>53.926035764604372</v>
      </c>
      <c r="AC180" s="19">
        <v>58.167534695156078</v>
      </c>
      <c r="AD180" s="19">
        <v>31.14556894203708</v>
      </c>
      <c r="AE180" s="19">
        <v>33.482427839293237</v>
      </c>
      <c r="AF180" s="19">
        <v>66.70817263337355</v>
      </c>
      <c r="AG180" s="19">
        <v>1110.0286244653455</v>
      </c>
      <c r="AH180" s="19">
        <v>39.574280083892006</v>
      </c>
      <c r="AI180" s="19">
        <v>2382.3231225906247</v>
      </c>
      <c r="AJ180" s="19">
        <v>2618.0589961682253</v>
      </c>
      <c r="AK180" s="19">
        <v>1674.4515405081149</v>
      </c>
      <c r="AL180" s="19">
        <v>1791.2747688542227</v>
      </c>
      <c r="AM180" s="19">
        <v>886.97078426905261</v>
      </c>
      <c r="AN180" s="19">
        <v>2182.6619331704455</v>
      </c>
      <c r="AO180" s="19"/>
      <c r="AP180" s="19">
        <v>1.355591823116399</v>
      </c>
      <c r="AQ180" s="19">
        <v>0.89557872832207719</v>
      </c>
      <c r="AR180" s="19">
        <v>1.5988121289260373</v>
      </c>
      <c r="AS180" s="19">
        <v>1.1697155769947403</v>
      </c>
      <c r="AT180" s="19">
        <v>1.4469743146468752</v>
      </c>
      <c r="AU180" s="19">
        <v>0.90846382668663739</v>
      </c>
      <c r="AV180" s="19">
        <v>0.34314029025707632</v>
      </c>
      <c r="AW180" s="19">
        <v>0.48061955514874893</v>
      </c>
      <c r="AX180" s="19">
        <v>0.91626282827382033</v>
      </c>
      <c r="AY180" s="19">
        <v>0.37043299130850305</v>
      </c>
      <c r="AZ180" s="19">
        <v>0.29392527872004737</v>
      </c>
      <c r="BA180" s="19">
        <v>0.46696576535331519</v>
      </c>
      <c r="BB180" s="19">
        <v>0.24705165385956757</v>
      </c>
      <c r="BC180" s="19">
        <v>0.88881547665442051</v>
      </c>
      <c r="BD180" s="19">
        <v>0.57235626205243328</v>
      </c>
      <c r="BE180" s="19">
        <v>0.69037981168543416</v>
      </c>
      <c r="BF180" s="19">
        <v>0.56978612221114644</v>
      </c>
      <c r="BG180" s="19">
        <v>0.87197014097273207</v>
      </c>
      <c r="BH180" s="19">
        <v>0.46689285154327864</v>
      </c>
      <c r="BI180" s="19">
        <v>0.5019239250235773</v>
      </c>
    </row>
    <row r="181" spans="1:61" x14ac:dyDescent="0.55000000000000004">
      <c r="A181" s="19" t="s">
        <v>1015</v>
      </c>
      <c r="B181" s="19" t="s">
        <v>1016</v>
      </c>
      <c r="C181" s="19" t="s">
        <v>322</v>
      </c>
      <c r="D181" s="19" t="s">
        <v>9</v>
      </c>
      <c r="E181" s="19">
        <v>1810</v>
      </c>
      <c r="F181" s="19">
        <v>73.073948223279103</v>
      </c>
      <c r="G181" s="19">
        <v>52.872153647516562</v>
      </c>
      <c r="H181" s="19">
        <v>95698.59810200498</v>
      </c>
      <c r="I181" s="19">
        <v>29.661768612362955</v>
      </c>
      <c r="J181" s="19">
        <v>15.01129312278071</v>
      </c>
      <c r="K181" s="19">
        <v>26.235386501575135</v>
      </c>
      <c r="L181" s="19">
        <v>39.66429657959057</v>
      </c>
      <c r="M181" s="19">
        <v>31.1988902345893</v>
      </c>
      <c r="N181" s="19">
        <v>11.219432771849041</v>
      </c>
      <c r="O181" s="19">
        <v>12.77059925565681</v>
      </c>
      <c r="P181" s="19">
        <v>34.049603164442374</v>
      </c>
      <c r="Q181" s="19">
        <v>560.63598766807797</v>
      </c>
      <c r="R181" s="19">
        <v>101.92702843741469</v>
      </c>
      <c r="S181" s="19">
        <v>941.11091029137333</v>
      </c>
      <c r="T181" s="19">
        <v>1003.7706742486549</v>
      </c>
      <c r="U181" s="19">
        <v>29.949794339866436</v>
      </c>
      <c r="V181" s="19">
        <v>17.447615164413691</v>
      </c>
      <c r="W181" s="19">
        <v>54.316868653674248</v>
      </c>
      <c r="X181" s="19">
        <v>63.020147296766652</v>
      </c>
      <c r="Y181" s="19">
        <v>27.875619091771561</v>
      </c>
      <c r="Z181" s="19">
        <v>34.42319982620127</v>
      </c>
      <c r="AA181" s="19">
        <v>83.845723849498313</v>
      </c>
      <c r="AB181" s="19">
        <v>89.954331589663227</v>
      </c>
      <c r="AC181" s="19">
        <v>29.248412993137624</v>
      </c>
      <c r="AD181" s="19">
        <v>21.248609070540638</v>
      </c>
      <c r="AE181" s="19">
        <v>42.446355310407483</v>
      </c>
      <c r="AF181" s="19">
        <v>48.491104319428302</v>
      </c>
      <c r="AG181" s="19">
        <v>939.65472273367322</v>
      </c>
      <c r="AH181" s="19">
        <v>672.12940538645375</v>
      </c>
      <c r="AI181" s="19">
        <v>2134.1495754358994</v>
      </c>
      <c r="AJ181" s="19">
        <v>2281.2714913866521</v>
      </c>
      <c r="AK181" s="19">
        <v>1802.1269483000792</v>
      </c>
      <c r="AL181" s="19">
        <v>3098.527497660913</v>
      </c>
      <c r="AM181" s="19">
        <v>1008.4075567424851</v>
      </c>
      <c r="AN181" s="19">
        <v>3536.0857500409988</v>
      </c>
      <c r="AO181" s="19"/>
      <c r="AP181" s="19">
        <v>0.75019256533450529</v>
      </c>
      <c r="AQ181" s="19">
        <v>0.64399879360771428</v>
      </c>
      <c r="AR181" s="19">
        <v>1.1919345619416952</v>
      </c>
      <c r="AS181" s="19">
        <v>1.7013555413188364</v>
      </c>
      <c r="AT181" s="19">
        <v>0.91713881455831259</v>
      </c>
      <c r="AU181" s="19">
        <v>0.74782036164043664</v>
      </c>
      <c r="AV181" s="19">
        <v>0.37845857401401223</v>
      </c>
      <c r="AW181" s="19">
        <v>0.66143581921164496</v>
      </c>
      <c r="AX181" s="19">
        <v>0.91627764599529771</v>
      </c>
      <c r="AY181" s="19">
        <v>0.32950260000578718</v>
      </c>
      <c r="AZ181" s="19">
        <v>0.37505868112416085</v>
      </c>
      <c r="BA181" s="19">
        <v>0.47524157947188833</v>
      </c>
      <c r="BB181" s="19">
        <v>0.27685773380140716</v>
      </c>
      <c r="BC181" s="19">
        <v>0.8618968851007599</v>
      </c>
      <c r="BD181" s="19">
        <v>0.30988634565069445</v>
      </c>
      <c r="BE181" s="19">
        <v>0.38267417719500774</v>
      </c>
      <c r="BF181" s="19">
        <v>0.93209212238905836</v>
      </c>
      <c r="BG181" s="19">
        <v>0.60317069292684766</v>
      </c>
      <c r="BH181" s="19">
        <v>0.43819602314206801</v>
      </c>
      <c r="BI181" s="19">
        <v>0.87534313573883804</v>
      </c>
    </row>
    <row r="182" spans="1:61" x14ac:dyDescent="0.55000000000000004">
      <c r="A182" s="19" t="s">
        <v>1017</v>
      </c>
      <c r="B182" s="19" t="s">
        <v>1018</v>
      </c>
      <c r="C182" s="19" t="s">
        <v>322</v>
      </c>
      <c r="D182" s="19" t="s">
        <v>9</v>
      </c>
      <c r="E182" s="19">
        <v>2851</v>
      </c>
      <c r="F182" s="19">
        <v>70.930024683721399</v>
      </c>
      <c r="G182" s="19">
        <v>40.836426979319548</v>
      </c>
      <c r="H182" s="19">
        <v>116424.65331804003</v>
      </c>
      <c r="I182" s="19">
        <v>38.573062768683407</v>
      </c>
      <c r="J182" s="19">
        <v>14.000727049999712</v>
      </c>
      <c r="K182" s="19">
        <v>29.180180696789471</v>
      </c>
      <c r="L182" s="19">
        <v>46.170686476268237</v>
      </c>
      <c r="M182" s="19">
        <v>35.399476931723179</v>
      </c>
      <c r="N182" s="19">
        <v>14.597480111420989</v>
      </c>
      <c r="O182" s="19">
        <v>10.692146843665238</v>
      </c>
      <c r="P182" s="19">
        <v>37.523090373355565</v>
      </c>
      <c r="Q182" s="19">
        <v>440.0745497773554</v>
      </c>
      <c r="R182" s="19">
        <v>69.662741881960343</v>
      </c>
      <c r="S182" s="19">
        <v>983.33190522139057</v>
      </c>
      <c r="T182" s="19">
        <v>983.37728917879122</v>
      </c>
      <c r="U182" s="19">
        <v>35.951835116881277</v>
      </c>
      <c r="V182" s="19">
        <v>25.165958877126236</v>
      </c>
      <c r="W182" s="19">
        <v>55.081389243803777</v>
      </c>
      <c r="X182" s="19">
        <v>59.952659997223314</v>
      </c>
      <c r="Y182" s="19">
        <v>28.160506754283666</v>
      </c>
      <c r="Z182" s="19">
        <v>31.826907979231784</v>
      </c>
      <c r="AA182" s="19">
        <v>41.536505723075358</v>
      </c>
      <c r="AB182" s="19">
        <v>49.656533855884568</v>
      </c>
      <c r="AC182" s="19">
        <v>38.161788087437671</v>
      </c>
      <c r="AD182" s="19">
        <v>14.317209977926179</v>
      </c>
      <c r="AE182" s="19">
        <v>30.924656983763715</v>
      </c>
      <c r="AF182" s="19">
        <v>46.514453148957436</v>
      </c>
      <c r="AG182" s="19">
        <v>846.8143314513884</v>
      </c>
      <c r="AH182" s="19">
        <v>39.025397107417362</v>
      </c>
      <c r="AI182" s="19">
        <v>2019.8587253828991</v>
      </c>
      <c r="AJ182" s="19">
        <v>2163.1527130557283</v>
      </c>
      <c r="AK182" s="19">
        <v>2780.4915906052106</v>
      </c>
      <c r="AL182" s="19">
        <v>1992.509088977459</v>
      </c>
      <c r="AM182" s="19">
        <v>2230.9318711785791</v>
      </c>
      <c r="AN182" s="19">
        <v>3550.2344393860544</v>
      </c>
      <c r="AO182" s="19"/>
      <c r="AP182" s="19">
        <v>1.1306250299432434</v>
      </c>
      <c r="AQ182" s="19">
        <v>0.91886320985815118</v>
      </c>
      <c r="AR182" s="19">
        <v>1.4681171794874375</v>
      </c>
      <c r="AS182" s="19">
        <v>1.2159862536708148</v>
      </c>
      <c r="AT182" s="19">
        <v>1.1390431678195883</v>
      </c>
      <c r="AU182" s="19">
        <v>0.83544486150341268</v>
      </c>
      <c r="AV182" s="19">
        <v>0.30323844236528941</v>
      </c>
      <c r="AW182" s="19">
        <v>0.63200664585717392</v>
      </c>
      <c r="AX182" s="19">
        <v>0.94340515611847564</v>
      </c>
      <c r="AY182" s="19">
        <v>0.38902659578877286</v>
      </c>
      <c r="AZ182" s="19">
        <v>0.28494846072853131</v>
      </c>
      <c r="BA182" s="19">
        <v>0.59967039191499383</v>
      </c>
      <c r="BB182" s="19">
        <v>0.41976384164258579</v>
      </c>
      <c r="BC182" s="19">
        <v>0.91874804631445628</v>
      </c>
      <c r="BD182" s="19">
        <v>0.56710576771251009</v>
      </c>
      <c r="BE182" s="19">
        <v>0.64094099019479034</v>
      </c>
      <c r="BF182" s="19">
        <v>0.83647613914463859</v>
      </c>
      <c r="BG182" s="19">
        <v>0.82042860882893165</v>
      </c>
      <c r="BH182" s="19">
        <v>0.30780131784150799</v>
      </c>
      <c r="BI182" s="19">
        <v>0.66483974098826637</v>
      </c>
    </row>
    <row r="183" spans="1:61" x14ac:dyDescent="0.55000000000000004">
      <c r="A183" s="19" t="s">
        <v>1025</v>
      </c>
      <c r="B183" s="19" t="s">
        <v>1026</v>
      </c>
      <c r="C183" s="19" t="s">
        <v>322</v>
      </c>
      <c r="D183" s="19" t="s">
        <v>9</v>
      </c>
      <c r="E183" s="19">
        <v>1788</v>
      </c>
      <c r="F183" s="19">
        <v>69.042652942624656</v>
      </c>
      <c r="G183" s="19">
        <v>59.780737276952081</v>
      </c>
      <c r="H183" s="19">
        <v>106887.95825119033</v>
      </c>
      <c r="I183" s="19">
        <v>43.325700411449404</v>
      </c>
      <c r="J183" s="19">
        <v>18.76260929117997</v>
      </c>
      <c r="K183" s="19">
        <v>32.497529479229968</v>
      </c>
      <c r="L183" s="19">
        <v>50.381648977313048</v>
      </c>
      <c r="M183" s="19">
        <v>36.026308860358704</v>
      </c>
      <c r="N183" s="19">
        <v>16.813473192178066</v>
      </c>
      <c r="O183" s="19">
        <v>19.576932223601993</v>
      </c>
      <c r="P183" s="19">
        <v>39.414122711270309</v>
      </c>
      <c r="Q183" s="19">
        <v>358.64147920674958</v>
      </c>
      <c r="R183" s="19">
        <v>49.725674318088181</v>
      </c>
      <c r="S183" s="19">
        <v>1524.2842508744181</v>
      </c>
      <c r="T183" s="19">
        <v>1531.1065588455465</v>
      </c>
      <c r="U183" s="19">
        <v>22.529745922722292</v>
      </c>
      <c r="V183" s="19">
        <v>10.615715149358893</v>
      </c>
      <c r="W183" s="19">
        <v>50.668401297005914</v>
      </c>
      <c r="X183" s="19">
        <v>56.011027174329577</v>
      </c>
      <c r="Y183" s="19">
        <v>28.762932618220894</v>
      </c>
      <c r="Z183" s="19">
        <v>31.568082414651375</v>
      </c>
      <c r="AA183" s="19">
        <v>55.654339339437449</v>
      </c>
      <c r="AB183" s="19">
        <v>61.607632441372644</v>
      </c>
      <c r="AC183" s="19">
        <v>40.289297200984457</v>
      </c>
      <c r="AD183" s="19">
        <v>24.30969109055787</v>
      </c>
      <c r="AE183" s="19">
        <v>34.706758285321051</v>
      </c>
      <c r="AF183" s="19">
        <v>52.25112917432962</v>
      </c>
      <c r="AG183" s="19">
        <v>753.32162022578314</v>
      </c>
      <c r="AH183" s="19">
        <v>91.06928756572961</v>
      </c>
      <c r="AI183" s="19">
        <v>1887.1333106898398</v>
      </c>
      <c r="AJ183" s="19">
        <v>2026.5627910048404</v>
      </c>
      <c r="AK183" s="19">
        <v>966.32041226419904</v>
      </c>
      <c r="AL183" s="19">
        <v>3234.9346282362735</v>
      </c>
      <c r="AM183" s="19">
        <v>1460.5426331973908</v>
      </c>
      <c r="AN183" s="19">
        <v>3341.2021603696439</v>
      </c>
      <c r="AO183" s="19"/>
      <c r="AP183" s="19">
        <v>0.84277396486271228</v>
      </c>
      <c r="AQ183" s="19">
        <v>0.65931141880490096</v>
      </c>
      <c r="AR183" s="19">
        <v>0.93694105703049135</v>
      </c>
      <c r="AS183" s="19">
        <v>1.0305599302992354</v>
      </c>
      <c r="AT183" s="19">
        <v>0.87404624891561122</v>
      </c>
      <c r="AU183" s="19">
        <v>0.85995002726010517</v>
      </c>
      <c r="AV183" s="19">
        <v>0.37240959103241755</v>
      </c>
      <c r="AW183" s="19">
        <v>0.64502711084076791</v>
      </c>
      <c r="AX183" s="19">
        <v>0.91404568672683217</v>
      </c>
      <c r="AY183" s="19">
        <v>0.42658499125670812</v>
      </c>
      <c r="AZ183" s="19">
        <v>0.49669841358676364</v>
      </c>
      <c r="BA183" s="19">
        <v>0.40223768531507853</v>
      </c>
      <c r="BB183" s="19">
        <v>0.18952902106791183</v>
      </c>
      <c r="BC183" s="19">
        <v>0.90461474915117712</v>
      </c>
      <c r="BD183" s="19">
        <v>0.46687287724605253</v>
      </c>
      <c r="BE183" s="19">
        <v>0.51240538166585692</v>
      </c>
      <c r="BF183" s="19">
        <v>0.90336760453178433</v>
      </c>
      <c r="BG183" s="19">
        <v>0.77107036417460095</v>
      </c>
      <c r="BH183" s="19">
        <v>0.46524719129899572</v>
      </c>
      <c r="BI183" s="19">
        <v>0.66422982304413214</v>
      </c>
    </row>
    <row r="184" spans="1:61" x14ac:dyDescent="0.55000000000000004">
      <c r="A184" s="19" t="s">
        <v>1027</v>
      </c>
      <c r="B184" s="19" t="s">
        <v>1028</v>
      </c>
      <c r="C184" s="19" t="s">
        <v>322</v>
      </c>
      <c r="D184" s="19" t="s">
        <v>9</v>
      </c>
      <c r="E184" s="19">
        <v>2262</v>
      </c>
      <c r="F184" s="19">
        <v>70.486834863131818</v>
      </c>
      <c r="G184" s="19">
        <v>41.781155866992719</v>
      </c>
      <c r="H184" s="19">
        <v>94508.974571137529</v>
      </c>
      <c r="I184" s="19">
        <v>38.810033338281968</v>
      </c>
      <c r="J184" s="19">
        <v>15.977123818215704</v>
      </c>
      <c r="K184" s="19">
        <v>18.716356286876788</v>
      </c>
      <c r="L184" s="19">
        <v>40.52492836278401</v>
      </c>
      <c r="M184" s="19">
        <v>28.104012286735561</v>
      </c>
      <c r="N184" s="19">
        <v>16.599868987260805</v>
      </c>
      <c r="O184" s="19">
        <v>9.5744087157853901</v>
      </c>
      <c r="P184" s="19">
        <v>32.434558179694449</v>
      </c>
      <c r="Q184" s="19">
        <v>487.77253786334927</v>
      </c>
      <c r="R184" s="19">
        <v>485.66115464255853</v>
      </c>
      <c r="S184" s="19">
        <v>694.30140442772074</v>
      </c>
      <c r="T184" s="19">
        <v>840.15122450431147</v>
      </c>
      <c r="U184" s="19">
        <v>30.745650980817533</v>
      </c>
      <c r="V184" s="19">
        <v>10.139357976091741</v>
      </c>
      <c r="W184" s="19">
        <v>43.697430009585318</v>
      </c>
      <c r="X184" s="19">
        <v>46.848194235280943</v>
      </c>
      <c r="Y184" s="19">
        <v>25.746212608817522</v>
      </c>
      <c r="Z184" s="19">
        <v>19.0023748825841</v>
      </c>
      <c r="AA184" s="19">
        <v>50.097287192029356</v>
      </c>
      <c r="AB184" s="19">
        <v>56.002844901454239</v>
      </c>
      <c r="AC184" s="19">
        <v>36.264268525728383</v>
      </c>
      <c r="AD184" s="19">
        <v>16.690307792409616</v>
      </c>
      <c r="AE184" s="19">
        <v>25.370908263331611</v>
      </c>
      <c r="AF184" s="19">
        <v>44.889818342052514</v>
      </c>
      <c r="AG184" s="19">
        <v>628.58275868573071</v>
      </c>
      <c r="AH184" s="19">
        <v>29.270347428114736</v>
      </c>
      <c r="AI184" s="19">
        <v>1591.9592263814288</v>
      </c>
      <c r="AJ184" s="19">
        <v>1631.6478299205846</v>
      </c>
      <c r="AK184" s="19">
        <v>1934.7180906720862</v>
      </c>
      <c r="AL184" s="19">
        <v>1760.3624205669648</v>
      </c>
      <c r="AM184" s="19">
        <v>1950.8606905122169</v>
      </c>
      <c r="AN184" s="19">
        <v>2726.9479633142064</v>
      </c>
      <c r="AO184" s="19"/>
      <c r="AP184" s="19">
        <v>0.96993315579377892</v>
      </c>
      <c r="AQ184" s="19">
        <v>0.77629633519349039</v>
      </c>
      <c r="AR184" s="19">
        <v>1.1212756866856142</v>
      </c>
      <c r="AS184" s="19">
        <v>1.3403852463951749</v>
      </c>
      <c r="AT184" s="19">
        <v>1.0744034579836901</v>
      </c>
      <c r="AU184" s="19">
        <v>0.95768295975380646</v>
      </c>
      <c r="AV184" s="19">
        <v>0.39425421496582497</v>
      </c>
      <c r="AW184" s="19">
        <v>0.46184797957755103</v>
      </c>
      <c r="AX184" s="19">
        <v>0.86648358615009557</v>
      </c>
      <c r="AY184" s="19">
        <v>0.51179574869785338</v>
      </c>
      <c r="AZ184" s="19">
        <v>0.29519158740319817</v>
      </c>
      <c r="BA184" s="19">
        <v>0.65628252022707134</v>
      </c>
      <c r="BB184" s="19">
        <v>0.21643007039225184</v>
      </c>
      <c r="BC184" s="19">
        <v>0.93274523645731444</v>
      </c>
      <c r="BD184" s="19">
        <v>0.45973044144671593</v>
      </c>
      <c r="BE184" s="19">
        <v>0.33931088529559078</v>
      </c>
      <c r="BF184" s="19">
        <v>0.89454896943509499</v>
      </c>
      <c r="BG184" s="19">
        <v>0.80785064108304117</v>
      </c>
      <c r="BH184" s="19">
        <v>0.37180608897172202</v>
      </c>
      <c r="BI184" s="19">
        <v>0.56518179846507188</v>
      </c>
    </row>
    <row r="185" spans="1:61" x14ac:dyDescent="0.55000000000000004">
      <c r="A185" s="19" t="s">
        <v>1029</v>
      </c>
      <c r="B185" s="19" t="s">
        <v>1030</v>
      </c>
      <c r="C185" s="19" t="s">
        <v>322</v>
      </c>
      <c r="D185" s="19" t="s">
        <v>9</v>
      </c>
      <c r="E185" s="19">
        <v>2129</v>
      </c>
      <c r="F185" s="19">
        <v>67.409046035947597</v>
      </c>
      <c r="G185" s="19">
        <v>41.631260305787102</v>
      </c>
      <c r="H185" s="19">
        <v>88632.953191020744</v>
      </c>
      <c r="I185" s="19">
        <v>36.41694310778098</v>
      </c>
      <c r="J185" s="19">
        <v>13.304230674894647</v>
      </c>
      <c r="K185" s="19">
        <v>18.548423457330216</v>
      </c>
      <c r="L185" s="19">
        <v>39.67352692422542</v>
      </c>
      <c r="M185" s="19">
        <v>35.411027883056157</v>
      </c>
      <c r="N185" s="19">
        <v>10.498589178925181</v>
      </c>
      <c r="O185" s="19">
        <v>8.5472549804089084</v>
      </c>
      <c r="P185" s="19">
        <v>37.55330652094883</v>
      </c>
      <c r="Q185" s="19">
        <v>434.57236177395015</v>
      </c>
      <c r="R185" s="19">
        <v>164.45704873883187</v>
      </c>
      <c r="S185" s="19">
        <v>1111.9835941413212</v>
      </c>
      <c r="T185" s="19">
        <v>1191.2437188455294</v>
      </c>
      <c r="U185" s="19">
        <v>35.303547436132575</v>
      </c>
      <c r="V185" s="19">
        <v>7.6495487498632952</v>
      </c>
      <c r="W185" s="19">
        <v>49.945943003595055</v>
      </c>
      <c r="X185" s="19">
        <v>52.761634688852197</v>
      </c>
      <c r="Y185" s="19">
        <v>23.885247421159235</v>
      </c>
      <c r="Z185" s="19">
        <v>20.769074571383094</v>
      </c>
      <c r="AA185" s="19">
        <v>44.259171775232574</v>
      </c>
      <c r="AB185" s="19">
        <v>50.686565977898752</v>
      </c>
      <c r="AC185" s="19">
        <v>37.111472307349381</v>
      </c>
      <c r="AD185" s="19">
        <v>16.159188768017525</v>
      </c>
      <c r="AE185" s="19">
        <v>28.970808539172889</v>
      </c>
      <c r="AF185" s="19">
        <v>47.514864970921543</v>
      </c>
      <c r="AG185" s="19">
        <v>633.00440428425929</v>
      </c>
      <c r="AH185" s="19">
        <v>118.85160633964057</v>
      </c>
      <c r="AI185" s="19">
        <v>1796.8123345010367</v>
      </c>
      <c r="AJ185" s="19">
        <v>1873.1464346874122</v>
      </c>
      <c r="AK185" s="19">
        <v>1150.4153075477316</v>
      </c>
      <c r="AL185" s="19">
        <v>2338.9589397357445</v>
      </c>
      <c r="AM185" s="19">
        <v>1647.8944808568976</v>
      </c>
      <c r="AN185" s="19">
        <v>2364.3122417954464</v>
      </c>
      <c r="AO185" s="19"/>
      <c r="AP185" s="19">
        <v>0.95297443874670451</v>
      </c>
      <c r="AQ185" s="19">
        <v>0.9020458723832725</v>
      </c>
      <c r="AR185" s="19">
        <v>1.2673561718120236</v>
      </c>
      <c r="AS185" s="19">
        <v>1.2175121676739842</v>
      </c>
      <c r="AT185" s="19">
        <v>1.1413266046215893</v>
      </c>
      <c r="AU185" s="19">
        <v>0.91791544465748254</v>
      </c>
      <c r="AV185" s="19">
        <v>0.33534277656496497</v>
      </c>
      <c r="AW185" s="19">
        <v>0.46752645643924817</v>
      </c>
      <c r="AX185" s="19">
        <v>0.94295366143863735</v>
      </c>
      <c r="AY185" s="19">
        <v>0.27956497447351597</v>
      </c>
      <c r="AZ185" s="19">
        <v>0.22760325979926391</v>
      </c>
      <c r="BA185" s="19">
        <v>0.66911398110247944</v>
      </c>
      <c r="BB185" s="19">
        <v>0.1449831642816696</v>
      </c>
      <c r="BC185" s="19">
        <v>0.94663372918860567</v>
      </c>
      <c r="BD185" s="19">
        <v>0.47123427993867451</v>
      </c>
      <c r="BE185" s="19">
        <v>0.40975501438466339</v>
      </c>
      <c r="BF185" s="19">
        <v>0.8731933387345916</v>
      </c>
      <c r="BG185" s="19">
        <v>0.78104972686044882</v>
      </c>
      <c r="BH185" s="19">
        <v>0.34008701861842039</v>
      </c>
      <c r="BI185" s="19">
        <v>0.60972094852637448</v>
      </c>
    </row>
    <row r="186" spans="1:61" x14ac:dyDescent="0.55000000000000004">
      <c r="A186" s="19" t="s">
        <v>1031</v>
      </c>
      <c r="B186" s="19" t="s">
        <v>1032</v>
      </c>
      <c r="C186" s="19" t="s">
        <v>322</v>
      </c>
      <c r="D186" s="19" t="s">
        <v>9</v>
      </c>
      <c r="E186" s="19">
        <v>2137</v>
      </c>
      <c r="F186" s="19">
        <v>70.046594211413563</v>
      </c>
      <c r="G186" s="19">
        <v>38.999314570637594</v>
      </c>
      <c r="H186" s="19">
        <v>83341.535237452539</v>
      </c>
      <c r="I186" s="19">
        <v>24.066269295958016</v>
      </c>
      <c r="J186" s="19">
        <v>14.528868256976507</v>
      </c>
      <c r="K186" s="19">
        <v>30.911568261758866</v>
      </c>
      <c r="L186" s="19">
        <v>38.363766644688702</v>
      </c>
      <c r="M186" s="19">
        <v>32.504539521749628</v>
      </c>
      <c r="N186" s="19">
        <v>12.364201506133657</v>
      </c>
      <c r="O186" s="19">
        <v>12.218608108387919</v>
      </c>
      <c r="P186" s="19">
        <v>35.390440512678751</v>
      </c>
      <c r="Q186" s="19">
        <v>517.15655465487896</v>
      </c>
      <c r="R186" s="19">
        <v>301.80512609121644</v>
      </c>
      <c r="S186" s="19">
        <v>1244.8331736361515</v>
      </c>
      <c r="T186" s="19">
        <v>1245.1311656069192</v>
      </c>
      <c r="U186" s="19">
        <v>20.448281304749116</v>
      </c>
      <c r="V186" s="19">
        <v>14.779291770240125</v>
      </c>
      <c r="W186" s="19">
        <v>47.460582534139505</v>
      </c>
      <c r="X186" s="19">
        <v>51.316245010492409</v>
      </c>
      <c r="Y186" s="19">
        <v>26.016748743931409</v>
      </c>
      <c r="Z186" s="19">
        <v>22.269477842208776</v>
      </c>
      <c r="AA186" s="19">
        <v>45.95108821513405</v>
      </c>
      <c r="AB186" s="19">
        <v>54.944323673002501</v>
      </c>
      <c r="AC186" s="19">
        <v>35.151961850691251</v>
      </c>
      <c r="AD186" s="19">
        <v>20.211229361127138</v>
      </c>
      <c r="AE186" s="19">
        <v>30.708776753710069</v>
      </c>
      <c r="AF186" s="19">
        <v>45.704244206194488</v>
      </c>
      <c r="AG186" s="19">
        <v>643.29292215712485</v>
      </c>
      <c r="AH186" s="19">
        <v>117.46644833186525</v>
      </c>
      <c r="AI186" s="19">
        <v>1711.2438215337322</v>
      </c>
      <c r="AJ186" s="19">
        <v>1798.6758800870111</v>
      </c>
      <c r="AK186" s="19">
        <v>798.2041736472645</v>
      </c>
      <c r="AL186" s="19">
        <v>2527.5818300494057</v>
      </c>
      <c r="AM186" s="19">
        <v>782.81809801245117</v>
      </c>
      <c r="AN186" s="19">
        <v>2528.7287736442277</v>
      </c>
      <c r="AO186" s="19"/>
      <c r="AP186" s="19">
        <v>0.98370361292381803</v>
      </c>
      <c r="AQ186" s="19">
        <v>0.9074631413990043</v>
      </c>
      <c r="AR186" s="19">
        <v>1.3158242798740925</v>
      </c>
      <c r="AS186" s="19">
        <v>1.4088535728874023</v>
      </c>
      <c r="AT186" s="19">
        <v>1.1719242942952901</v>
      </c>
      <c r="AU186" s="19">
        <v>0.62731768543091915</v>
      </c>
      <c r="AV186" s="19">
        <v>0.37871328932681758</v>
      </c>
      <c r="AW186" s="19">
        <v>0.80574904305019379</v>
      </c>
      <c r="AX186" s="19">
        <v>0.91845535265673683</v>
      </c>
      <c r="AY186" s="19">
        <v>0.34936557236986465</v>
      </c>
      <c r="AZ186" s="19">
        <v>0.3452516535930249</v>
      </c>
      <c r="BA186" s="19">
        <v>0.39847579066956568</v>
      </c>
      <c r="BB186" s="19">
        <v>0.28800415477044877</v>
      </c>
      <c r="BC186" s="19">
        <v>0.92486468026714441</v>
      </c>
      <c r="BD186" s="19">
        <v>0.47351112917083782</v>
      </c>
      <c r="BE186" s="19">
        <v>0.40530989105888532</v>
      </c>
      <c r="BF186" s="19">
        <v>0.83632093623736103</v>
      </c>
      <c r="BG186" s="19">
        <v>0.76911810842125161</v>
      </c>
      <c r="BH186" s="19">
        <v>0.44221777894289793</v>
      </c>
      <c r="BI186" s="19">
        <v>0.67190208014747088</v>
      </c>
    </row>
    <row r="187" spans="1:61" x14ac:dyDescent="0.55000000000000004">
      <c r="A187" s="19" t="s">
        <v>1035</v>
      </c>
      <c r="B187" s="19" t="s">
        <v>1036</v>
      </c>
      <c r="C187" s="19" t="s">
        <v>322</v>
      </c>
      <c r="D187" s="19" t="s">
        <v>9</v>
      </c>
      <c r="E187" s="19">
        <v>2254</v>
      </c>
      <c r="F187" s="19">
        <v>68.698152925948307</v>
      </c>
      <c r="G187" s="19">
        <v>39.292124141685605</v>
      </c>
      <c r="H187" s="19">
        <v>88564.447815359352</v>
      </c>
      <c r="I187" s="19">
        <v>42.815313262357776</v>
      </c>
      <c r="J187" s="19">
        <v>14.417746863880268</v>
      </c>
      <c r="K187" s="19">
        <v>23.268339210531728</v>
      </c>
      <c r="L187" s="19">
        <v>45.755778471211222</v>
      </c>
      <c r="M187" s="19">
        <v>34.075771026506018</v>
      </c>
      <c r="N187" s="19">
        <v>9.0842077806236787</v>
      </c>
      <c r="O187" s="19">
        <v>14.213565113590692</v>
      </c>
      <c r="P187" s="19">
        <v>36.404535568829175</v>
      </c>
      <c r="Q187" s="19">
        <v>704.83290661287174</v>
      </c>
      <c r="R187" s="19">
        <v>86.652643871854821</v>
      </c>
      <c r="S187" s="19">
        <v>1282.7786497915959</v>
      </c>
      <c r="T187" s="19">
        <v>1317.5494429700705</v>
      </c>
      <c r="U187" s="19">
        <v>28.82509465901807</v>
      </c>
      <c r="V187" s="19">
        <v>19.761630556207837</v>
      </c>
      <c r="W187" s="19">
        <v>57.229695057888378</v>
      </c>
      <c r="X187" s="19">
        <v>65.280845686883225</v>
      </c>
      <c r="Y187" s="19">
        <v>34.465166270021953</v>
      </c>
      <c r="Z187" s="19">
        <v>30.395169821642629</v>
      </c>
      <c r="AA187" s="19">
        <v>31.184804060312871</v>
      </c>
      <c r="AB187" s="19">
        <v>53.060037986644929</v>
      </c>
      <c r="AC187" s="19">
        <v>42.536803235762363</v>
      </c>
      <c r="AD187" s="19">
        <v>20.873385864536857</v>
      </c>
      <c r="AE187" s="19">
        <v>17.342304673859768</v>
      </c>
      <c r="AF187" s="19">
        <v>48.169436733405959</v>
      </c>
      <c r="AG187" s="19">
        <v>853.20688391296585</v>
      </c>
      <c r="AH187" s="19">
        <v>315.82876308561924</v>
      </c>
      <c r="AI187" s="19">
        <v>2133.97491669175</v>
      </c>
      <c r="AJ187" s="19">
        <v>2296.755401048867</v>
      </c>
      <c r="AK187" s="19">
        <v>931.63159247213355</v>
      </c>
      <c r="AL187" s="19">
        <v>699.990812467007</v>
      </c>
      <c r="AM187" s="19">
        <v>596.06797268668925</v>
      </c>
      <c r="AN187" s="19">
        <v>1013.3838626251728</v>
      </c>
      <c r="AO187" s="19"/>
      <c r="AP187" s="19">
        <v>1.1645025427034175</v>
      </c>
      <c r="AQ187" s="19">
        <v>0.92650973608746834</v>
      </c>
      <c r="AR187" s="19">
        <v>1.6614231760920708</v>
      </c>
      <c r="AS187" s="19">
        <v>1.3503988177201327</v>
      </c>
      <c r="AT187" s="19">
        <v>1.2259310939696</v>
      </c>
      <c r="AU187" s="19">
        <v>0.93573565335133491</v>
      </c>
      <c r="AV187" s="19">
        <v>0.3151022088489146</v>
      </c>
      <c r="AW187" s="19">
        <v>0.50853334787368509</v>
      </c>
      <c r="AX187" s="19">
        <v>0.93603092290738832</v>
      </c>
      <c r="AY187" s="19">
        <v>0.24953505486832503</v>
      </c>
      <c r="AZ187" s="19">
        <v>0.39043390861881611</v>
      </c>
      <c r="BA187" s="19">
        <v>0.44155516607852169</v>
      </c>
      <c r="BB187" s="19">
        <v>0.30271713468593298</v>
      </c>
      <c r="BC187" s="19">
        <v>0.87666902068622321</v>
      </c>
      <c r="BD187" s="19">
        <v>0.64955035046708309</v>
      </c>
      <c r="BE187" s="19">
        <v>0.57284485603446067</v>
      </c>
      <c r="BF187" s="19">
        <v>0.58772675715313294</v>
      </c>
      <c r="BG187" s="19">
        <v>0.88306623702457976</v>
      </c>
      <c r="BH187" s="19">
        <v>0.43333257102549771</v>
      </c>
      <c r="BI187" s="19">
        <v>0.3600271427262241</v>
      </c>
    </row>
    <row r="188" spans="1:61" x14ac:dyDescent="0.55000000000000004">
      <c r="A188" s="19" t="s">
        <v>1039</v>
      </c>
      <c r="B188" s="19" t="s">
        <v>1040</v>
      </c>
      <c r="C188" s="19" t="s">
        <v>322</v>
      </c>
      <c r="D188" s="19" t="s">
        <v>9</v>
      </c>
      <c r="E188" s="19">
        <v>1822</v>
      </c>
      <c r="F188" s="19">
        <v>70.39904663963955</v>
      </c>
      <c r="G188" s="19">
        <v>42.319036361050138</v>
      </c>
      <c r="H188" s="19">
        <v>77105.284249833348</v>
      </c>
      <c r="I188" s="19">
        <v>47.601542482831917</v>
      </c>
      <c r="J188" s="19">
        <v>13.04416373244201</v>
      </c>
      <c r="K188" s="19">
        <v>22.427532655930477</v>
      </c>
      <c r="L188" s="19">
        <v>51.257114451460481</v>
      </c>
      <c r="M188" s="19">
        <v>27.471973792549267</v>
      </c>
      <c r="N188" s="19">
        <v>18.269252280019131</v>
      </c>
      <c r="O188" s="19">
        <v>11.37230036092172</v>
      </c>
      <c r="P188" s="19">
        <v>30.801693338729685</v>
      </c>
      <c r="Q188" s="19">
        <v>472.95650222718263</v>
      </c>
      <c r="R188" s="19">
        <v>144.80683348460494</v>
      </c>
      <c r="S188" s="19">
        <v>985.03046237494505</v>
      </c>
      <c r="T188" s="19">
        <v>1002.0400045487994</v>
      </c>
      <c r="U188" s="19">
        <v>24.575024532098173</v>
      </c>
      <c r="V188" s="19">
        <v>11.113737436143131</v>
      </c>
      <c r="W188" s="19">
        <v>34.062477964494519</v>
      </c>
      <c r="X188" s="19">
        <v>39.083132117202631</v>
      </c>
      <c r="Y188" s="19">
        <v>24.696102878187133</v>
      </c>
      <c r="Z188" s="19">
        <v>22.728748155840623</v>
      </c>
      <c r="AA188" s="19">
        <v>14.687289058335711</v>
      </c>
      <c r="AB188" s="19">
        <v>33.232617409446839</v>
      </c>
      <c r="AC188" s="19">
        <v>28.721206791909232</v>
      </c>
      <c r="AD188" s="19">
        <v>17.703919291927818</v>
      </c>
      <c r="AE188" s="19">
        <v>22.719200333850047</v>
      </c>
      <c r="AF188" s="19">
        <v>37.913962601476278</v>
      </c>
      <c r="AG188" s="19">
        <v>775.70265609470528</v>
      </c>
      <c r="AH188" s="19">
        <v>18.399445024423624</v>
      </c>
      <c r="AI188" s="19">
        <v>1148.9007570840722</v>
      </c>
      <c r="AJ188" s="19">
        <v>1301.1135411125774</v>
      </c>
      <c r="AK188" s="19">
        <v>984.7326081445118</v>
      </c>
      <c r="AL188" s="19">
        <v>1884.2092055970543</v>
      </c>
      <c r="AM188" s="19">
        <v>497.63920549943282</v>
      </c>
      <c r="AN188" s="19">
        <v>1978.9081347391639</v>
      </c>
      <c r="AO188" s="19"/>
      <c r="AP188" s="19">
        <v>1.211207032555137</v>
      </c>
      <c r="AQ188" s="19">
        <v>0.72784486574649754</v>
      </c>
      <c r="AR188" s="19">
        <v>0.92353549319412698</v>
      </c>
      <c r="AS188" s="19">
        <v>0.7852876687909105</v>
      </c>
      <c r="AT188" s="19">
        <v>0.8959079851915478</v>
      </c>
      <c r="AU188" s="19">
        <v>0.92868166677446651</v>
      </c>
      <c r="AV188" s="19">
        <v>0.2544849407157827</v>
      </c>
      <c r="AW188" s="19">
        <v>0.43754965327142881</v>
      </c>
      <c r="AX188" s="19">
        <v>0.891898165806564</v>
      </c>
      <c r="AY188" s="19">
        <v>0.59312493242206232</v>
      </c>
      <c r="AZ188" s="19">
        <v>0.36921023256284174</v>
      </c>
      <c r="BA188" s="19">
        <v>0.62878851312127448</v>
      </c>
      <c r="BB188" s="19">
        <v>0.28436148369110276</v>
      </c>
      <c r="BC188" s="19">
        <v>0.87153910444914817</v>
      </c>
      <c r="BD188" s="19">
        <v>0.74312843234451098</v>
      </c>
      <c r="BE188" s="19">
        <v>0.6839289206687541</v>
      </c>
      <c r="BF188" s="19">
        <v>0.44195402599136363</v>
      </c>
      <c r="BG188" s="19">
        <v>0.75753640139928025</v>
      </c>
      <c r="BH188" s="19">
        <v>0.46694985375225512</v>
      </c>
      <c r="BI188" s="19">
        <v>0.59923043583329949</v>
      </c>
    </row>
    <row r="189" spans="1:61" x14ac:dyDescent="0.55000000000000004">
      <c r="A189" s="19" t="s">
        <v>1041</v>
      </c>
      <c r="B189" s="19" t="s">
        <v>1042</v>
      </c>
      <c r="C189" s="19" t="s">
        <v>322</v>
      </c>
      <c r="D189" s="19" t="s">
        <v>9</v>
      </c>
      <c r="E189" s="19">
        <v>2281</v>
      </c>
      <c r="F189" s="19">
        <v>69.677401321251054</v>
      </c>
      <c r="G189" s="19">
        <v>31.136550222302997</v>
      </c>
      <c r="H189" s="19">
        <v>71022.47105707314</v>
      </c>
      <c r="I189" s="19">
        <v>31.059595399344325</v>
      </c>
      <c r="J189" s="19">
        <v>21.390905041095024</v>
      </c>
      <c r="K189" s="19">
        <v>23.425333564437729</v>
      </c>
      <c r="L189" s="19">
        <v>38.489005254094778</v>
      </c>
      <c r="M189" s="19">
        <v>30.656293969486768</v>
      </c>
      <c r="N189" s="19">
        <v>15.922966293940718</v>
      </c>
      <c r="O189" s="19">
        <v>10.940665438851775</v>
      </c>
      <c r="P189" s="19">
        <v>34.66458780474639</v>
      </c>
      <c r="Q189" s="19">
        <v>457.91625615917866</v>
      </c>
      <c r="R189" s="19">
        <v>302.42459791483174</v>
      </c>
      <c r="S189" s="19">
        <v>1327.9463254806551</v>
      </c>
      <c r="T189" s="19">
        <v>1344.0112489171145</v>
      </c>
      <c r="U189" s="19">
        <v>28.923327933497859</v>
      </c>
      <c r="V189" s="19">
        <v>8.7991752750427583</v>
      </c>
      <c r="W189" s="19">
        <v>48.752028384500633</v>
      </c>
      <c r="X189" s="19">
        <v>52.874725509165678</v>
      </c>
      <c r="Y189" s="19">
        <v>32.544550562772152</v>
      </c>
      <c r="Z189" s="19">
        <v>12.838530865078035</v>
      </c>
      <c r="AA189" s="19">
        <v>15.113454797620479</v>
      </c>
      <c r="AB189" s="19">
        <v>34.899192148324268</v>
      </c>
      <c r="AC189" s="19">
        <v>48.56728534530842</v>
      </c>
      <c r="AD189" s="19">
        <v>16.17086998268476</v>
      </c>
      <c r="AE189" s="19">
        <v>23.972728594146858</v>
      </c>
      <c r="AF189" s="19">
        <v>54.509977669337182</v>
      </c>
      <c r="AG189" s="19">
        <v>694.04102704883474</v>
      </c>
      <c r="AH189" s="19">
        <v>84.258067838900345</v>
      </c>
      <c r="AI189" s="19">
        <v>1770.0609639879624</v>
      </c>
      <c r="AJ189" s="19">
        <v>1891.9544994708915</v>
      </c>
      <c r="AK189" s="19">
        <v>1197.9719882350396</v>
      </c>
      <c r="AL189" s="19">
        <v>1967.1974728701093</v>
      </c>
      <c r="AM189" s="19">
        <v>1659.5710254946175</v>
      </c>
      <c r="AN189" s="19">
        <v>1974.5989731894067</v>
      </c>
      <c r="AO189" s="19"/>
      <c r="AP189" s="19">
        <v>1.2361358268433105</v>
      </c>
      <c r="AQ189" s="19">
        <v>1.113308557218271</v>
      </c>
      <c r="AR189" s="19">
        <v>1.6981561904469336</v>
      </c>
      <c r="AS189" s="19">
        <v>1.1208432501082315</v>
      </c>
      <c r="AT189" s="19">
        <v>1.7506749232062286</v>
      </c>
      <c r="AU189" s="19">
        <v>0.80697319128661937</v>
      </c>
      <c r="AV189" s="19">
        <v>0.55576663776778912</v>
      </c>
      <c r="AW189" s="19">
        <v>0.60862403197457404</v>
      </c>
      <c r="AX189" s="19">
        <v>0.88436920531589902</v>
      </c>
      <c r="AY189" s="19">
        <v>0.45934388095509082</v>
      </c>
      <c r="AZ189" s="19">
        <v>0.31561504496971815</v>
      </c>
      <c r="BA189" s="19">
        <v>0.5470161339841676</v>
      </c>
      <c r="BB189" s="19">
        <v>0.16641552632774326</v>
      </c>
      <c r="BC189" s="19">
        <v>0.92202896402837331</v>
      </c>
      <c r="BD189" s="19">
        <v>0.93253019796146841</v>
      </c>
      <c r="BE189" s="19">
        <v>0.36787472932076148</v>
      </c>
      <c r="BF189" s="19">
        <v>0.43306030504623505</v>
      </c>
      <c r="BG189" s="19">
        <v>0.89097973292013233</v>
      </c>
      <c r="BH189" s="19">
        <v>0.29665889941798962</v>
      </c>
      <c r="BI189" s="19">
        <v>0.43978606521484481</v>
      </c>
    </row>
    <row r="190" spans="1:61" x14ac:dyDescent="0.55000000000000004">
      <c r="A190" s="19" t="s">
        <v>1043</v>
      </c>
      <c r="B190" s="19" t="s">
        <v>1044</v>
      </c>
      <c r="C190" s="19" t="s">
        <v>322</v>
      </c>
      <c r="D190" s="19" t="s">
        <v>9</v>
      </c>
      <c r="E190" s="19">
        <v>2497</v>
      </c>
      <c r="F190" s="19">
        <v>69.238545683026317</v>
      </c>
      <c r="G190" s="19">
        <v>28.922686947988961</v>
      </c>
      <c r="H190" s="19">
        <v>72219.949309128438</v>
      </c>
      <c r="I190" s="19">
        <v>32.366054920885517</v>
      </c>
      <c r="J190" s="19">
        <v>26.163467312649736</v>
      </c>
      <c r="K190" s="19">
        <v>22.249653680915664</v>
      </c>
      <c r="L190" s="19">
        <v>39.981105023165064</v>
      </c>
      <c r="M190" s="19">
        <v>35.638935622104519</v>
      </c>
      <c r="N190" s="19">
        <v>17.439209468353923</v>
      </c>
      <c r="O190" s="19">
        <v>7.8873738018804804</v>
      </c>
      <c r="P190" s="19">
        <v>40.045139228525926</v>
      </c>
      <c r="Q190" s="19">
        <v>410.58744270832642</v>
      </c>
      <c r="R190" s="19">
        <v>75.97298869276581</v>
      </c>
      <c r="S190" s="19">
        <v>1206.5057182691921</v>
      </c>
      <c r="T190" s="19">
        <v>1244.8380461585703</v>
      </c>
      <c r="U190" s="19">
        <v>40.078692897059717</v>
      </c>
      <c r="V190" s="19">
        <v>8.0783868605576341</v>
      </c>
      <c r="W190" s="19">
        <v>45.39495599927163</v>
      </c>
      <c r="X190" s="19">
        <v>49.652301791902339</v>
      </c>
      <c r="Y190" s="19">
        <v>26.418198986925315</v>
      </c>
      <c r="Z190" s="19">
        <v>15.27740285419048</v>
      </c>
      <c r="AA190" s="19">
        <v>16.065898360613485</v>
      </c>
      <c r="AB190" s="19">
        <v>31.562891896079648</v>
      </c>
      <c r="AC190" s="19">
        <v>34.132003546896463</v>
      </c>
      <c r="AD190" s="19">
        <v>18.523995403755301</v>
      </c>
      <c r="AE190" s="19">
        <v>26.45214828780594</v>
      </c>
      <c r="AF190" s="19">
        <v>42.481031755194621</v>
      </c>
      <c r="AG190" s="19">
        <v>648.28170175481443</v>
      </c>
      <c r="AH190" s="19">
        <v>67.538432163972004</v>
      </c>
      <c r="AI190" s="19">
        <v>1628.0467616014539</v>
      </c>
      <c r="AJ190" s="19">
        <v>1750.6671780249183</v>
      </c>
      <c r="AK190" s="19">
        <v>870.91624818199148</v>
      </c>
      <c r="AL190" s="19">
        <v>2427.0922060014282</v>
      </c>
      <c r="AM190" s="19">
        <v>1000.5088696555412</v>
      </c>
      <c r="AN190" s="19">
        <v>2443.5980512926585</v>
      </c>
      <c r="AO190" s="19"/>
      <c r="AP190" s="19">
        <v>1.3823440780264371</v>
      </c>
      <c r="AQ190" s="19">
        <v>1.384558056467514</v>
      </c>
      <c r="AR190" s="19">
        <v>1.7167250705714512</v>
      </c>
      <c r="AS190" s="19">
        <v>1.0912849125269208</v>
      </c>
      <c r="AT190" s="19">
        <v>1.4687788804542032</v>
      </c>
      <c r="AU190" s="19">
        <v>0.8095337760707868</v>
      </c>
      <c r="AV190" s="19">
        <v>0.65439580265454433</v>
      </c>
      <c r="AW190" s="19">
        <v>0.55650422038170799</v>
      </c>
      <c r="AX190" s="19">
        <v>0.88996907761322819</v>
      </c>
      <c r="AY190" s="19">
        <v>0.43548879600176799</v>
      </c>
      <c r="AZ190" s="19">
        <v>0.19696207714173597</v>
      </c>
      <c r="BA190" s="19">
        <v>0.80718700746308691</v>
      </c>
      <c r="BB190" s="19">
        <v>0.16269914120829573</v>
      </c>
      <c r="BC190" s="19">
        <v>0.91425682921058404</v>
      </c>
      <c r="BD190" s="19">
        <v>0.83700185248889236</v>
      </c>
      <c r="BE190" s="19">
        <v>0.48403051610388242</v>
      </c>
      <c r="BF190" s="19">
        <v>0.50901224176511506</v>
      </c>
      <c r="BG190" s="19">
        <v>0.80346456139739986</v>
      </c>
      <c r="BH190" s="19">
        <v>0.43605333106087207</v>
      </c>
      <c r="BI190" s="19">
        <v>0.62268139908281173</v>
      </c>
    </row>
    <row r="191" spans="1:61" x14ac:dyDescent="0.55000000000000004">
      <c r="A191" s="19" t="s">
        <v>1045</v>
      </c>
      <c r="B191" s="19" t="s">
        <v>1046</v>
      </c>
      <c r="C191" s="19" t="s">
        <v>322</v>
      </c>
      <c r="D191" s="19" t="s">
        <v>9</v>
      </c>
      <c r="E191" s="19">
        <v>2484</v>
      </c>
      <c r="F191" s="19">
        <v>69.925086580148559</v>
      </c>
      <c r="G191" s="19">
        <v>30.320018069599698</v>
      </c>
      <c r="H191" s="19">
        <v>75314.924884885651</v>
      </c>
      <c r="I191" s="19">
        <v>37.136608760535168</v>
      </c>
      <c r="J191" s="19">
        <v>18.615659178774223</v>
      </c>
      <c r="K191" s="19">
        <v>22.05379016342135</v>
      </c>
      <c r="L191" s="19">
        <v>41.111310263914739</v>
      </c>
      <c r="M191" s="19">
        <v>28.319295283144456</v>
      </c>
      <c r="N191" s="19">
        <v>9.8506991567994557</v>
      </c>
      <c r="O191" s="19">
        <v>13.532451215802741</v>
      </c>
      <c r="P191" s="19">
        <v>31.650890275872548</v>
      </c>
      <c r="Q191" s="19">
        <v>401.1284683079885</v>
      </c>
      <c r="R191" s="19">
        <v>44.621852439765448</v>
      </c>
      <c r="S191" s="19">
        <v>1084.2670735117106</v>
      </c>
      <c r="T191" s="19">
        <v>1128.9434337775263</v>
      </c>
      <c r="U191" s="19">
        <v>27.078333669654469</v>
      </c>
      <c r="V191" s="19">
        <v>8.4430648318260229</v>
      </c>
      <c r="W191" s="19">
        <v>50.868153938612224</v>
      </c>
      <c r="X191" s="19">
        <v>56.441953155417558</v>
      </c>
      <c r="Y191" s="19">
        <v>35.878614313684238</v>
      </c>
      <c r="Z191" s="19">
        <v>18.57713329887622</v>
      </c>
      <c r="AA191" s="19">
        <v>33.696515407420264</v>
      </c>
      <c r="AB191" s="19">
        <v>46.520158479202159</v>
      </c>
      <c r="AC191" s="19">
        <v>43.616855264675543</v>
      </c>
      <c r="AD191" s="19">
        <v>19.100700265155311</v>
      </c>
      <c r="AE191" s="19">
        <v>26.571149029196068</v>
      </c>
      <c r="AF191" s="19">
        <v>52.324407994967451</v>
      </c>
      <c r="AG191" s="19">
        <v>753.98673846075144</v>
      </c>
      <c r="AH191" s="19">
        <v>527.46549054405546</v>
      </c>
      <c r="AI191" s="19">
        <v>1883.1437119555294</v>
      </c>
      <c r="AJ191" s="19">
        <v>2023.2856391353018</v>
      </c>
      <c r="AK191" s="19">
        <v>1037.7626104357205</v>
      </c>
      <c r="AL191" s="19">
        <v>1970.9283313090316</v>
      </c>
      <c r="AM191" s="19">
        <v>604.23267014608064</v>
      </c>
      <c r="AN191" s="19">
        <v>2005.294062686856</v>
      </c>
      <c r="AO191" s="19"/>
      <c r="AP191" s="19">
        <v>1.3559131188359979</v>
      </c>
      <c r="AQ191" s="19">
        <v>1.043894175894547</v>
      </c>
      <c r="AR191" s="19">
        <v>1.8615408812044529</v>
      </c>
      <c r="AS191" s="19">
        <v>1.5343051040541924</v>
      </c>
      <c r="AT191" s="19">
        <v>1.725738021489849</v>
      </c>
      <c r="AU191" s="19">
        <v>0.903318539889293</v>
      </c>
      <c r="AV191" s="19">
        <v>0.45281113784189048</v>
      </c>
      <c r="AW191" s="19">
        <v>0.53644094585764057</v>
      </c>
      <c r="AX191" s="19">
        <v>0.89473929599800972</v>
      </c>
      <c r="AY191" s="19">
        <v>0.31122976544860848</v>
      </c>
      <c r="AZ191" s="19">
        <v>0.42755357267528488</v>
      </c>
      <c r="BA191" s="19">
        <v>0.4797554328974416</v>
      </c>
      <c r="BB191" s="19">
        <v>0.14958845964414713</v>
      </c>
      <c r="BC191" s="19">
        <v>0.90124723002661833</v>
      </c>
      <c r="BD191" s="19">
        <v>0.7712487550902164</v>
      </c>
      <c r="BE191" s="19">
        <v>0.39933512494764023</v>
      </c>
      <c r="BF191" s="19">
        <v>0.7243422316044994</v>
      </c>
      <c r="BG191" s="19">
        <v>0.83358526041748249</v>
      </c>
      <c r="BH191" s="19">
        <v>0.36504379116897817</v>
      </c>
      <c r="BI191" s="19">
        <v>0.50781556920341409</v>
      </c>
    </row>
    <row r="192" spans="1:61" x14ac:dyDescent="0.55000000000000004">
      <c r="A192" s="19" t="s">
        <v>1049</v>
      </c>
      <c r="B192" s="19" t="s">
        <v>1050</v>
      </c>
      <c r="C192" s="19" t="s">
        <v>322</v>
      </c>
      <c r="D192" s="19" t="s">
        <v>9</v>
      </c>
      <c r="E192" s="19">
        <v>2230</v>
      </c>
      <c r="F192" s="19">
        <v>71.242141713657134</v>
      </c>
      <c r="G192" s="19">
        <v>32.809004481989177</v>
      </c>
      <c r="H192" s="19">
        <v>73164.079994835862</v>
      </c>
      <c r="I192" s="19">
        <v>48.270274377977998</v>
      </c>
      <c r="J192" s="19">
        <v>9.5024929790543116</v>
      </c>
      <c r="K192" s="19">
        <v>15.985337936740228</v>
      </c>
      <c r="L192" s="19">
        <v>49.116545859608379</v>
      </c>
      <c r="M192" s="19">
        <v>33.906353841474967</v>
      </c>
      <c r="N192" s="19">
        <v>27.981108496815647</v>
      </c>
      <c r="O192" s="19">
        <v>12.572578953950213</v>
      </c>
      <c r="P192" s="19">
        <v>38.987619622809419</v>
      </c>
      <c r="Q192" s="19">
        <v>552.95129698726328</v>
      </c>
      <c r="R192" s="19">
        <v>175.34917137124643</v>
      </c>
      <c r="S192" s="19">
        <v>668.5224897959796</v>
      </c>
      <c r="T192" s="19">
        <v>829.38291678845133</v>
      </c>
      <c r="U192" s="19">
        <v>22.507044213252197</v>
      </c>
      <c r="V192" s="19">
        <v>5.4604848229851806</v>
      </c>
      <c r="W192" s="19">
        <v>47.135838138812815</v>
      </c>
      <c r="X192" s="19">
        <v>51.234322222351679</v>
      </c>
      <c r="Y192" s="19">
        <v>31.648240463157457</v>
      </c>
      <c r="Z192" s="19">
        <v>16.46746703786356</v>
      </c>
      <c r="AA192" s="19">
        <v>50.736489736534587</v>
      </c>
      <c r="AB192" s="19">
        <v>55.361924771568965</v>
      </c>
      <c r="AC192" s="19">
        <v>27.722459320067475</v>
      </c>
      <c r="AD192" s="19">
        <v>12.426359259639094</v>
      </c>
      <c r="AE192" s="19">
        <v>36.038316702532171</v>
      </c>
      <c r="AF192" s="19">
        <v>42.891502138301462</v>
      </c>
      <c r="AG192" s="19">
        <v>703.39053626020336</v>
      </c>
      <c r="AH192" s="19">
        <v>1869.149781281355</v>
      </c>
      <c r="AI192" s="19">
        <v>1702.1176322671922</v>
      </c>
      <c r="AJ192" s="19">
        <v>1885.4311178832343</v>
      </c>
      <c r="AK192" s="19">
        <v>1262.4509537903248</v>
      </c>
      <c r="AL192" s="19">
        <v>1617.7139093804317</v>
      </c>
      <c r="AM192" s="19">
        <v>1831.5491604742981</v>
      </c>
      <c r="AN192" s="19">
        <v>2186.3556836578136</v>
      </c>
      <c r="AO192" s="19"/>
      <c r="AP192" s="19">
        <v>1.4970446874293728</v>
      </c>
      <c r="AQ192" s="19">
        <v>1.1883207137300387</v>
      </c>
      <c r="AR192" s="19">
        <v>1.5615933196167917</v>
      </c>
      <c r="AS192" s="19">
        <v>1.687400323346002</v>
      </c>
      <c r="AT192" s="19">
        <v>1.3073088566843645</v>
      </c>
      <c r="AU192" s="19">
        <v>0.98277013444615369</v>
      </c>
      <c r="AV192" s="19">
        <v>0.19346826640080991</v>
      </c>
      <c r="AW192" s="19">
        <v>0.32545729055198025</v>
      </c>
      <c r="AX192" s="19">
        <v>0.86966976105507876</v>
      </c>
      <c r="AY192" s="19">
        <v>0.71769214862364938</v>
      </c>
      <c r="AZ192" s="19">
        <v>0.32247618796903205</v>
      </c>
      <c r="BA192" s="19">
        <v>0.43929622247316835</v>
      </c>
      <c r="BB192" s="19">
        <v>0.10657864857247919</v>
      </c>
      <c r="BC192" s="19">
        <v>0.9200051077917677</v>
      </c>
      <c r="BD192" s="19">
        <v>0.57166076854702064</v>
      </c>
      <c r="BE192" s="19">
        <v>0.29745112919774069</v>
      </c>
      <c r="BF192" s="19">
        <v>0.91645097141908327</v>
      </c>
      <c r="BG192" s="19">
        <v>0.64633920329201389</v>
      </c>
      <c r="BH192" s="19">
        <v>0.28971611251969986</v>
      </c>
      <c r="BI192" s="19">
        <v>0.8402204377531115</v>
      </c>
    </row>
    <row r="193" spans="1:61" x14ac:dyDescent="0.55000000000000004">
      <c r="A193" s="19" t="s">
        <v>1053</v>
      </c>
      <c r="B193" s="19" t="s">
        <v>1054</v>
      </c>
      <c r="C193" s="19" t="s">
        <v>322</v>
      </c>
      <c r="D193" s="19" t="s">
        <v>9</v>
      </c>
      <c r="E193" s="19">
        <v>2371</v>
      </c>
      <c r="F193" s="19">
        <v>72.742186520552906</v>
      </c>
      <c r="G193" s="19">
        <v>45.312472424378562</v>
      </c>
      <c r="H193" s="19">
        <v>107435.87211820157</v>
      </c>
      <c r="I193" s="19">
        <v>43.282127687917225</v>
      </c>
      <c r="J193" s="19">
        <v>24.054525988282784</v>
      </c>
      <c r="K193" s="19">
        <v>42.626988037067143</v>
      </c>
      <c r="L193" s="19">
        <v>64.327042397804362</v>
      </c>
      <c r="M193" s="19">
        <v>32.927619414171687</v>
      </c>
      <c r="N193" s="19">
        <v>16.495249850419029</v>
      </c>
      <c r="O193" s="19">
        <v>24.161334047473218</v>
      </c>
      <c r="P193" s="19">
        <v>36.083991531800955</v>
      </c>
      <c r="Q193" s="19">
        <v>686.371741629437</v>
      </c>
      <c r="R193" s="19">
        <v>80.894377602205353</v>
      </c>
      <c r="S193" s="19">
        <v>1486.7197982438947</v>
      </c>
      <c r="T193" s="19">
        <v>1503.6355861117247</v>
      </c>
      <c r="U193" s="19">
        <v>38.215874341420886</v>
      </c>
      <c r="V193" s="19">
        <v>12.279424806793433</v>
      </c>
      <c r="W193" s="19">
        <v>43.445890812083313</v>
      </c>
      <c r="X193" s="19">
        <v>48.421831046224789</v>
      </c>
      <c r="Y193" s="19">
        <v>28.329152335550582</v>
      </c>
      <c r="Z193" s="19">
        <v>31.273398287792098</v>
      </c>
      <c r="AA193" s="19">
        <v>8.0531583826988751</v>
      </c>
      <c r="AB193" s="19">
        <v>41.873455837765093</v>
      </c>
      <c r="AC193" s="19">
        <v>33.738781292148118</v>
      </c>
      <c r="AD193" s="19">
        <v>18.436881710082563</v>
      </c>
      <c r="AE193" s="19">
        <v>17.746361207108048</v>
      </c>
      <c r="AF193" s="19">
        <v>38.489275223546507</v>
      </c>
      <c r="AG193" s="19">
        <v>706.85513860717003</v>
      </c>
      <c r="AH193" s="19">
        <v>611.16505800134246</v>
      </c>
      <c r="AI193" s="19">
        <v>1491.1522921184951</v>
      </c>
      <c r="AJ193" s="19">
        <v>1609.8892851991848</v>
      </c>
      <c r="AK193" s="19">
        <v>642.07062533286671</v>
      </c>
      <c r="AL193" s="19">
        <v>813.39622663896989</v>
      </c>
      <c r="AM193" s="19">
        <v>888.03657119868944</v>
      </c>
      <c r="AN193" s="19">
        <v>1042.5744333555804</v>
      </c>
      <c r="AO193" s="19"/>
      <c r="AP193" s="19">
        <v>1.4196321444423274</v>
      </c>
      <c r="AQ193" s="19">
        <v>0.79633684946282934</v>
      </c>
      <c r="AR193" s="19">
        <v>1.0686203699662471</v>
      </c>
      <c r="AS193" s="19">
        <v>0.92410441534937648</v>
      </c>
      <c r="AT193" s="19">
        <v>0.84941900461911002</v>
      </c>
      <c r="AU193" s="19">
        <v>0.67284498205679277</v>
      </c>
      <c r="AV193" s="19">
        <v>0.37394111545697029</v>
      </c>
      <c r="AW193" s="19">
        <v>0.66266046825933511</v>
      </c>
      <c r="AX193" s="19">
        <v>0.91252707963730828</v>
      </c>
      <c r="AY193" s="19">
        <v>0.45713484429464252</v>
      </c>
      <c r="AZ193" s="19">
        <v>0.66958595825463896</v>
      </c>
      <c r="BA193" s="19">
        <v>0.78922819554136603</v>
      </c>
      <c r="BB193" s="19">
        <v>0.25359273991665376</v>
      </c>
      <c r="BC193" s="19">
        <v>0.89723766890617362</v>
      </c>
      <c r="BD193" s="19">
        <v>0.67654201853578344</v>
      </c>
      <c r="BE193" s="19">
        <v>0.74685496246018102</v>
      </c>
      <c r="BF193" s="19">
        <v>0.19232132198259697</v>
      </c>
      <c r="BG193" s="19">
        <v>0.87657616559918516</v>
      </c>
      <c r="BH193" s="19">
        <v>0.47901348110612041</v>
      </c>
      <c r="BI193" s="19">
        <v>0.46107288599322316</v>
      </c>
    </row>
    <row r="194" spans="1:61" x14ac:dyDescent="0.55000000000000004">
      <c r="A194" s="19" t="s">
        <v>1055</v>
      </c>
      <c r="B194" s="19" t="s">
        <v>1056</v>
      </c>
      <c r="C194" s="19" t="s">
        <v>322</v>
      </c>
      <c r="D194" s="19" t="s">
        <v>9</v>
      </c>
      <c r="E194" s="19">
        <v>2565</v>
      </c>
      <c r="F194" s="19">
        <v>70.012501591528576</v>
      </c>
      <c r="G194" s="19">
        <v>29.439757695264273</v>
      </c>
      <c r="H194" s="19">
        <v>75512.978488352863</v>
      </c>
      <c r="I194" s="19">
        <v>39.326325475717738</v>
      </c>
      <c r="J194" s="19">
        <v>14.199830055965597</v>
      </c>
      <c r="K194" s="19">
        <v>22.877208042943842</v>
      </c>
      <c r="L194" s="19">
        <v>41.076974225700752</v>
      </c>
      <c r="M194" s="19">
        <v>37.433448534148617</v>
      </c>
      <c r="N194" s="19">
        <v>7.8818059007056736</v>
      </c>
      <c r="O194" s="19">
        <v>12.14880347319275</v>
      </c>
      <c r="P194" s="19">
        <v>37.566116130647124</v>
      </c>
      <c r="Q194" s="19">
        <v>533.59202529925426</v>
      </c>
      <c r="R194" s="19">
        <v>79.117932560842121</v>
      </c>
      <c r="S194" s="19">
        <v>956.43631653082559</v>
      </c>
      <c r="T194" s="19">
        <v>965.39243646477257</v>
      </c>
      <c r="U194" s="19">
        <v>35.51684442408353</v>
      </c>
      <c r="V194" s="19">
        <v>10.464259587994251</v>
      </c>
      <c r="W194" s="19">
        <v>56.273652479254494</v>
      </c>
      <c r="X194" s="19">
        <v>59.196674559154786</v>
      </c>
      <c r="Y194" s="19">
        <v>29.912102315843754</v>
      </c>
      <c r="Z194" s="19">
        <v>20.653897472829684</v>
      </c>
      <c r="AA194" s="19">
        <v>17.690420729845151</v>
      </c>
      <c r="AB194" s="19">
        <v>35.612632930550902</v>
      </c>
      <c r="AC194" s="19">
        <v>34.435831958885423</v>
      </c>
      <c r="AD194" s="19">
        <v>15.351217233067588</v>
      </c>
      <c r="AE194" s="19">
        <v>21.076076741612219</v>
      </c>
      <c r="AF194" s="19">
        <v>39.754545383134179</v>
      </c>
      <c r="AG194" s="19">
        <v>616.37734113228294</v>
      </c>
      <c r="AH194" s="19">
        <v>640.04960709686247</v>
      </c>
      <c r="AI194" s="19">
        <v>1999.7034695621398</v>
      </c>
      <c r="AJ194" s="19">
        <v>2074.6511801075553</v>
      </c>
      <c r="AK194" s="19">
        <v>2184.4586076668579</v>
      </c>
      <c r="AL194" s="19">
        <v>698.33496115922537</v>
      </c>
      <c r="AM194" s="19">
        <v>2802.6616561829992</v>
      </c>
      <c r="AN194" s="19">
        <v>3503.9084480900565</v>
      </c>
      <c r="AO194" s="19"/>
      <c r="AP194" s="19">
        <v>1.3952891409941346</v>
      </c>
      <c r="AQ194" s="19">
        <v>1.2760334687363977</v>
      </c>
      <c r="AR194" s="19">
        <v>2.0107731582545347</v>
      </c>
      <c r="AS194" s="19">
        <v>1.209678194337843</v>
      </c>
      <c r="AT194" s="19">
        <v>1.3503693133156853</v>
      </c>
      <c r="AU194" s="19">
        <v>0.95738126327504225</v>
      </c>
      <c r="AV194" s="19">
        <v>0.34568831623146057</v>
      </c>
      <c r="AW194" s="19">
        <v>0.55693508283358883</v>
      </c>
      <c r="AX194" s="19">
        <v>0.99646842393722268</v>
      </c>
      <c r="AY194" s="19">
        <v>0.20981157256966343</v>
      </c>
      <c r="AZ194" s="19">
        <v>0.32339791079124985</v>
      </c>
      <c r="BA194" s="19">
        <v>0.59998039904406819</v>
      </c>
      <c r="BB194" s="19">
        <v>0.17677107144823476</v>
      </c>
      <c r="BC194" s="19">
        <v>0.95062185331070681</v>
      </c>
      <c r="BD194" s="19">
        <v>0.83992953776195378</v>
      </c>
      <c r="BE194" s="19">
        <v>0.57995985618663393</v>
      </c>
      <c r="BF194" s="19">
        <v>0.49674565664222831</v>
      </c>
      <c r="BG194" s="19">
        <v>0.86621118735003289</v>
      </c>
      <c r="BH194" s="19">
        <v>0.3861499882622309</v>
      </c>
      <c r="BI194" s="19">
        <v>0.5301551442354997</v>
      </c>
    </row>
    <row r="195" spans="1:61" x14ac:dyDescent="0.55000000000000004">
      <c r="A195" s="19" t="s">
        <v>1059</v>
      </c>
      <c r="B195" s="19" t="s">
        <v>1060</v>
      </c>
      <c r="C195" s="19" t="s">
        <v>322</v>
      </c>
      <c r="D195" s="19" t="s">
        <v>9</v>
      </c>
      <c r="E195" s="19">
        <v>2244</v>
      </c>
      <c r="F195" s="19">
        <v>70.750879044106355</v>
      </c>
      <c r="G195" s="19">
        <v>63.998376699626881</v>
      </c>
      <c r="H195" s="19">
        <v>143612.35731396271</v>
      </c>
      <c r="I195" s="19">
        <v>40.953341016564181</v>
      </c>
      <c r="J195" s="19">
        <v>21.962372725591141</v>
      </c>
      <c r="K195" s="19">
        <v>20.935957416943705</v>
      </c>
      <c r="L195" s="19">
        <v>46.966364782583895</v>
      </c>
      <c r="M195" s="19">
        <v>38.716073114293231</v>
      </c>
      <c r="N195" s="19">
        <v>21.458534492587823</v>
      </c>
      <c r="O195" s="19">
        <v>9.6710801311999894</v>
      </c>
      <c r="P195" s="19">
        <v>43.389251873366305</v>
      </c>
      <c r="Q195" s="19">
        <v>359.16046251005872</v>
      </c>
      <c r="R195" s="19">
        <v>60.284383990602677</v>
      </c>
      <c r="S195" s="19">
        <v>1046.8099009396096</v>
      </c>
      <c r="T195" s="19">
        <v>1048.9791123647094</v>
      </c>
      <c r="U195" s="19">
        <v>39.391558311378525</v>
      </c>
      <c r="V195" s="19">
        <v>13.630816877248311</v>
      </c>
      <c r="W195" s="19">
        <v>48.356082101258309</v>
      </c>
      <c r="X195" s="19">
        <v>54.013881271657489</v>
      </c>
      <c r="Y195" s="19">
        <v>28.906828879203456</v>
      </c>
      <c r="Z195" s="19">
        <v>25.149376639399517</v>
      </c>
      <c r="AA195" s="19">
        <v>11.01154386572389</v>
      </c>
      <c r="AB195" s="19">
        <v>35.096433898392789</v>
      </c>
      <c r="AC195" s="19">
        <v>37.208651480500713</v>
      </c>
      <c r="AD195" s="19">
        <v>21.353826538265558</v>
      </c>
      <c r="AE195" s="19">
        <v>23.852306089361903</v>
      </c>
      <c r="AF195" s="19">
        <v>46.589953078990618</v>
      </c>
      <c r="AG195" s="19">
        <v>730.6676895115213</v>
      </c>
      <c r="AH195" s="19">
        <v>1140.3388880980922</v>
      </c>
      <c r="AI195" s="19">
        <v>1720.3686594692347</v>
      </c>
      <c r="AJ195" s="19">
        <v>1851.3365517131037</v>
      </c>
      <c r="AK195" s="19">
        <v>968.49558028264437</v>
      </c>
      <c r="AL195" s="19">
        <v>834.21018899499552</v>
      </c>
      <c r="AM195" s="19">
        <v>1607.2925397787035</v>
      </c>
      <c r="AN195" s="19">
        <v>1734.558699520067</v>
      </c>
      <c r="AO195" s="19"/>
      <c r="AP195" s="19">
        <v>0.73386806360758394</v>
      </c>
      <c r="AQ195" s="19">
        <v>0.67797425670672162</v>
      </c>
      <c r="AR195" s="19">
        <v>0.843988301846606</v>
      </c>
      <c r="AS195" s="19">
        <v>0.54839568920812032</v>
      </c>
      <c r="AT195" s="19">
        <v>0.72798648155808998</v>
      </c>
      <c r="AU195" s="19">
        <v>0.87197170158143755</v>
      </c>
      <c r="AV195" s="19">
        <v>0.46761917442959616</v>
      </c>
      <c r="AW195" s="19">
        <v>0.44576491099237031</v>
      </c>
      <c r="AX195" s="19">
        <v>0.89229639698070895</v>
      </c>
      <c r="AY195" s="19">
        <v>0.49455875743641825</v>
      </c>
      <c r="AZ195" s="19">
        <v>0.22289114731513507</v>
      </c>
      <c r="BA195" s="19">
        <v>0.72928583141919701</v>
      </c>
      <c r="BB195" s="19">
        <v>0.25235766355491956</v>
      </c>
      <c r="BC195" s="19">
        <v>0.89525286764815437</v>
      </c>
      <c r="BD195" s="19">
        <v>0.82364005878463964</v>
      </c>
      <c r="BE195" s="19">
        <v>0.71657926022367791</v>
      </c>
      <c r="BF195" s="19">
        <v>0.31375107504093613</v>
      </c>
      <c r="BG195" s="19">
        <v>0.79864110224398721</v>
      </c>
      <c r="BH195" s="19">
        <v>0.45833543772970448</v>
      </c>
      <c r="BI195" s="19">
        <v>0.511962440677321</v>
      </c>
    </row>
    <row r="196" spans="1:61" x14ac:dyDescent="0.55000000000000004">
      <c r="A196" s="19" t="s">
        <v>1063</v>
      </c>
      <c r="B196" s="19" t="s">
        <v>1064</v>
      </c>
      <c r="C196" s="19" t="s">
        <v>322</v>
      </c>
      <c r="D196" s="19" t="s">
        <v>9</v>
      </c>
      <c r="E196" s="19">
        <v>1854</v>
      </c>
      <c r="F196" s="19">
        <v>72.188768404570524</v>
      </c>
      <c r="G196" s="19">
        <v>35.503440885030265</v>
      </c>
      <c r="H196" s="19">
        <v>65823.379400846112</v>
      </c>
      <c r="I196" s="19">
        <v>45.91064414754068</v>
      </c>
      <c r="J196" s="19">
        <v>36.418351299425176</v>
      </c>
      <c r="K196" s="19">
        <v>20.09580359974554</v>
      </c>
      <c r="L196" s="19">
        <v>59.686429206983391</v>
      </c>
      <c r="M196" s="19">
        <v>40.706700876783856</v>
      </c>
      <c r="N196" s="19">
        <v>12.166231916727094</v>
      </c>
      <c r="O196" s="19">
        <v>11.047189301039992</v>
      </c>
      <c r="P196" s="19">
        <v>41.789643629941502</v>
      </c>
      <c r="Q196" s="19">
        <v>798.62763157510301</v>
      </c>
      <c r="R196" s="19">
        <v>378.29820088504806</v>
      </c>
      <c r="S196" s="19">
        <v>613.44956218575078</v>
      </c>
      <c r="T196" s="19">
        <v>874.69556877477271</v>
      </c>
      <c r="U196" s="19">
        <v>39.146768835970306</v>
      </c>
      <c r="V196" s="19">
        <v>14.728901458500253</v>
      </c>
      <c r="W196" s="19">
        <v>53.360654210350958</v>
      </c>
      <c r="X196" s="19">
        <v>59.675802224982995</v>
      </c>
      <c r="Y196" s="19">
        <v>24.211015685953591</v>
      </c>
      <c r="Z196" s="19">
        <v>33.057241028486139</v>
      </c>
      <c r="AA196" s="19">
        <v>11.211809246607739</v>
      </c>
      <c r="AB196" s="19">
        <v>42.403135820930864</v>
      </c>
      <c r="AC196" s="19">
        <v>28.772727260178247</v>
      </c>
      <c r="AD196" s="19">
        <v>19.221803516743751</v>
      </c>
      <c r="AE196" s="19">
        <v>29.015200182414162</v>
      </c>
      <c r="AF196" s="19">
        <v>41.879060905375177</v>
      </c>
      <c r="AG196" s="19">
        <v>796.7985349939737</v>
      </c>
      <c r="AH196" s="19">
        <v>185.23136891537317</v>
      </c>
      <c r="AI196" s="19">
        <v>1947.2006555489061</v>
      </c>
      <c r="AJ196" s="19">
        <v>2102.1025635280971</v>
      </c>
      <c r="AK196" s="19">
        <v>2164.5666102435016</v>
      </c>
      <c r="AL196" s="19">
        <v>1236.8826638523785</v>
      </c>
      <c r="AM196" s="19">
        <v>2280.4292373742583</v>
      </c>
      <c r="AN196" s="19">
        <v>3128.3385638582454</v>
      </c>
      <c r="AO196" s="19"/>
      <c r="AP196" s="19">
        <v>1.681144917763441</v>
      </c>
      <c r="AQ196" s="19">
        <v>1.1770589719815512</v>
      </c>
      <c r="AR196" s="19">
        <v>1.6808455951700392</v>
      </c>
      <c r="AS196" s="19">
        <v>1.1943387672829706</v>
      </c>
      <c r="AT196" s="19">
        <v>1.1795775243585795</v>
      </c>
      <c r="AU196" s="19">
        <v>0.76919736626109092</v>
      </c>
      <c r="AV196" s="19">
        <v>0.61016133454946542</v>
      </c>
      <c r="AW196" s="19">
        <v>0.33668966072767348</v>
      </c>
      <c r="AX196" s="19">
        <v>0.97408585814352966</v>
      </c>
      <c r="AY196" s="19">
        <v>0.2911303102860206</v>
      </c>
      <c r="AZ196" s="19">
        <v>0.26435232132788244</v>
      </c>
      <c r="BA196" s="19">
        <v>0.65599065913489629</v>
      </c>
      <c r="BB196" s="19">
        <v>0.24681530719890463</v>
      </c>
      <c r="BC196" s="19">
        <v>0.89417573322561505</v>
      </c>
      <c r="BD196" s="19">
        <v>0.57097229290298501</v>
      </c>
      <c r="BE196" s="19">
        <v>0.77959425378555514</v>
      </c>
      <c r="BF196" s="19">
        <v>0.26440990812461118</v>
      </c>
      <c r="BG196" s="19">
        <v>0.6870432774314017</v>
      </c>
      <c r="BH196" s="19">
        <v>0.45898363289890853</v>
      </c>
      <c r="BI196" s="19">
        <v>0.69283311409425763</v>
      </c>
    </row>
    <row r="197" spans="1:61" x14ac:dyDescent="0.55000000000000004">
      <c r="A197" s="19" t="s">
        <v>1067</v>
      </c>
      <c r="B197" s="19" t="s">
        <v>1068</v>
      </c>
      <c r="C197" s="19" t="s">
        <v>322</v>
      </c>
      <c r="D197" s="19" t="s">
        <v>9</v>
      </c>
      <c r="E197" s="19">
        <v>2350</v>
      </c>
      <c r="F197" s="19">
        <v>70.32554248167861</v>
      </c>
      <c r="G197" s="19">
        <v>30.407394604217252</v>
      </c>
      <c r="H197" s="19">
        <v>71457.377319910549</v>
      </c>
      <c r="I197" s="19">
        <v>32.403856205866234</v>
      </c>
      <c r="J197" s="19">
        <v>5.3007658614685367</v>
      </c>
      <c r="K197" s="19">
        <v>20.821421434932859</v>
      </c>
      <c r="L197" s="19">
        <v>34.60363878088225</v>
      </c>
      <c r="M197" s="19">
        <v>37.048221506272213</v>
      </c>
      <c r="N197" s="19">
        <v>9.4831046431113197</v>
      </c>
      <c r="O197" s="19">
        <v>8.0991121944451017</v>
      </c>
      <c r="P197" s="19">
        <v>38.271056177974877</v>
      </c>
      <c r="Q197" s="19">
        <v>453.92355742306302</v>
      </c>
      <c r="R197" s="19">
        <v>80.560706919460955</v>
      </c>
      <c r="S197" s="19">
        <v>743.06908774016756</v>
      </c>
      <c r="T197" s="19">
        <v>796.68196874674982</v>
      </c>
      <c r="U197" s="19">
        <v>41.433725414141499</v>
      </c>
      <c r="V197" s="19">
        <v>12.147780918346587</v>
      </c>
      <c r="W197" s="19">
        <v>29.353623276587264</v>
      </c>
      <c r="X197" s="19">
        <v>44.27248961034303</v>
      </c>
      <c r="Y197" s="19">
        <v>22.209384060578472</v>
      </c>
      <c r="Z197" s="19">
        <v>23.928696099561055</v>
      </c>
      <c r="AA197" s="19">
        <v>19.826910203959226</v>
      </c>
      <c r="AB197" s="19">
        <v>32.020721005064537</v>
      </c>
      <c r="AC197" s="19">
        <v>29.392037913939856</v>
      </c>
      <c r="AD197" s="19">
        <v>17.13149294221952</v>
      </c>
      <c r="AE197" s="19">
        <v>30.817673102446864</v>
      </c>
      <c r="AF197" s="19">
        <v>38.315672523336787</v>
      </c>
      <c r="AG197" s="19">
        <v>757.86363082693629</v>
      </c>
      <c r="AH197" s="19">
        <v>452.49542031803134</v>
      </c>
      <c r="AI197" s="19">
        <v>1170.5648945621806</v>
      </c>
      <c r="AJ197" s="19">
        <v>1343.1792095783392</v>
      </c>
      <c r="AK197" s="19">
        <v>1318.4691284224987</v>
      </c>
      <c r="AL197" s="19">
        <v>2823.7165332288268</v>
      </c>
      <c r="AM197" s="19">
        <v>671.83866734460162</v>
      </c>
      <c r="AN197" s="19">
        <v>3084.6340186158905</v>
      </c>
      <c r="AO197" s="19"/>
      <c r="AP197" s="19">
        <v>1.1380007801156042</v>
      </c>
      <c r="AQ197" s="19">
        <v>1.2586101728250996</v>
      </c>
      <c r="AR197" s="19">
        <v>1.4559777378691565</v>
      </c>
      <c r="AS197" s="19">
        <v>1.053057041612619</v>
      </c>
      <c r="AT197" s="19">
        <v>1.2600774588567585</v>
      </c>
      <c r="AU197" s="19">
        <v>0.9364291544902108</v>
      </c>
      <c r="AV197" s="19">
        <v>0.1531852154345425</v>
      </c>
      <c r="AW197" s="19">
        <v>0.60171190569808619</v>
      </c>
      <c r="AX197" s="19">
        <v>0.96804805527142967</v>
      </c>
      <c r="AY197" s="19">
        <v>0.24778790005196874</v>
      </c>
      <c r="AZ197" s="19">
        <v>0.21162499819135297</v>
      </c>
      <c r="BA197" s="19">
        <v>0.93587972528343355</v>
      </c>
      <c r="BB197" s="19">
        <v>0.2743866682281314</v>
      </c>
      <c r="BC197" s="19">
        <v>0.6630217440884465</v>
      </c>
      <c r="BD197" s="19">
        <v>0.69359412791066566</v>
      </c>
      <c r="BE197" s="19">
        <v>0.74728786075043052</v>
      </c>
      <c r="BF197" s="19">
        <v>0.6191899989017523</v>
      </c>
      <c r="BG197" s="19">
        <v>0.76710223201845551</v>
      </c>
      <c r="BH197" s="19">
        <v>0.44711450469218056</v>
      </c>
      <c r="BI197" s="19">
        <v>0.80430985737433836</v>
      </c>
    </row>
    <row r="198" spans="1:61" x14ac:dyDescent="0.55000000000000004">
      <c r="A198" s="19" t="s">
        <v>1069</v>
      </c>
      <c r="B198" s="19" t="s">
        <v>1070</v>
      </c>
      <c r="C198" s="19" t="s">
        <v>322</v>
      </c>
      <c r="D198" s="19" t="s">
        <v>9</v>
      </c>
      <c r="E198" s="19">
        <v>1965</v>
      </c>
      <c r="F198" s="19">
        <v>68.075094494369452</v>
      </c>
      <c r="G198" s="19">
        <v>41.648336597000061</v>
      </c>
      <c r="H198" s="19">
        <v>81838.981413105124</v>
      </c>
      <c r="I198" s="19">
        <v>26.979671867046299</v>
      </c>
      <c r="J198" s="19">
        <v>11.851512155236394</v>
      </c>
      <c r="K198" s="19">
        <v>28.981285993222457</v>
      </c>
      <c r="L198" s="19">
        <v>39.883851642304926</v>
      </c>
      <c r="M198" s="19">
        <v>27.044861504902723</v>
      </c>
      <c r="N198" s="19">
        <v>10.359880935151761</v>
      </c>
      <c r="O198" s="19">
        <v>15.742692333892521</v>
      </c>
      <c r="P198" s="19">
        <v>30.968532991216421</v>
      </c>
      <c r="Q198" s="19">
        <v>432.74495321998938</v>
      </c>
      <c r="R198" s="19">
        <v>106.64990035218983</v>
      </c>
      <c r="S198" s="19">
        <v>1167.4772378803516</v>
      </c>
      <c r="T198" s="19">
        <v>1173.8628068850205</v>
      </c>
      <c r="U198" s="19">
        <v>40.184757885713367</v>
      </c>
      <c r="V198" s="19">
        <v>14.953169194576297</v>
      </c>
      <c r="W198" s="19">
        <v>52.443743807697842</v>
      </c>
      <c r="X198" s="19">
        <v>57.397839909521991</v>
      </c>
      <c r="Y198" s="19">
        <v>31.16795066113005</v>
      </c>
      <c r="Z198" s="19">
        <v>26.993867883673676</v>
      </c>
      <c r="AA198" s="19">
        <v>16.718989860202939</v>
      </c>
      <c r="AB198" s="19">
        <v>37.456396382966631</v>
      </c>
      <c r="AC198" s="19">
        <v>54.800274567009687</v>
      </c>
      <c r="AD198" s="19">
        <v>23.735815315306787</v>
      </c>
      <c r="AE198" s="19">
        <v>36.9135856199701</v>
      </c>
      <c r="AF198" s="19">
        <v>60.895178480250458</v>
      </c>
      <c r="AG198" s="19">
        <v>838.59746922499357</v>
      </c>
      <c r="AH198" s="19">
        <v>844.49308119280261</v>
      </c>
      <c r="AI198" s="19">
        <v>1858.508332097934</v>
      </c>
      <c r="AJ198" s="19">
        <v>1976.7409743783305</v>
      </c>
      <c r="AK198" s="19">
        <v>1218.2225317170662</v>
      </c>
      <c r="AL198" s="19">
        <v>2657.6627390561544</v>
      </c>
      <c r="AM198" s="19">
        <v>948.55723386888826</v>
      </c>
      <c r="AN198" s="19">
        <v>2686.9683670383524</v>
      </c>
      <c r="AO198" s="19"/>
      <c r="AP198" s="19">
        <v>0.95763372324400986</v>
      </c>
      <c r="AQ198" s="19">
        <v>0.74357190518497418</v>
      </c>
      <c r="AR198" s="19">
        <v>1.3781544378330914</v>
      </c>
      <c r="AS198" s="19">
        <v>0.8993491563757825</v>
      </c>
      <c r="AT198" s="19">
        <v>1.4621275051027309</v>
      </c>
      <c r="AU198" s="19">
        <v>0.67645602809405891</v>
      </c>
      <c r="AV198" s="19">
        <v>0.29715064285981491</v>
      </c>
      <c r="AW198" s="19">
        <v>0.7266421070146073</v>
      </c>
      <c r="AX198" s="19">
        <v>0.87330134470927101</v>
      </c>
      <c r="AY198" s="19">
        <v>0.33452927647848624</v>
      </c>
      <c r="AZ198" s="19">
        <v>0.50834478786443027</v>
      </c>
      <c r="BA198" s="19">
        <v>0.70010923667263192</v>
      </c>
      <c r="BB198" s="19">
        <v>0.26051797799616577</v>
      </c>
      <c r="BC198" s="19">
        <v>0.91368845744659655</v>
      </c>
      <c r="BD198" s="19">
        <v>0.83211290115735037</v>
      </c>
      <c r="BE198" s="19">
        <v>0.72067445057125656</v>
      </c>
      <c r="BF198" s="19">
        <v>0.44635873908590767</v>
      </c>
      <c r="BG198" s="19">
        <v>0.89991155186091665</v>
      </c>
      <c r="BH198" s="19">
        <v>0.38978152142217293</v>
      </c>
      <c r="BI198" s="19">
        <v>0.60618240296219716</v>
      </c>
    </row>
    <row r="199" spans="1:61" x14ac:dyDescent="0.55000000000000004">
      <c r="A199" s="19" t="s">
        <v>1071</v>
      </c>
      <c r="B199" s="19" t="s">
        <v>1072</v>
      </c>
      <c r="C199" s="19" t="s">
        <v>322</v>
      </c>
      <c r="D199" s="19" t="s">
        <v>9</v>
      </c>
      <c r="E199" s="19">
        <v>2499</v>
      </c>
      <c r="F199" s="19">
        <v>67.900905528589149</v>
      </c>
      <c r="G199" s="19">
        <v>29.555322361719167</v>
      </c>
      <c r="H199" s="19">
        <v>73858.750581936198</v>
      </c>
      <c r="I199" s="19">
        <v>46.863882098808283</v>
      </c>
      <c r="J199" s="19">
        <v>6.7532479170092943</v>
      </c>
      <c r="K199" s="19">
        <v>20.859704420692264</v>
      </c>
      <c r="L199" s="19">
        <v>49.045145603366237</v>
      </c>
      <c r="M199" s="19">
        <v>34.422125919237651</v>
      </c>
      <c r="N199" s="19">
        <v>7.9389329028206248</v>
      </c>
      <c r="O199" s="19">
        <v>11.922487220711025</v>
      </c>
      <c r="P199" s="19">
        <v>35.573840791652664</v>
      </c>
      <c r="Q199" s="19">
        <v>511.91831846376306</v>
      </c>
      <c r="R199" s="19">
        <v>41.727566526381331</v>
      </c>
      <c r="S199" s="19">
        <v>762.23584163557757</v>
      </c>
      <c r="T199" s="19">
        <v>799.09286641782307</v>
      </c>
      <c r="U199" s="19">
        <v>31.261402159828201</v>
      </c>
      <c r="V199" s="19">
        <v>13.262378872092908</v>
      </c>
      <c r="W199" s="19">
        <v>42.530659664314413</v>
      </c>
      <c r="X199" s="19">
        <v>47.651322006724449</v>
      </c>
      <c r="Y199" s="19">
        <v>25.07105854506684</v>
      </c>
      <c r="Z199" s="19">
        <v>26.838992316795846</v>
      </c>
      <c r="AA199" s="19">
        <v>65.671544989435773</v>
      </c>
      <c r="AB199" s="19">
        <v>70.425120032799853</v>
      </c>
      <c r="AC199" s="19">
        <v>26.11863028407619</v>
      </c>
      <c r="AD199" s="19">
        <v>16.940283964162205</v>
      </c>
      <c r="AE199" s="19">
        <v>30.174189764078321</v>
      </c>
      <c r="AF199" s="19">
        <v>39.039162787201889</v>
      </c>
      <c r="AG199" s="19">
        <v>916.83046718850323</v>
      </c>
      <c r="AH199" s="19">
        <v>82.40485329224704</v>
      </c>
      <c r="AI199" s="19">
        <v>1746.8734965191516</v>
      </c>
      <c r="AJ199" s="19">
        <v>1956.7766802401502</v>
      </c>
      <c r="AK199" s="19">
        <v>1502.8786494753278</v>
      </c>
      <c r="AL199" s="19">
        <v>2160.8299099476035</v>
      </c>
      <c r="AM199" s="19">
        <v>1615.8565459852234</v>
      </c>
      <c r="AN199" s="19">
        <v>2602.8702498442017</v>
      </c>
      <c r="AO199" s="19"/>
      <c r="AP199" s="19">
        <v>1.6594353126356287</v>
      </c>
      <c r="AQ199" s="19">
        <v>1.2036356889048465</v>
      </c>
      <c r="AR199" s="19">
        <v>1.6122754955447109</v>
      </c>
      <c r="AS199" s="19">
        <v>2.3828236136587138</v>
      </c>
      <c r="AT199" s="19">
        <v>1.3208843506902987</v>
      </c>
      <c r="AU199" s="19">
        <v>0.95552539445599605</v>
      </c>
      <c r="AV199" s="19">
        <v>0.13769452274897073</v>
      </c>
      <c r="AW199" s="19">
        <v>0.42531639296959389</v>
      </c>
      <c r="AX199" s="19">
        <v>0.96762466894816535</v>
      </c>
      <c r="AY199" s="19">
        <v>0.22316771892349282</v>
      </c>
      <c r="AZ199" s="19">
        <v>0.33514759596913174</v>
      </c>
      <c r="BA199" s="19">
        <v>0.65604480302596135</v>
      </c>
      <c r="BB199" s="19">
        <v>0.27832132065971538</v>
      </c>
      <c r="BC199" s="19">
        <v>0.89253892385845202</v>
      </c>
      <c r="BD199" s="19">
        <v>0.3559959646982529</v>
      </c>
      <c r="BE199" s="19">
        <v>0.38109970283750788</v>
      </c>
      <c r="BF199" s="19">
        <v>0.93250171187283537</v>
      </c>
      <c r="BG199" s="19">
        <v>0.66903663960331128</v>
      </c>
      <c r="BH199" s="19">
        <v>0.43393051373826325</v>
      </c>
      <c r="BI199" s="19">
        <v>0.77292102621550707</v>
      </c>
    </row>
    <row r="200" spans="1:61" x14ac:dyDescent="0.55000000000000004">
      <c r="A200" s="19" t="s">
        <v>1073</v>
      </c>
      <c r="B200" s="19" t="s">
        <v>1074</v>
      </c>
      <c r="C200" s="19" t="s">
        <v>322</v>
      </c>
      <c r="D200" s="19" t="s">
        <v>9</v>
      </c>
      <c r="E200" s="19">
        <v>2846</v>
      </c>
      <c r="F200" s="19">
        <v>71.016339725896259</v>
      </c>
      <c r="G200" s="19">
        <v>34.834947852366675</v>
      </c>
      <c r="H200" s="19">
        <v>99140.261587835557</v>
      </c>
      <c r="I200" s="19">
        <v>37.113810401401878</v>
      </c>
      <c r="J200" s="19">
        <v>6.1581820611120479</v>
      </c>
      <c r="K200" s="19">
        <v>23.020301563450136</v>
      </c>
      <c r="L200" s="19">
        <v>43.736883858427319</v>
      </c>
      <c r="M200" s="19">
        <v>33.784636645240923</v>
      </c>
      <c r="N200" s="19">
        <v>9.8625019507180376</v>
      </c>
      <c r="O200" s="19">
        <v>12.063661794081016</v>
      </c>
      <c r="P200" s="19">
        <v>36.171306064204103</v>
      </c>
      <c r="Q200" s="19">
        <v>555.72567017543929</v>
      </c>
      <c r="R200" s="19">
        <v>175.25991808046405</v>
      </c>
      <c r="S200" s="19">
        <v>726.97795987357995</v>
      </c>
      <c r="T200" s="19">
        <v>880.72068908438996</v>
      </c>
      <c r="U200" s="19">
        <v>26.423322851481807</v>
      </c>
      <c r="V200" s="19">
        <v>7.3682437573679476</v>
      </c>
      <c r="W200" s="19">
        <v>36.343916531402037</v>
      </c>
      <c r="X200" s="19">
        <v>39.349563854043154</v>
      </c>
      <c r="Y200" s="19">
        <v>24.018993772350687</v>
      </c>
      <c r="Z200" s="19">
        <v>16.39688298994372</v>
      </c>
      <c r="AA200" s="19">
        <v>38.957277645459271</v>
      </c>
      <c r="AB200" s="19">
        <v>47.127469020717136</v>
      </c>
      <c r="AC200" s="19">
        <v>28.13739132862694</v>
      </c>
      <c r="AD200" s="19">
        <v>10.201128273172905</v>
      </c>
      <c r="AE200" s="19">
        <v>23.362333835724048</v>
      </c>
      <c r="AF200" s="19">
        <v>37.590880478238219</v>
      </c>
      <c r="AG200" s="19">
        <v>524.18744869594855</v>
      </c>
      <c r="AH200" s="19">
        <v>38.124435228707561</v>
      </c>
      <c r="AI200" s="19">
        <v>1342.1813158823018</v>
      </c>
      <c r="AJ200" s="19">
        <v>1438.0275908494341</v>
      </c>
      <c r="AK200" s="19">
        <v>1747.5983185672226</v>
      </c>
      <c r="AL200" s="19">
        <v>1007.4090572285759</v>
      </c>
      <c r="AM200" s="19">
        <v>1948.9627652099073</v>
      </c>
      <c r="AN200" s="19">
        <v>2589.3542897135453</v>
      </c>
      <c r="AO200" s="19"/>
      <c r="AP200" s="19">
        <v>1.2555461269466448</v>
      </c>
      <c r="AQ200" s="19">
        <v>1.0383625724804015</v>
      </c>
      <c r="AR200" s="19">
        <v>1.1296001940582712</v>
      </c>
      <c r="AS200" s="19">
        <v>1.3528789886652668</v>
      </c>
      <c r="AT200" s="19">
        <v>1.0791140161182791</v>
      </c>
      <c r="AU200" s="19">
        <v>0.84857006552035619</v>
      </c>
      <c r="AV200" s="19">
        <v>0.14080065879968895</v>
      </c>
      <c r="AW200" s="19">
        <v>0.52633611571334049</v>
      </c>
      <c r="AX200" s="19">
        <v>0.93401760459722305</v>
      </c>
      <c r="AY200" s="19">
        <v>0.27266092999827229</v>
      </c>
      <c r="AZ200" s="19">
        <v>0.33351468627281539</v>
      </c>
      <c r="BA200" s="19">
        <v>0.67150230557807866</v>
      </c>
      <c r="BB200" s="19">
        <v>0.1872509638149614</v>
      </c>
      <c r="BC200" s="19">
        <v>0.92361675636889462</v>
      </c>
      <c r="BD200" s="19">
        <v>0.50966016786923118</v>
      </c>
      <c r="BE200" s="19">
        <v>0.3479262377263605</v>
      </c>
      <c r="BF200" s="19">
        <v>0.82663632176669055</v>
      </c>
      <c r="BG200" s="19">
        <v>0.74851642128776397</v>
      </c>
      <c r="BH200" s="19">
        <v>0.27137242180529536</v>
      </c>
      <c r="BI200" s="19">
        <v>0.62148940217691262</v>
      </c>
    </row>
    <row r="201" spans="1:61" x14ac:dyDescent="0.55000000000000004">
      <c r="A201" s="19" t="s">
        <v>1139</v>
      </c>
      <c r="B201" s="19" t="s">
        <v>1140</v>
      </c>
      <c r="C201" s="19" t="s">
        <v>322</v>
      </c>
      <c r="D201" s="19" t="s">
        <v>9</v>
      </c>
      <c r="E201" s="19">
        <v>2299</v>
      </c>
      <c r="F201" s="19">
        <v>70.670804344516782</v>
      </c>
      <c r="G201" s="19">
        <v>36.89491453969142</v>
      </c>
      <c r="H201" s="19">
        <v>84821.408526750572</v>
      </c>
      <c r="I201" s="19">
        <v>39.286413713911742</v>
      </c>
      <c r="J201" s="19">
        <v>7.9500373351139748</v>
      </c>
      <c r="K201" s="19">
        <v>17.868635644906725</v>
      </c>
      <c r="L201" s="19">
        <v>43.315110492511941</v>
      </c>
      <c r="M201" s="19">
        <v>35.476146159536256</v>
      </c>
      <c r="N201" s="19">
        <v>12.619561135821701</v>
      </c>
      <c r="O201" s="19">
        <v>4.1541392608046692</v>
      </c>
      <c r="P201" s="19">
        <v>37.294362308116646</v>
      </c>
      <c r="Q201" s="19">
        <v>437.08061749220417</v>
      </c>
      <c r="R201" s="19">
        <v>665.35316806523883</v>
      </c>
      <c r="S201" s="19">
        <v>680.40817706052121</v>
      </c>
      <c r="T201" s="19">
        <v>741.48591129616818</v>
      </c>
      <c r="U201" s="19">
        <v>39.174365033515912</v>
      </c>
      <c r="V201" s="19">
        <v>15.01628746408567</v>
      </c>
      <c r="W201" s="19">
        <v>50.767864085337287</v>
      </c>
      <c r="X201" s="19">
        <v>54.110173759627131</v>
      </c>
      <c r="Y201" s="19">
        <v>27.871592779717972</v>
      </c>
      <c r="Z201" s="19">
        <v>22.575548856136091</v>
      </c>
      <c r="AA201" s="19">
        <v>57.743130240515633</v>
      </c>
      <c r="AB201" s="19">
        <v>62.874791649424552</v>
      </c>
      <c r="AC201" s="19">
        <v>36.146146004685662</v>
      </c>
      <c r="AD201" s="19">
        <v>10.659171461523858</v>
      </c>
      <c r="AE201" s="19">
        <v>36.622680893649196</v>
      </c>
      <c r="AF201" s="19">
        <v>46.958120018263728</v>
      </c>
      <c r="AG201" s="19">
        <v>620.5121047001677</v>
      </c>
      <c r="AH201" s="19">
        <v>241.74826252359424</v>
      </c>
      <c r="AI201" s="19">
        <v>1884.6420093441943</v>
      </c>
      <c r="AJ201" s="19">
        <v>1975.1352758986388</v>
      </c>
      <c r="AK201" s="19">
        <v>1147.7423948142305</v>
      </c>
      <c r="AL201" s="19">
        <v>1544.1367243473369</v>
      </c>
      <c r="AM201" s="19">
        <v>3874.5893644162879</v>
      </c>
      <c r="AN201" s="19">
        <v>4039.9434740648512</v>
      </c>
      <c r="AO201" s="19"/>
      <c r="AP201" s="19">
        <v>1.1740130322273465</v>
      </c>
      <c r="AQ201" s="19">
        <v>1.0108266348739066</v>
      </c>
      <c r="AR201" s="19">
        <v>1.4666024961628681</v>
      </c>
      <c r="AS201" s="19">
        <v>1.7041587555863307</v>
      </c>
      <c r="AT201" s="19">
        <v>1.2727531857472212</v>
      </c>
      <c r="AU201" s="19">
        <v>0.90699096151915259</v>
      </c>
      <c r="AV201" s="19">
        <v>0.18353958340908147</v>
      </c>
      <c r="AW201" s="19">
        <v>0.4125266088838847</v>
      </c>
      <c r="AX201" s="19">
        <v>0.95124688998410145</v>
      </c>
      <c r="AY201" s="19">
        <v>0.33837717968099468</v>
      </c>
      <c r="AZ201" s="19">
        <v>0.11138786142753199</v>
      </c>
      <c r="BA201" s="19">
        <v>0.7239741126602115</v>
      </c>
      <c r="BB201" s="19">
        <v>0.27751319984283018</v>
      </c>
      <c r="BC201" s="19">
        <v>0.93823140008499439</v>
      </c>
      <c r="BD201" s="19">
        <v>0.44328723878917314</v>
      </c>
      <c r="BE201" s="19">
        <v>0.35905564478069663</v>
      </c>
      <c r="BF201" s="19">
        <v>0.91838284828804062</v>
      </c>
      <c r="BG201" s="19">
        <v>0.76975283487982704</v>
      </c>
      <c r="BH201" s="19">
        <v>0.2269931474551817</v>
      </c>
      <c r="BI201" s="19">
        <v>0.77990091765610081</v>
      </c>
    </row>
    <row r="202" spans="1:61" x14ac:dyDescent="0.55000000000000004">
      <c r="A202" s="19" t="s">
        <v>1141</v>
      </c>
      <c r="B202" s="19" t="s">
        <v>1142</v>
      </c>
      <c r="C202" s="19" t="s">
        <v>322</v>
      </c>
      <c r="D202" s="19" t="s">
        <v>9</v>
      </c>
      <c r="E202" s="19">
        <v>2954</v>
      </c>
      <c r="F202" s="19">
        <v>68.845282200653642</v>
      </c>
      <c r="G202" s="19">
        <v>27.713120240888671</v>
      </c>
      <c r="H202" s="19">
        <v>81864.557191585132</v>
      </c>
      <c r="I202" s="19">
        <v>30.870751302487726</v>
      </c>
      <c r="J202" s="19">
        <v>17.523076558493898</v>
      </c>
      <c r="K202" s="19">
        <v>21.379146916269136</v>
      </c>
      <c r="L202" s="19">
        <v>39.068044261919269</v>
      </c>
      <c r="M202" s="19">
        <v>27.952779978840873</v>
      </c>
      <c r="N202" s="19">
        <v>14.907062933602269</v>
      </c>
      <c r="O202" s="19">
        <v>9.2879434675158645</v>
      </c>
      <c r="P202" s="19">
        <v>31.412678376962159</v>
      </c>
      <c r="Q202" s="19">
        <v>298.87495393125391</v>
      </c>
      <c r="R202" s="19">
        <v>121.20556586160441</v>
      </c>
      <c r="S202" s="19">
        <v>876.77860677995398</v>
      </c>
      <c r="T202" s="19">
        <v>876.78052339514318</v>
      </c>
      <c r="U202" s="19">
        <v>26.421159615929788</v>
      </c>
      <c r="V202" s="19">
        <v>13.18559465860098</v>
      </c>
      <c r="W202" s="19">
        <v>40.801340313061544</v>
      </c>
      <c r="X202" s="19">
        <v>44.192205418097359</v>
      </c>
      <c r="Y202" s="19">
        <v>27.665103322276384</v>
      </c>
      <c r="Z202" s="19">
        <v>13.743976285511499</v>
      </c>
      <c r="AA202" s="19">
        <v>30.310211902161097</v>
      </c>
      <c r="AB202" s="19">
        <v>41.478065352546416</v>
      </c>
      <c r="AC202" s="19">
        <v>26.933848859662625</v>
      </c>
      <c r="AD202" s="19">
        <v>13.65967446895173</v>
      </c>
      <c r="AE202" s="19">
        <v>18.695643231465702</v>
      </c>
      <c r="AF202" s="19">
        <v>34.865778921913403</v>
      </c>
      <c r="AG202" s="19">
        <v>622.11526584046476</v>
      </c>
      <c r="AH202" s="19">
        <v>73.630819236398281</v>
      </c>
      <c r="AI202" s="19">
        <v>1486.3015220694924</v>
      </c>
      <c r="AJ202" s="19">
        <v>1586.4121342377923</v>
      </c>
      <c r="AK202" s="19">
        <v>814.32130994164936</v>
      </c>
      <c r="AL202" s="19">
        <v>1564.3540206973375</v>
      </c>
      <c r="AM202" s="19">
        <v>1122.8391353335351</v>
      </c>
      <c r="AN202" s="19">
        <v>1569.9872049669498</v>
      </c>
      <c r="AO202" s="19"/>
      <c r="AP202" s="19">
        <v>1.4097309838203367</v>
      </c>
      <c r="AQ202" s="19">
        <v>1.1334948249751777</v>
      </c>
      <c r="AR202" s="19">
        <v>1.5946311723100386</v>
      </c>
      <c r="AS202" s="19">
        <v>1.4966941647858396</v>
      </c>
      <c r="AT202" s="19">
        <v>1.2580964762845979</v>
      </c>
      <c r="AU202" s="19">
        <v>0.79017908077314025</v>
      </c>
      <c r="AV202" s="19">
        <v>0.44852709905353871</v>
      </c>
      <c r="AW202" s="19">
        <v>0.54722849121751393</v>
      </c>
      <c r="AX202" s="19">
        <v>0.88985662551274991</v>
      </c>
      <c r="AY202" s="19">
        <v>0.47455561587944711</v>
      </c>
      <c r="AZ202" s="19">
        <v>0.29567499326410757</v>
      </c>
      <c r="BA202" s="19">
        <v>0.59786922526183617</v>
      </c>
      <c r="BB202" s="19">
        <v>0.29836923805575188</v>
      </c>
      <c r="BC202" s="19">
        <v>0.92327006373736653</v>
      </c>
      <c r="BD202" s="19">
        <v>0.66698152594954552</v>
      </c>
      <c r="BE202" s="19">
        <v>0.33135528787790319</v>
      </c>
      <c r="BF202" s="19">
        <v>0.73075278811913769</v>
      </c>
      <c r="BG202" s="19">
        <v>0.77250099359559976</v>
      </c>
      <c r="BH202" s="19">
        <v>0.39177884135456736</v>
      </c>
      <c r="BI202" s="19">
        <v>0.53621756947800037</v>
      </c>
    </row>
    <row r="203" spans="1:61" x14ac:dyDescent="0.55000000000000004">
      <c r="A203" s="19" t="s">
        <v>1143</v>
      </c>
      <c r="B203" s="19" t="s">
        <v>1144</v>
      </c>
      <c r="C203" s="19" t="s">
        <v>322</v>
      </c>
      <c r="D203" s="19" t="s">
        <v>9</v>
      </c>
      <c r="E203" s="19">
        <v>1944</v>
      </c>
      <c r="F203" s="19">
        <v>70.174792171703132</v>
      </c>
      <c r="G203" s="19">
        <v>65.716926650905236</v>
      </c>
      <c r="H203" s="19">
        <v>127753.70540935978</v>
      </c>
      <c r="I203" s="19">
        <v>45.554953825409761</v>
      </c>
      <c r="J203" s="19">
        <v>16.027106627958265</v>
      </c>
      <c r="K203" s="19">
        <v>27.276174093733516</v>
      </c>
      <c r="L203" s="19">
        <v>48.758777977654425</v>
      </c>
      <c r="M203" s="19">
        <v>38.863376891557721</v>
      </c>
      <c r="N203" s="19">
        <v>15.118203270554663</v>
      </c>
      <c r="O203" s="19">
        <v>17.103759515515705</v>
      </c>
      <c r="P203" s="19">
        <v>42.247087871316765</v>
      </c>
      <c r="Q203" s="19">
        <v>628.07667996250325</v>
      </c>
      <c r="R203" s="19">
        <v>139.27135544905639</v>
      </c>
      <c r="S203" s="19">
        <v>1414.6244985656804</v>
      </c>
      <c r="T203" s="19">
        <v>1455.7548522180962</v>
      </c>
      <c r="U203" s="19">
        <v>36.119222034883101</v>
      </c>
      <c r="V203" s="19">
        <v>16.321624903310813</v>
      </c>
      <c r="W203" s="19">
        <v>62.019412706990778</v>
      </c>
      <c r="X203" s="19">
        <v>65.698597187506266</v>
      </c>
      <c r="Y203" s="19">
        <v>26.746305578326265</v>
      </c>
      <c r="Z203" s="19">
        <v>36.293040335808236</v>
      </c>
      <c r="AA203" s="19">
        <v>82.867246793185544</v>
      </c>
      <c r="AB203" s="19">
        <v>87.379971323979447</v>
      </c>
      <c r="AC203" s="19">
        <v>36.117515127686225</v>
      </c>
      <c r="AD203" s="19">
        <v>23.927501887315273</v>
      </c>
      <c r="AE203" s="19">
        <v>38.564287574112477</v>
      </c>
      <c r="AF203" s="19">
        <v>46.909393998022146</v>
      </c>
      <c r="AG203" s="19">
        <v>804.37214005089004</v>
      </c>
      <c r="AH203" s="19">
        <v>568.07291656904692</v>
      </c>
      <c r="AI203" s="19">
        <v>2262.2511563976873</v>
      </c>
      <c r="AJ203" s="19">
        <v>2343.4000012192719</v>
      </c>
      <c r="AK203" s="19">
        <v>1956.6415436681721</v>
      </c>
      <c r="AL203" s="19">
        <v>3729.1343827787955</v>
      </c>
      <c r="AM203" s="19">
        <v>2233.3644571359032</v>
      </c>
      <c r="AN203" s="19">
        <v>4152.5888637113612</v>
      </c>
      <c r="AO203" s="19"/>
      <c r="AP203" s="19">
        <v>0.7419515863343068</v>
      </c>
      <c r="AQ203" s="19">
        <v>0.64286463205647826</v>
      </c>
      <c r="AR203" s="19">
        <v>0.9997210845921578</v>
      </c>
      <c r="AS203" s="19">
        <v>1.3296417799351821</v>
      </c>
      <c r="AT203" s="19">
        <v>0.7138099176063033</v>
      </c>
      <c r="AU203" s="19">
        <v>0.93429236159870666</v>
      </c>
      <c r="AV203" s="19">
        <v>0.32870197516646743</v>
      </c>
      <c r="AW203" s="19">
        <v>0.55941053539598273</v>
      </c>
      <c r="AX203" s="19">
        <v>0.91990664563518043</v>
      </c>
      <c r="AY203" s="19">
        <v>0.357851961692702</v>
      </c>
      <c r="AZ203" s="19">
        <v>0.40485061520957827</v>
      </c>
      <c r="BA203" s="19">
        <v>0.54977158693050143</v>
      </c>
      <c r="BB203" s="19">
        <v>0.24843186311464585</v>
      </c>
      <c r="BC203" s="19">
        <v>0.94399904049678629</v>
      </c>
      <c r="BD203" s="19">
        <v>0.30609194730859735</v>
      </c>
      <c r="BE203" s="19">
        <v>0.41534735919338117</v>
      </c>
      <c r="BF203" s="19">
        <v>0.948355161229545</v>
      </c>
      <c r="BG203" s="19">
        <v>0.76994205316762476</v>
      </c>
      <c r="BH203" s="19">
        <v>0.51007910885235774</v>
      </c>
      <c r="BI203" s="19">
        <v>0.82210159388838988</v>
      </c>
    </row>
    <row r="204" spans="1:61" x14ac:dyDescent="0.55000000000000004">
      <c r="A204" s="19" t="s">
        <v>1145</v>
      </c>
      <c r="B204" s="19" t="s">
        <v>1146</v>
      </c>
      <c r="C204" s="19" t="s">
        <v>322</v>
      </c>
      <c r="D204" s="19" t="s">
        <v>9</v>
      </c>
      <c r="E204" s="19">
        <v>2009</v>
      </c>
      <c r="F204" s="19">
        <v>69.392527320179312</v>
      </c>
      <c r="G204" s="19">
        <v>53.367140471304346</v>
      </c>
      <c r="H204" s="19">
        <v>107214.58520685043</v>
      </c>
      <c r="I204" s="19">
        <v>40.048444835486002</v>
      </c>
      <c r="J204" s="19">
        <v>14.323533706187503</v>
      </c>
      <c r="K204" s="19">
        <v>23.457020622517991</v>
      </c>
      <c r="L204" s="19">
        <v>46.564678639192167</v>
      </c>
      <c r="M204" s="19">
        <v>38.034573609157079</v>
      </c>
      <c r="N204" s="19">
        <v>17.65878300029798</v>
      </c>
      <c r="O204" s="19">
        <v>5.2767679887054628</v>
      </c>
      <c r="P204" s="19">
        <v>41.837769720799237</v>
      </c>
      <c r="Q204" s="19">
        <v>487.92610743088545</v>
      </c>
      <c r="R204" s="19">
        <v>34.982982232459321</v>
      </c>
      <c r="S204" s="19">
        <v>1043.2961859471848</v>
      </c>
      <c r="T204" s="19">
        <v>1044.7343620511119</v>
      </c>
      <c r="U204" s="19">
        <v>30.383832545396693</v>
      </c>
      <c r="V204" s="19">
        <v>34.670776008199681</v>
      </c>
      <c r="W204" s="19">
        <v>46.117265008068969</v>
      </c>
      <c r="X204" s="19">
        <v>56.092376684633045</v>
      </c>
      <c r="Y204" s="19">
        <v>27.083292685206835</v>
      </c>
      <c r="Z204" s="19">
        <v>25.779117630788122</v>
      </c>
      <c r="AA204" s="19">
        <v>52.137280692752867</v>
      </c>
      <c r="AB204" s="19">
        <v>60.740696378189099</v>
      </c>
      <c r="AC204" s="19">
        <v>33.977825157239963</v>
      </c>
      <c r="AD204" s="19">
        <v>19.855916468651102</v>
      </c>
      <c r="AE204" s="19">
        <v>31.765961984911662</v>
      </c>
      <c r="AF204" s="19">
        <v>42.434497911146821</v>
      </c>
      <c r="AG204" s="19">
        <v>919.42223683868565</v>
      </c>
      <c r="AH204" s="19">
        <v>338.50045612787142</v>
      </c>
      <c r="AI204" s="19">
        <v>1951.7606922852572</v>
      </c>
      <c r="AJ204" s="19">
        <v>2129.160265891082</v>
      </c>
      <c r="AK204" s="19">
        <v>763.68020078908614</v>
      </c>
      <c r="AL204" s="19">
        <v>1840.4472195230276</v>
      </c>
      <c r="AM204" s="19">
        <v>1576.5413210895542</v>
      </c>
      <c r="AN204" s="19">
        <v>1848.8057692639993</v>
      </c>
      <c r="AO204" s="19"/>
      <c r="AP204" s="19">
        <v>0.87253463888008242</v>
      </c>
      <c r="AQ204" s="19">
        <v>0.78396124190494176</v>
      </c>
      <c r="AR204" s="19">
        <v>1.0510658092088345</v>
      </c>
      <c r="AS204" s="19">
        <v>1.1381665916848127</v>
      </c>
      <c r="AT204" s="19">
        <v>0.79514280766015488</v>
      </c>
      <c r="AU204" s="19">
        <v>0.86006058681952047</v>
      </c>
      <c r="AV204" s="19">
        <v>0.30760512312720639</v>
      </c>
      <c r="AW204" s="19">
        <v>0.50375136923579844</v>
      </c>
      <c r="AX204" s="19">
        <v>0.90909658576395302</v>
      </c>
      <c r="AY204" s="19">
        <v>0.42207754185135471</v>
      </c>
      <c r="AZ204" s="19">
        <v>0.12612450481752543</v>
      </c>
      <c r="BA204" s="19">
        <v>0.5416749002493344</v>
      </c>
      <c r="BB204" s="19">
        <v>0.6181013901965402</v>
      </c>
      <c r="BC204" s="19">
        <v>0.82216635724588871</v>
      </c>
      <c r="BD204" s="19">
        <v>0.44588380278978762</v>
      </c>
      <c r="BE204" s="19">
        <v>0.42441261243170308</v>
      </c>
      <c r="BF204" s="19">
        <v>0.85835829685144072</v>
      </c>
      <c r="BG204" s="19">
        <v>0.80071231733166248</v>
      </c>
      <c r="BH204" s="19">
        <v>0.46791920362124256</v>
      </c>
      <c r="BI204" s="19">
        <v>0.74858814286965525</v>
      </c>
    </row>
    <row r="205" spans="1:61" x14ac:dyDescent="0.55000000000000004">
      <c r="A205" s="19" t="s">
        <v>1153</v>
      </c>
      <c r="B205" s="19" t="s">
        <v>1154</v>
      </c>
      <c r="C205" s="19" t="s">
        <v>322</v>
      </c>
      <c r="D205" s="19" t="s">
        <v>9</v>
      </c>
      <c r="E205" s="19">
        <v>1990</v>
      </c>
      <c r="F205" s="19">
        <v>68.913567200227874</v>
      </c>
      <c r="G205" s="19">
        <v>43.790985385935713</v>
      </c>
      <c r="H205" s="19">
        <v>87144.060918012066</v>
      </c>
      <c r="I205" s="19">
        <v>38.426759442491658</v>
      </c>
      <c r="J205" s="19">
        <v>9.9014970279703753</v>
      </c>
      <c r="K205" s="19">
        <v>19.431594032102804</v>
      </c>
      <c r="L205" s="19">
        <v>42.30318604692296</v>
      </c>
      <c r="M205" s="19">
        <v>35.365099261555699</v>
      </c>
      <c r="N205" s="19">
        <v>10.487838138074505</v>
      </c>
      <c r="O205" s="19">
        <v>8.5529580207043985</v>
      </c>
      <c r="P205" s="19">
        <v>36.731521798688284</v>
      </c>
      <c r="Q205" s="19">
        <v>478.4811815905307</v>
      </c>
      <c r="R205" s="19">
        <v>225.49645387260608</v>
      </c>
      <c r="S205" s="19">
        <v>662.32072048462214</v>
      </c>
      <c r="T205" s="19">
        <v>671.36380837935189</v>
      </c>
      <c r="U205" s="19">
        <v>37.265603766157888</v>
      </c>
      <c r="V205" s="19">
        <v>24.606279247992713</v>
      </c>
      <c r="W205" s="19">
        <v>51.819196826687204</v>
      </c>
      <c r="X205" s="19">
        <v>56.118039778421462</v>
      </c>
      <c r="Y205" s="19">
        <v>28.92275385321971</v>
      </c>
      <c r="Z205" s="19">
        <v>25.364867197486127</v>
      </c>
      <c r="AA205" s="19">
        <v>16.380061332211927</v>
      </c>
      <c r="AB205" s="19">
        <v>39.557856172913141</v>
      </c>
      <c r="AC205" s="19">
        <v>37.99493289066038</v>
      </c>
      <c r="AD205" s="19">
        <v>16.14443751865339</v>
      </c>
      <c r="AE205" s="19">
        <v>33.232258817124119</v>
      </c>
      <c r="AF205" s="19">
        <v>45.215315221398122</v>
      </c>
      <c r="AG205" s="19">
        <v>801.91110520709276</v>
      </c>
      <c r="AH205" s="19">
        <v>275.11367659385678</v>
      </c>
      <c r="AI205" s="19">
        <v>1858.5150211363987</v>
      </c>
      <c r="AJ205" s="19">
        <v>1976.2379676893383</v>
      </c>
      <c r="AK205" s="19">
        <v>679.84145907482048</v>
      </c>
      <c r="AL205" s="19">
        <v>2176.4712261127338</v>
      </c>
      <c r="AM205" s="19">
        <v>953.637944282391</v>
      </c>
      <c r="AN205" s="19">
        <v>2178.2595138524734</v>
      </c>
      <c r="AO205" s="19"/>
      <c r="AP205" s="19">
        <v>0.9660249860581902</v>
      </c>
      <c r="AQ205" s="19">
        <v>0.83879185350520324</v>
      </c>
      <c r="AR205" s="19">
        <v>1.2814975338838759</v>
      </c>
      <c r="AS205" s="19">
        <v>0.90333331904465164</v>
      </c>
      <c r="AT205" s="19">
        <v>1.0325256402181773</v>
      </c>
      <c r="AU205" s="19">
        <v>0.90836561104093805</v>
      </c>
      <c r="AV205" s="19">
        <v>0.23406031444032543</v>
      </c>
      <c r="AW205" s="19">
        <v>0.45934114774592055</v>
      </c>
      <c r="AX205" s="19">
        <v>0.96279972976286043</v>
      </c>
      <c r="AY205" s="19">
        <v>0.28552691597027802</v>
      </c>
      <c r="AZ205" s="19">
        <v>0.232850630790087</v>
      </c>
      <c r="BA205" s="19">
        <v>0.66405747444669794</v>
      </c>
      <c r="BB205" s="19">
        <v>0.43847360572730365</v>
      </c>
      <c r="BC205" s="19">
        <v>0.92339641639822112</v>
      </c>
      <c r="BD205" s="19">
        <v>0.73115069044172032</v>
      </c>
      <c r="BE205" s="19">
        <v>0.64120934882347025</v>
      </c>
      <c r="BF205" s="19">
        <v>0.41407859062463592</v>
      </c>
      <c r="BG205" s="19">
        <v>0.84031113583123485</v>
      </c>
      <c r="BH205" s="19">
        <v>0.35705683880786138</v>
      </c>
      <c r="BI205" s="19">
        <v>0.73497793069453099</v>
      </c>
    </row>
    <row r="206" spans="1:61" x14ac:dyDescent="0.55000000000000004">
      <c r="A206" s="19" t="s">
        <v>1157</v>
      </c>
      <c r="B206" s="19" t="s">
        <v>1158</v>
      </c>
      <c r="C206" s="19" t="s">
        <v>322</v>
      </c>
      <c r="D206" s="19" t="s">
        <v>9</v>
      </c>
      <c r="E206" s="19">
        <v>2276</v>
      </c>
      <c r="F206" s="19">
        <v>69.804981598028135</v>
      </c>
      <c r="G206" s="19">
        <v>51.552791766821414</v>
      </c>
      <c r="H206" s="19">
        <v>117334.15406128555</v>
      </c>
      <c r="I206" s="19">
        <v>40.935044115322889</v>
      </c>
      <c r="J206" s="19">
        <v>12.648691672289957</v>
      </c>
      <c r="K206" s="19">
        <v>35.358849510801143</v>
      </c>
      <c r="L206" s="19">
        <v>53.654985813352738</v>
      </c>
      <c r="M206" s="19">
        <v>33.315823295561309</v>
      </c>
      <c r="N206" s="19">
        <v>13.618249411265818</v>
      </c>
      <c r="O206" s="19">
        <v>22.354575331167439</v>
      </c>
      <c r="P206" s="19">
        <v>38.897328877534513</v>
      </c>
      <c r="Q206" s="19">
        <v>471.36370482386269</v>
      </c>
      <c r="R206" s="19">
        <v>147.10492463540197</v>
      </c>
      <c r="S206" s="19">
        <v>1572.072995584009</v>
      </c>
      <c r="T206" s="19">
        <v>1583.6867950785381</v>
      </c>
      <c r="U206" s="19">
        <v>29.087701310618641</v>
      </c>
      <c r="V206" s="19">
        <v>5.8268977310912469</v>
      </c>
      <c r="W206" s="19">
        <v>39.519250237780909</v>
      </c>
      <c r="X206" s="19">
        <v>44.425865926463402</v>
      </c>
      <c r="Y206" s="19">
        <v>30.086442566199398</v>
      </c>
      <c r="Z206" s="19">
        <v>14.098938219074533</v>
      </c>
      <c r="AA206" s="19">
        <v>42.319258715725589</v>
      </c>
      <c r="AB206" s="19">
        <v>45.319471870334823</v>
      </c>
      <c r="AC206" s="19">
        <v>44.900035120051712</v>
      </c>
      <c r="AD206" s="19">
        <v>12.366436868062392</v>
      </c>
      <c r="AE206" s="19">
        <v>24.665420702021564</v>
      </c>
      <c r="AF206" s="19">
        <v>50.615637175233992</v>
      </c>
      <c r="AG206" s="19">
        <v>695.06118676638687</v>
      </c>
      <c r="AH206" s="19">
        <v>202.64134728430906</v>
      </c>
      <c r="AI206" s="19">
        <v>1508.8189139704216</v>
      </c>
      <c r="AJ206" s="19">
        <v>1661.1749004147889</v>
      </c>
      <c r="AK206" s="19">
        <v>1862.2711677505868</v>
      </c>
      <c r="AL206" s="19">
        <v>1385.5607596257892</v>
      </c>
      <c r="AM206" s="19">
        <v>1829.3874781272843</v>
      </c>
      <c r="AN206" s="19">
        <v>2081.5462365666122</v>
      </c>
      <c r="AO206" s="19"/>
      <c r="AP206" s="19">
        <v>1.0407775015568461</v>
      </c>
      <c r="AQ206" s="19">
        <v>0.75451449949541305</v>
      </c>
      <c r="AR206" s="19">
        <v>0.86175480325888398</v>
      </c>
      <c r="AS206" s="19">
        <v>0.87908860640020159</v>
      </c>
      <c r="AT206" s="19">
        <v>0.98182145797600506</v>
      </c>
      <c r="AU206" s="19">
        <v>0.76293085339211242</v>
      </c>
      <c r="AV206" s="19">
        <v>0.23574121734540029</v>
      </c>
      <c r="AW206" s="19">
        <v>0.65900398583278785</v>
      </c>
      <c r="AX206" s="19">
        <v>0.85650671285048441</v>
      </c>
      <c r="AY206" s="19">
        <v>0.3501075730454889</v>
      </c>
      <c r="AZ206" s="19">
        <v>0.57470720937032049</v>
      </c>
      <c r="BA206" s="19">
        <v>0.6547469746288459</v>
      </c>
      <c r="BB206" s="19">
        <v>0.13116002602484572</v>
      </c>
      <c r="BC206" s="19">
        <v>0.88955497914651249</v>
      </c>
      <c r="BD206" s="19">
        <v>0.66387451849131884</v>
      </c>
      <c r="BE206" s="19">
        <v>0.31110111475732805</v>
      </c>
      <c r="BF206" s="19">
        <v>0.93379858522638448</v>
      </c>
      <c r="BG206" s="19">
        <v>0.88707833440099615</v>
      </c>
      <c r="BH206" s="19">
        <v>0.24432048193425163</v>
      </c>
      <c r="BI206" s="19">
        <v>0.48730831178966655</v>
      </c>
    </row>
    <row r="207" spans="1:61" x14ac:dyDescent="0.55000000000000004">
      <c r="A207" s="19" t="s">
        <v>1159</v>
      </c>
      <c r="B207" s="19" t="s">
        <v>1160</v>
      </c>
      <c r="C207" s="19" t="s">
        <v>322</v>
      </c>
      <c r="D207" s="19" t="s">
        <v>9</v>
      </c>
      <c r="E207" s="19">
        <v>2252</v>
      </c>
      <c r="F207" s="19">
        <v>72.145704556132983</v>
      </c>
      <c r="G207" s="19">
        <v>50.252175375462677</v>
      </c>
      <c r="H207" s="19">
        <v>113167.89894554195</v>
      </c>
      <c r="I207" s="19">
        <v>36.099577844762116</v>
      </c>
      <c r="J207" s="19">
        <v>12.010041737367528</v>
      </c>
      <c r="K207" s="19">
        <v>33.81641728544831</v>
      </c>
      <c r="L207" s="19">
        <v>49.200096997740751</v>
      </c>
      <c r="M207" s="19">
        <v>35.428821424825585</v>
      </c>
      <c r="N207" s="19">
        <v>12.066255729368738</v>
      </c>
      <c r="O207" s="19">
        <v>17.034613150119284</v>
      </c>
      <c r="P207" s="19">
        <v>38.891454625783673</v>
      </c>
      <c r="Q207" s="19">
        <v>387.62413881066436</v>
      </c>
      <c r="R207" s="19">
        <v>58.155114134373804</v>
      </c>
      <c r="S207" s="19">
        <v>1486.8074547975339</v>
      </c>
      <c r="T207" s="19">
        <v>1495.524914669857</v>
      </c>
      <c r="U207" s="19">
        <v>33.350061388244008</v>
      </c>
      <c r="V207" s="19">
        <v>5.2536634406824962</v>
      </c>
      <c r="W207" s="19">
        <v>38.428817311553786</v>
      </c>
      <c r="X207" s="19">
        <v>43.969197403976679</v>
      </c>
      <c r="Y207" s="19">
        <v>40.263903310826663</v>
      </c>
      <c r="Z207" s="19">
        <v>14.921649977989492</v>
      </c>
      <c r="AA207" s="19">
        <v>41.62634587164662</v>
      </c>
      <c r="AB207" s="19">
        <v>43.093669654269767</v>
      </c>
      <c r="AC207" s="19">
        <v>41.702237456471472</v>
      </c>
      <c r="AD207" s="19">
        <v>12.457114661680111</v>
      </c>
      <c r="AE207" s="19">
        <v>39.854365384082008</v>
      </c>
      <c r="AF207" s="19">
        <v>54.481288160261442</v>
      </c>
      <c r="AG207" s="19">
        <v>729.71331042342285</v>
      </c>
      <c r="AH207" s="19">
        <v>66.629493753721192</v>
      </c>
      <c r="AI207" s="19">
        <v>1491.6948478239192</v>
      </c>
      <c r="AJ207" s="19">
        <v>1658.7124259939928</v>
      </c>
      <c r="AK207" s="19">
        <v>1427.140830244758</v>
      </c>
      <c r="AL207" s="19">
        <v>1544.2575330172526</v>
      </c>
      <c r="AM207" s="19">
        <v>1958.1332181211101</v>
      </c>
      <c r="AN207" s="19">
        <v>2410.3163507075856</v>
      </c>
      <c r="AO207" s="19"/>
      <c r="AP207" s="19">
        <v>0.97906402320175701</v>
      </c>
      <c r="AQ207" s="19">
        <v>0.77392579197225642</v>
      </c>
      <c r="AR207" s="19">
        <v>0.8749710251438414</v>
      </c>
      <c r="AS207" s="19">
        <v>0.85754834158506321</v>
      </c>
      <c r="AT207" s="19">
        <v>1.0841578051736198</v>
      </c>
      <c r="AU207" s="19">
        <v>0.73372981045992236</v>
      </c>
      <c r="AV207" s="19">
        <v>0.24410605812258915</v>
      </c>
      <c r="AW207" s="19">
        <v>0.68732419952345103</v>
      </c>
      <c r="AX207" s="19">
        <v>0.91096673461366284</v>
      </c>
      <c r="AY207" s="19">
        <v>0.31025467793558004</v>
      </c>
      <c r="AZ207" s="19">
        <v>0.43800401178170212</v>
      </c>
      <c r="BA207" s="19">
        <v>0.7584869262414089</v>
      </c>
      <c r="BB207" s="19">
        <v>0.11948508844528835</v>
      </c>
      <c r="BC207" s="19">
        <v>0.87399405903365868</v>
      </c>
      <c r="BD207" s="19">
        <v>0.93433452369812908</v>
      </c>
      <c r="BE207" s="19">
        <v>0.34626083361436449</v>
      </c>
      <c r="BF207" s="19">
        <v>0.96595036360571895</v>
      </c>
      <c r="BG207" s="19">
        <v>0.76544147292921416</v>
      </c>
      <c r="BH207" s="19">
        <v>0.22864941491538204</v>
      </c>
      <c r="BI207" s="19">
        <v>0.73152391820925622</v>
      </c>
    </row>
    <row r="208" spans="1:61" x14ac:dyDescent="0.55000000000000004">
      <c r="A208" s="19" t="s">
        <v>1163</v>
      </c>
      <c r="B208" s="19" t="s">
        <v>1164</v>
      </c>
      <c r="C208" s="19" t="s">
        <v>322</v>
      </c>
      <c r="D208" s="19" t="s">
        <v>9</v>
      </c>
      <c r="E208" s="19">
        <v>1833</v>
      </c>
      <c r="F208" s="19">
        <v>71.515810474779812</v>
      </c>
      <c r="G208" s="19">
        <v>50.853435906052432</v>
      </c>
      <c r="H208" s="19">
        <v>93214.348015794109</v>
      </c>
      <c r="I208" s="19">
        <v>36.79895036318608</v>
      </c>
      <c r="J208" s="19">
        <v>36.646686516431757</v>
      </c>
      <c r="K208" s="19">
        <v>26.755558574951912</v>
      </c>
      <c r="L208" s="19">
        <v>46.463242715816399</v>
      </c>
      <c r="M208" s="19">
        <v>44.757106917751891</v>
      </c>
      <c r="N208" s="19">
        <v>20.113683350164749</v>
      </c>
      <c r="O208" s="19">
        <v>20.92749795873668</v>
      </c>
      <c r="P208" s="19">
        <v>49.394309057748451</v>
      </c>
      <c r="Q208" s="19">
        <v>543.03913786727662</v>
      </c>
      <c r="R208" s="19">
        <v>44.18709676022786</v>
      </c>
      <c r="S208" s="19">
        <v>1872.5234628181261</v>
      </c>
      <c r="T208" s="19">
        <v>1892.1671290964366</v>
      </c>
      <c r="U208" s="19">
        <v>22.352320599067337</v>
      </c>
      <c r="V208" s="19">
        <v>13.428988284175325</v>
      </c>
      <c r="W208" s="19">
        <v>43.689480375460874</v>
      </c>
      <c r="X208" s="19">
        <v>49.532887592732763</v>
      </c>
      <c r="Y208" s="19">
        <v>28.109277416986949</v>
      </c>
      <c r="Z208" s="19">
        <v>25.851065119217456</v>
      </c>
      <c r="AA208" s="19">
        <v>17.943936197036731</v>
      </c>
      <c r="AB208" s="19">
        <v>38.020647686173739</v>
      </c>
      <c r="AC208" s="19">
        <v>44.748281983533758</v>
      </c>
      <c r="AD208" s="19">
        <v>19.832879056230155</v>
      </c>
      <c r="AE208" s="19">
        <v>29.625108380276494</v>
      </c>
      <c r="AF208" s="19">
        <v>54.983620098118863</v>
      </c>
      <c r="AG208" s="19">
        <v>726.62871122337651</v>
      </c>
      <c r="AH208" s="19">
        <v>392.77649825093727</v>
      </c>
      <c r="AI208" s="19">
        <v>1539.7478009134807</v>
      </c>
      <c r="AJ208" s="19">
        <v>1683.3057122152754</v>
      </c>
      <c r="AK208" s="19">
        <v>484.03718807932535</v>
      </c>
      <c r="AL208" s="19">
        <v>3326.9718986483667</v>
      </c>
      <c r="AM208" s="19">
        <v>430.11749752067431</v>
      </c>
      <c r="AN208" s="19">
        <v>3336.1356109566577</v>
      </c>
      <c r="AO208" s="19"/>
      <c r="AP208" s="19">
        <v>0.91366968402397519</v>
      </c>
      <c r="AQ208" s="19">
        <v>0.97130721214197602</v>
      </c>
      <c r="AR208" s="19">
        <v>0.97403226960397971</v>
      </c>
      <c r="AS208" s="19">
        <v>0.74765150100012467</v>
      </c>
      <c r="AT208" s="19">
        <v>1.0812174068178324</v>
      </c>
      <c r="AU208" s="19">
        <v>0.79200133723467969</v>
      </c>
      <c r="AV208" s="19">
        <v>0.78872425544153812</v>
      </c>
      <c r="AW208" s="19">
        <v>0.5758435488155057</v>
      </c>
      <c r="AX208" s="19">
        <v>0.90611869609158702</v>
      </c>
      <c r="AY208" s="19">
        <v>0.40720649268824077</v>
      </c>
      <c r="AZ208" s="19">
        <v>0.42368237066075121</v>
      </c>
      <c r="BA208" s="19">
        <v>0.45126221557789348</v>
      </c>
      <c r="BB208" s="19">
        <v>0.27111256655559013</v>
      </c>
      <c r="BC208" s="19">
        <v>0.88202974828931224</v>
      </c>
      <c r="BD208" s="19">
        <v>0.73931611184017065</v>
      </c>
      <c r="BE208" s="19">
        <v>0.67992174495802271</v>
      </c>
      <c r="BF208" s="19">
        <v>0.47195240715381259</v>
      </c>
      <c r="BG208" s="19">
        <v>0.81384750410540385</v>
      </c>
      <c r="BH208" s="19">
        <v>0.36070522495314367</v>
      </c>
      <c r="BI208" s="19">
        <v>0.5387987973038183</v>
      </c>
    </row>
    <row r="209" spans="1:61" x14ac:dyDescent="0.55000000000000004">
      <c r="A209" s="19" t="s">
        <v>1169</v>
      </c>
      <c r="B209" s="19" t="s">
        <v>1170</v>
      </c>
      <c r="C209" s="19" t="s">
        <v>322</v>
      </c>
      <c r="D209" s="19" t="s">
        <v>9</v>
      </c>
      <c r="E209" s="19">
        <v>1855</v>
      </c>
      <c r="F209" s="19">
        <v>70.085150600040734</v>
      </c>
      <c r="G209" s="19">
        <v>65.277926579630048</v>
      </c>
      <c r="H209" s="19">
        <v>121090.55380521374</v>
      </c>
      <c r="I209" s="19">
        <v>40.960999190979294</v>
      </c>
      <c r="J209" s="19">
        <v>20.200726047688736</v>
      </c>
      <c r="K209" s="19">
        <v>23.838880975679942</v>
      </c>
      <c r="L209" s="19">
        <v>47.830816753923258</v>
      </c>
      <c r="M209" s="19">
        <v>35.939215549240814</v>
      </c>
      <c r="N209" s="19">
        <v>11.29216133517907</v>
      </c>
      <c r="O209" s="19">
        <v>10.192674473484313</v>
      </c>
      <c r="P209" s="19">
        <v>38.199322121065293</v>
      </c>
      <c r="Q209" s="19">
        <v>466.05456034765689</v>
      </c>
      <c r="R209" s="19">
        <v>51.609492357518022</v>
      </c>
      <c r="S209" s="19">
        <v>943.4150756642598</v>
      </c>
      <c r="T209" s="19">
        <v>1033.4097877775648</v>
      </c>
      <c r="U209" s="19">
        <v>43.890735113683547</v>
      </c>
      <c r="V209" s="19">
        <v>17.237090635442105</v>
      </c>
      <c r="W209" s="19">
        <v>53.525025986547455</v>
      </c>
      <c r="X209" s="19">
        <v>60.300313405233922</v>
      </c>
      <c r="Y209" s="19">
        <v>26.23020867313026</v>
      </c>
      <c r="Z209" s="19">
        <v>31.670920942672538</v>
      </c>
      <c r="AA209" s="19">
        <v>19.199235072198611</v>
      </c>
      <c r="AB209" s="19">
        <v>37.518293329698928</v>
      </c>
      <c r="AC209" s="19">
        <v>42.89197085559104</v>
      </c>
      <c r="AD209" s="19">
        <v>20.336254980344641</v>
      </c>
      <c r="AE209" s="19">
        <v>29.416476414847118</v>
      </c>
      <c r="AF209" s="19">
        <v>51.58092997193063</v>
      </c>
      <c r="AG209" s="19">
        <v>865.16671752813772</v>
      </c>
      <c r="AH209" s="19">
        <v>338.46749333543812</v>
      </c>
      <c r="AI209" s="19">
        <v>1927.8146066399993</v>
      </c>
      <c r="AJ209" s="19">
        <v>2053.4583422574424</v>
      </c>
      <c r="AK209" s="19">
        <v>675.7325924102679</v>
      </c>
      <c r="AL209" s="19">
        <v>3254.0007636344067</v>
      </c>
      <c r="AM209" s="19">
        <v>878.4804585533675</v>
      </c>
      <c r="AN209" s="19">
        <v>3284.4860875044114</v>
      </c>
      <c r="AO209" s="19"/>
      <c r="AP209" s="19">
        <v>0.73272573533070595</v>
      </c>
      <c r="AQ209" s="19">
        <v>0.58517977090567364</v>
      </c>
      <c r="AR209" s="19">
        <v>0.92374737625399106</v>
      </c>
      <c r="AS209" s="19">
        <v>0.57474701320256849</v>
      </c>
      <c r="AT209" s="19">
        <v>0.79017414729018731</v>
      </c>
      <c r="AU209" s="19">
        <v>0.85637256419250929</v>
      </c>
      <c r="AV209" s="19">
        <v>0.42233705001560107</v>
      </c>
      <c r="AW209" s="19">
        <v>0.49840003983884701</v>
      </c>
      <c r="AX209" s="19">
        <v>0.94083385656265017</v>
      </c>
      <c r="AY209" s="19">
        <v>0.29561156345630346</v>
      </c>
      <c r="AZ209" s="19">
        <v>0.26682867411051486</v>
      </c>
      <c r="BA209" s="19">
        <v>0.72786910440624575</v>
      </c>
      <c r="BB209" s="19">
        <v>0.28585408038602278</v>
      </c>
      <c r="BC209" s="19">
        <v>0.88764092529412308</v>
      </c>
      <c r="BD209" s="19">
        <v>0.69913117962556182</v>
      </c>
      <c r="BE209" s="19">
        <v>0.84414609866068469</v>
      </c>
      <c r="BF209" s="19">
        <v>0.51172996872437104</v>
      </c>
      <c r="BG209" s="19">
        <v>0.83154706359369723</v>
      </c>
      <c r="BH209" s="19">
        <v>0.39425917662615328</v>
      </c>
      <c r="BI209" s="19">
        <v>0.57029751946804774</v>
      </c>
    </row>
    <row r="210" spans="1:61" x14ac:dyDescent="0.55000000000000004">
      <c r="A210" s="19" t="s">
        <v>1171</v>
      </c>
      <c r="B210" s="19" t="s">
        <v>1172</v>
      </c>
      <c r="C210" s="19" t="s">
        <v>322</v>
      </c>
      <c r="D210" s="19" t="s">
        <v>9</v>
      </c>
      <c r="E210" s="19">
        <v>2311</v>
      </c>
      <c r="F210" s="19">
        <v>73.316604428740135</v>
      </c>
      <c r="G210" s="19">
        <v>34.252345264379663</v>
      </c>
      <c r="H210" s="19">
        <v>79157.169905981398</v>
      </c>
      <c r="I210" s="19">
        <v>42.508000544843924</v>
      </c>
      <c r="J210" s="19">
        <v>13.920391629868003</v>
      </c>
      <c r="K210" s="19">
        <v>19.579166922059358</v>
      </c>
      <c r="L210" s="19">
        <v>47.479641849099544</v>
      </c>
      <c r="M210" s="19">
        <v>29.725940477118506</v>
      </c>
      <c r="N210" s="19">
        <v>11.163665805702736</v>
      </c>
      <c r="O210" s="19">
        <v>7.8329540096261052</v>
      </c>
      <c r="P210" s="19">
        <v>31.798583494432421</v>
      </c>
      <c r="Q210" s="19">
        <v>496.3898814165297</v>
      </c>
      <c r="R210" s="19">
        <v>97.63259139016607</v>
      </c>
      <c r="S210" s="19">
        <v>972.22185682367558</v>
      </c>
      <c r="T210" s="19">
        <v>1028.0836996721384</v>
      </c>
      <c r="U210" s="19">
        <v>20.945064193961059</v>
      </c>
      <c r="V210" s="19">
        <v>10.753772920380676</v>
      </c>
      <c r="W210" s="19">
        <v>44.010753263508896</v>
      </c>
      <c r="X210" s="19">
        <v>46.779363369537187</v>
      </c>
      <c r="Y210" s="19">
        <v>27.294397724707888</v>
      </c>
      <c r="Z210" s="19">
        <v>20.198667662168042</v>
      </c>
      <c r="AA210" s="19">
        <v>50.306227827584422</v>
      </c>
      <c r="AB210" s="19">
        <v>56.659995842334453</v>
      </c>
      <c r="AC210" s="19">
        <v>31.271282757745151</v>
      </c>
      <c r="AD210" s="19">
        <v>22.905442111653464</v>
      </c>
      <c r="AE210" s="19">
        <v>23.397185842852778</v>
      </c>
      <c r="AF210" s="19">
        <v>38.794025152474482</v>
      </c>
      <c r="AG210" s="19">
        <v>610.31644478773183</v>
      </c>
      <c r="AH210" s="19">
        <v>42.319461327880788</v>
      </c>
      <c r="AI210" s="19">
        <v>1598.8448840711026</v>
      </c>
      <c r="AJ210" s="19">
        <v>1674.4646128409761</v>
      </c>
      <c r="AK210" s="19">
        <v>1404.7107209121093</v>
      </c>
      <c r="AL210" s="19">
        <v>1119.3642915330599</v>
      </c>
      <c r="AM210" s="19">
        <v>2119.0903127950428</v>
      </c>
      <c r="AN210" s="19">
        <v>2541.9519975583839</v>
      </c>
      <c r="AO210" s="19"/>
      <c r="AP210" s="19">
        <v>1.386171997351535</v>
      </c>
      <c r="AQ210" s="19">
        <v>0.9283622259729174</v>
      </c>
      <c r="AR210" s="19">
        <v>1.3657273103043504</v>
      </c>
      <c r="AS210" s="19">
        <v>1.6541931772846332</v>
      </c>
      <c r="AT210" s="19">
        <v>1.1325947129470837</v>
      </c>
      <c r="AU210" s="19">
        <v>0.89528898890904529</v>
      </c>
      <c r="AV210" s="19">
        <v>0.29318653401198741</v>
      </c>
      <c r="AW210" s="19">
        <v>0.41236972646689579</v>
      </c>
      <c r="AX210" s="19">
        <v>0.93481964321848454</v>
      </c>
      <c r="AY210" s="19">
        <v>0.35107431145973439</v>
      </c>
      <c r="AZ210" s="19">
        <v>0.24633028106417282</v>
      </c>
      <c r="BA210" s="19">
        <v>0.44774153997145943</v>
      </c>
      <c r="BB210" s="19">
        <v>0.22988284033346965</v>
      </c>
      <c r="BC210" s="19">
        <v>0.94081556680971812</v>
      </c>
      <c r="BD210" s="19">
        <v>0.48172255078625381</v>
      </c>
      <c r="BE210" s="19">
        <v>0.35648904243434965</v>
      </c>
      <c r="BF210" s="19">
        <v>0.88786148109804996</v>
      </c>
      <c r="BG210" s="19">
        <v>0.80608502558932094</v>
      </c>
      <c r="BH210" s="19">
        <v>0.59043736816756787</v>
      </c>
      <c r="BI210" s="19">
        <v>0.60311312762450964</v>
      </c>
    </row>
    <row r="211" spans="1:61" x14ac:dyDescent="0.55000000000000004">
      <c r="A211" s="19" t="s">
        <v>1173</v>
      </c>
      <c r="B211" s="19" t="s">
        <v>1174</v>
      </c>
      <c r="C211" s="19" t="s">
        <v>322</v>
      </c>
      <c r="D211" s="19" t="s">
        <v>9</v>
      </c>
      <c r="E211" s="19">
        <v>2216</v>
      </c>
      <c r="F211" s="19">
        <v>72.624352347420242</v>
      </c>
      <c r="G211" s="19">
        <v>50.730526778337051</v>
      </c>
      <c r="H211" s="19">
        <v>112418.84734079491</v>
      </c>
      <c r="I211" s="19">
        <v>30.121656964710052</v>
      </c>
      <c r="J211" s="19">
        <v>14.954781907046884</v>
      </c>
      <c r="K211" s="19">
        <v>30.40057103809113</v>
      </c>
      <c r="L211" s="19">
        <v>40.154675837943174</v>
      </c>
      <c r="M211" s="19">
        <v>36.417593881717622</v>
      </c>
      <c r="N211" s="19">
        <v>15.355202542490407</v>
      </c>
      <c r="O211" s="19">
        <v>11.746949456622744</v>
      </c>
      <c r="P211" s="19">
        <v>39.326182409448997</v>
      </c>
      <c r="Q211" s="19">
        <v>708.25346061794653</v>
      </c>
      <c r="R211" s="19">
        <v>146.17102247049075</v>
      </c>
      <c r="S211" s="19">
        <v>1409.3649336784927</v>
      </c>
      <c r="T211" s="19">
        <v>1410.4065925780001</v>
      </c>
      <c r="U211" s="19">
        <v>24.2569446120926</v>
      </c>
      <c r="V211" s="19">
        <v>10.242897689011256</v>
      </c>
      <c r="W211" s="19">
        <v>54.650417170972332</v>
      </c>
      <c r="X211" s="19">
        <v>58.921579762150365</v>
      </c>
      <c r="Y211" s="19">
        <v>34.372784365841852</v>
      </c>
      <c r="Z211" s="19">
        <v>18.660826018209157</v>
      </c>
      <c r="AA211" s="19">
        <v>17.613219953800979</v>
      </c>
      <c r="AB211" s="19">
        <v>39.594599486362604</v>
      </c>
      <c r="AC211" s="19">
        <v>52.054052471131769</v>
      </c>
      <c r="AD211" s="19">
        <v>29.744398679021653</v>
      </c>
      <c r="AE211" s="19">
        <v>37.615185974507718</v>
      </c>
      <c r="AF211" s="19">
        <v>65.66942185802462</v>
      </c>
      <c r="AG211" s="19">
        <v>808.51489212355762</v>
      </c>
      <c r="AH211" s="19">
        <v>391.09518251549548</v>
      </c>
      <c r="AI211" s="19">
        <v>1973.6799636823876</v>
      </c>
      <c r="AJ211" s="19">
        <v>2099.7729731176814</v>
      </c>
      <c r="AK211" s="19">
        <v>1521.6388263764329</v>
      </c>
      <c r="AL211" s="19">
        <v>2370.9190373227852</v>
      </c>
      <c r="AM211" s="19">
        <v>2578.8133207134238</v>
      </c>
      <c r="AN211" s="19">
        <v>2956.1989092318981</v>
      </c>
      <c r="AO211" s="19"/>
      <c r="AP211" s="19">
        <v>0.7915288562524847</v>
      </c>
      <c r="AQ211" s="19">
        <v>0.77519759613933403</v>
      </c>
      <c r="AR211" s="19">
        <v>1.1614620131898781</v>
      </c>
      <c r="AS211" s="19">
        <v>0.78048863279831526</v>
      </c>
      <c r="AT211" s="19">
        <v>1.2944754574491582</v>
      </c>
      <c r="AU211" s="19">
        <v>0.75014070805291699</v>
      </c>
      <c r="AV211" s="19">
        <v>0.37242940193071439</v>
      </c>
      <c r="AW211" s="19">
        <v>0.75708670045755566</v>
      </c>
      <c r="AX211" s="19">
        <v>0.92603938776847761</v>
      </c>
      <c r="AY211" s="19">
        <v>0.39045749171933292</v>
      </c>
      <c r="AZ211" s="19">
        <v>0.2987055629839187</v>
      </c>
      <c r="BA211" s="19">
        <v>0.41168184407157743</v>
      </c>
      <c r="BB211" s="19">
        <v>0.17383949531494092</v>
      </c>
      <c r="BC211" s="19">
        <v>0.92751106456378973</v>
      </c>
      <c r="BD211" s="19">
        <v>0.86811799618482621</v>
      </c>
      <c r="BE211" s="19">
        <v>0.47129725417822255</v>
      </c>
      <c r="BF211" s="19">
        <v>0.44483894728793566</v>
      </c>
      <c r="BG211" s="19">
        <v>0.79266804851230632</v>
      </c>
      <c r="BH211" s="19">
        <v>0.45294138180975885</v>
      </c>
      <c r="BI211" s="19">
        <v>0.572796058047087</v>
      </c>
    </row>
    <row r="212" spans="1:61" x14ac:dyDescent="0.55000000000000004">
      <c r="A212" s="19" t="s">
        <v>1175</v>
      </c>
      <c r="B212" s="19" t="s">
        <v>1176</v>
      </c>
      <c r="C212" s="19" t="s">
        <v>322</v>
      </c>
      <c r="D212" s="19" t="s">
        <v>9</v>
      </c>
      <c r="E212" s="19">
        <v>1920</v>
      </c>
      <c r="F212" s="19">
        <v>72.132259937914753</v>
      </c>
      <c r="G212" s="19">
        <v>46.989525982955172</v>
      </c>
      <c r="H212" s="19">
        <v>90219.889887273923</v>
      </c>
      <c r="I212" s="19">
        <v>25.688281416124639</v>
      </c>
      <c r="J212" s="19">
        <v>33.177492847838813</v>
      </c>
      <c r="K212" s="19">
        <v>24.394918208816172</v>
      </c>
      <c r="L212" s="19">
        <v>37.978961296039017</v>
      </c>
      <c r="M212" s="19">
        <v>44.017221163605541</v>
      </c>
      <c r="N212" s="19">
        <v>21.687320997571565</v>
      </c>
      <c r="O212" s="19">
        <v>22.143873302853606</v>
      </c>
      <c r="P212" s="19">
        <v>52.48128192826028</v>
      </c>
      <c r="Q212" s="19">
        <v>307.16385259683904</v>
      </c>
      <c r="R212" s="19">
        <v>80.576972398474012</v>
      </c>
      <c r="S212" s="19">
        <v>1440.6668757997979</v>
      </c>
      <c r="T212" s="19">
        <v>1441.831186149238</v>
      </c>
      <c r="U212" s="19">
        <v>21.801615841142326</v>
      </c>
      <c r="V212" s="19">
        <v>13.604774482499771</v>
      </c>
      <c r="W212" s="19">
        <v>46.873865209326482</v>
      </c>
      <c r="X212" s="19">
        <v>52.458475413301713</v>
      </c>
      <c r="Y212" s="19">
        <v>26.78915037188079</v>
      </c>
      <c r="Z212" s="19">
        <v>26.66557369464989</v>
      </c>
      <c r="AA212" s="19">
        <v>12.354167993749339</v>
      </c>
      <c r="AB212" s="19">
        <v>37.046418688848426</v>
      </c>
      <c r="AC212" s="19">
        <v>46.14217974257339</v>
      </c>
      <c r="AD212" s="19">
        <v>20.109638514093618</v>
      </c>
      <c r="AE212" s="19">
        <v>26.67173788716326</v>
      </c>
      <c r="AF212" s="19">
        <v>53.440746053359057</v>
      </c>
      <c r="AG212" s="19">
        <v>728.74691038013907</v>
      </c>
      <c r="AH212" s="19">
        <v>237.3181406000422</v>
      </c>
      <c r="AI212" s="19">
        <v>1710.1461005854976</v>
      </c>
      <c r="AJ212" s="19">
        <v>1855.2916627159707</v>
      </c>
      <c r="AK212" s="19">
        <v>1531.1637382763552</v>
      </c>
      <c r="AL212" s="19">
        <v>2110.5793838280397</v>
      </c>
      <c r="AM212" s="19">
        <v>1248.018241151854</v>
      </c>
      <c r="AN212" s="19">
        <v>2224.2106498065505</v>
      </c>
      <c r="AO212" s="19"/>
      <c r="AP212" s="19">
        <v>0.80824312443192936</v>
      </c>
      <c r="AQ212" s="19">
        <v>1.116871916249957</v>
      </c>
      <c r="AR212" s="19">
        <v>1.1163865630891943</v>
      </c>
      <c r="AS212" s="19">
        <v>0.78839736970929486</v>
      </c>
      <c r="AT212" s="19">
        <v>1.137290596903318</v>
      </c>
      <c r="AU212" s="19">
        <v>0.67638188458839643</v>
      </c>
      <c r="AV212" s="19">
        <v>0.87357557225502713</v>
      </c>
      <c r="AW212" s="19">
        <v>0.64232715630799564</v>
      </c>
      <c r="AX212" s="19">
        <v>0.83872229386041375</v>
      </c>
      <c r="AY212" s="19">
        <v>0.41323916262596683</v>
      </c>
      <c r="AZ212" s="19">
        <v>0.42193849862744121</v>
      </c>
      <c r="BA212" s="19">
        <v>0.41559758779444372</v>
      </c>
      <c r="BB212" s="19">
        <v>0.25934368803730151</v>
      </c>
      <c r="BC212" s="19">
        <v>0.89354227014841603</v>
      </c>
      <c r="BD212" s="19">
        <v>0.72312388943400785</v>
      </c>
      <c r="BE212" s="19">
        <v>0.71978816410334046</v>
      </c>
      <c r="BF212" s="19">
        <v>0.33347806430390919</v>
      </c>
      <c r="BG212" s="19">
        <v>0.86342693824861172</v>
      </c>
      <c r="BH212" s="19">
        <v>0.37629786257128073</v>
      </c>
      <c r="BI212" s="19">
        <v>0.49908992401663504</v>
      </c>
    </row>
    <row r="213" spans="1:61" x14ac:dyDescent="0.55000000000000004">
      <c r="A213" s="19" t="s">
        <v>1212</v>
      </c>
      <c r="B213" s="19" t="s">
        <v>1213</v>
      </c>
      <c r="C213" s="19" t="s">
        <v>322</v>
      </c>
      <c r="D213" s="19" t="s">
        <v>9</v>
      </c>
      <c r="E213" s="19">
        <v>2648</v>
      </c>
      <c r="F213" s="19">
        <v>74.120671791878138</v>
      </c>
      <c r="G213" s="19">
        <v>43.52012256773704</v>
      </c>
      <c r="H213" s="19">
        <v>115241.28455936768</v>
      </c>
      <c r="I213" s="19">
        <v>43.170853163211156</v>
      </c>
      <c r="J213" s="19">
        <v>27.034117534671335</v>
      </c>
      <c r="K213" s="19">
        <v>27.564400326470011</v>
      </c>
      <c r="L213" s="19">
        <v>49.205782053779608</v>
      </c>
      <c r="M213" s="19">
        <v>37.929473379931324</v>
      </c>
      <c r="N213" s="19">
        <v>16.597405767567551</v>
      </c>
      <c r="O213" s="19">
        <v>13.903884804462921</v>
      </c>
      <c r="P213" s="19">
        <v>39.241551951679575</v>
      </c>
      <c r="Q213" s="19">
        <v>411.90971134565416</v>
      </c>
      <c r="R213" s="19">
        <v>45.213486537470082</v>
      </c>
      <c r="S213" s="19">
        <v>1519.4123760969596</v>
      </c>
      <c r="T213" s="19">
        <v>1572.1409003314</v>
      </c>
      <c r="U213" s="19">
        <v>25.002517330045379</v>
      </c>
      <c r="V213" s="19">
        <v>27.633796644810673</v>
      </c>
      <c r="W213" s="19">
        <v>55.52564500627129</v>
      </c>
      <c r="X213" s="19">
        <v>62.621267298305206</v>
      </c>
      <c r="Y213" s="19">
        <v>31.807007439600753</v>
      </c>
      <c r="Z213" s="19">
        <v>31.623779482196156</v>
      </c>
      <c r="AA213" s="19">
        <v>15.76890572388896</v>
      </c>
      <c r="AB213" s="19">
        <v>43.673313102442052</v>
      </c>
      <c r="AC213" s="19">
        <v>39.857355681078808</v>
      </c>
      <c r="AD213" s="19">
        <v>20.905054371293133</v>
      </c>
      <c r="AE213" s="19">
        <v>31.226035650865285</v>
      </c>
      <c r="AF213" s="19">
        <v>43.067477251280771</v>
      </c>
      <c r="AG213" s="19">
        <v>752.00145481255743</v>
      </c>
      <c r="AH213" s="19">
        <v>519.4189056380028</v>
      </c>
      <c r="AI213" s="19">
        <v>2061.1767321512784</v>
      </c>
      <c r="AJ213" s="19">
        <v>2173.8450459444412</v>
      </c>
      <c r="AK213" s="19">
        <v>3546.7315858749866</v>
      </c>
      <c r="AL213" s="19">
        <v>1287.8062857357108</v>
      </c>
      <c r="AM213" s="19">
        <v>1235.1468265881881</v>
      </c>
      <c r="AN213" s="19">
        <v>3565.1873187701467</v>
      </c>
      <c r="AO213" s="19"/>
      <c r="AP213" s="19">
        <v>1.1306443812788693</v>
      </c>
      <c r="AQ213" s="19">
        <v>0.90168753294759063</v>
      </c>
      <c r="AR213" s="19">
        <v>1.438903743913821</v>
      </c>
      <c r="AS213" s="19">
        <v>1.003519993181696</v>
      </c>
      <c r="AT213" s="19">
        <v>0.98959917183707957</v>
      </c>
      <c r="AU213" s="19">
        <v>0.87735325730678237</v>
      </c>
      <c r="AV213" s="19">
        <v>0.54940936626358905</v>
      </c>
      <c r="AW213" s="19">
        <v>0.56018620527854668</v>
      </c>
      <c r="AX213" s="19">
        <v>0.96656404992942457</v>
      </c>
      <c r="AY213" s="19">
        <v>0.4229548767083654</v>
      </c>
      <c r="AZ213" s="19">
        <v>0.35431536503917044</v>
      </c>
      <c r="BA213" s="19">
        <v>0.3992655915272742</v>
      </c>
      <c r="BB213" s="19">
        <v>0.44128453218893193</v>
      </c>
      <c r="BC213" s="19">
        <v>0.8866898962898192</v>
      </c>
      <c r="BD213" s="19">
        <v>0.72829389803775202</v>
      </c>
      <c r="BE213" s="19">
        <v>0.72409847652313486</v>
      </c>
      <c r="BF213" s="19">
        <v>0.36106502126139867</v>
      </c>
      <c r="BG213" s="19">
        <v>0.92546297635516839</v>
      </c>
      <c r="BH213" s="19">
        <v>0.48540234314912056</v>
      </c>
      <c r="BI213" s="19">
        <v>0.72504910070943762</v>
      </c>
    </row>
    <row r="214" spans="1:61" x14ac:dyDescent="0.55000000000000004">
      <c r="A214" s="19" t="s">
        <v>1177</v>
      </c>
      <c r="B214" s="19" t="s">
        <v>1178</v>
      </c>
      <c r="C214" s="19" t="s">
        <v>322</v>
      </c>
      <c r="D214" s="19" t="s">
        <v>9</v>
      </c>
      <c r="E214" s="19">
        <v>2979</v>
      </c>
      <c r="F214" s="19">
        <v>77.54943915106486</v>
      </c>
      <c r="G214" s="19">
        <v>35.295745888970018</v>
      </c>
      <c r="H214" s="19">
        <v>105146.02700324169</v>
      </c>
      <c r="I214" s="19">
        <v>37.638452281602596</v>
      </c>
      <c r="J214" s="19">
        <v>28.725667712725659</v>
      </c>
      <c r="K214" s="19">
        <v>25.751183128695406</v>
      </c>
      <c r="L214" s="19">
        <v>49.753587613733167</v>
      </c>
      <c r="M214" s="19">
        <v>33.353471468807058</v>
      </c>
      <c r="N214" s="19">
        <v>13.035845951146849</v>
      </c>
      <c r="O214" s="19">
        <v>18.589304849268689</v>
      </c>
      <c r="P214" s="19">
        <v>40.222700142967412</v>
      </c>
      <c r="Q214" s="19">
        <v>563.32600088108279</v>
      </c>
      <c r="R214" s="19">
        <v>44.795788192340588</v>
      </c>
      <c r="S214" s="19">
        <v>1245.5845535934309</v>
      </c>
      <c r="T214" s="19">
        <v>1279.0525895269591</v>
      </c>
      <c r="U214" s="19">
        <v>25.511453699704667</v>
      </c>
      <c r="V214" s="19">
        <v>13.261371683436376</v>
      </c>
      <c r="W214" s="19">
        <v>49.383186491178279</v>
      </c>
      <c r="X214" s="19">
        <v>54.390077587987818</v>
      </c>
      <c r="Y214" s="19">
        <v>33.373612266438215</v>
      </c>
      <c r="Z214" s="19">
        <v>27.868285123587469</v>
      </c>
      <c r="AA214" s="19">
        <v>9.7373473790766063</v>
      </c>
      <c r="AB214" s="19">
        <v>42.492782643434147</v>
      </c>
      <c r="AC214" s="19">
        <v>33.404906403614618</v>
      </c>
      <c r="AD214" s="19">
        <v>20.147101935534597</v>
      </c>
      <c r="AE214" s="19">
        <v>26.009305286208644</v>
      </c>
      <c r="AF214" s="19">
        <v>42.784804623052587</v>
      </c>
      <c r="AG214" s="19">
        <v>731.7486723252465</v>
      </c>
      <c r="AH214" s="19">
        <v>59.059881347410105</v>
      </c>
      <c r="AI214" s="19">
        <v>1787.3383439765807</v>
      </c>
      <c r="AJ214" s="19">
        <v>1917.9334694930483</v>
      </c>
      <c r="AK214" s="19">
        <v>794.7385660919731</v>
      </c>
      <c r="AL214" s="19">
        <v>1451.9214268911364</v>
      </c>
      <c r="AM214" s="19">
        <v>2660.2819857366521</v>
      </c>
      <c r="AN214" s="19">
        <v>2675.8892623149254</v>
      </c>
      <c r="AO214" s="19"/>
      <c r="AP214" s="19">
        <v>1.4096199516577224</v>
      </c>
      <c r="AQ214" s="19">
        <v>1.1395905973908622</v>
      </c>
      <c r="AR214" s="19">
        <v>1.5409811074423225</v>
      </c>
      <c r="AS214" s="19">
        <v>1.2039066344455187</v>
      </c>
      <c r="AT214" s="19">
        <v>1.2121802088455911</v>
      </c>
      <c r="AU214" s="19">
        <v>0.75649725149093561</v>
      </c>
      <c r="AV214" s="19">
        <v>0.57735872105827191</v>
      </c>
      <c r="AW214" s="19">
        <v>0.51757439742068911</v>
      </c>
      <c r="AX214" s="19">
        <v>0.82922010084493603</v>
      </c>
      <c r="AY214" s="19">
        <v>0.32409176670915396</v>
      </c>
      <c r="AZ214" s="19">
        <v>0.46215954630581574</v>
      </c>
      <c r="BA214" s="19">
        <v>0.46904609868287694</v>
      </c>
      <c r="BB214" s="19">
        <v>0.24381968681664801</v>
      </c>
      <c r="BC214" s="19">
        <v>0.90794477009690233</v>
      </c>
      <c r="BD214" s="19">
        <v>0.78539484096589285</v>
      </c>
      <c r="BE214" s="19">
        <v>0.65583572997410167</v>
      </c>
      <c r="BF214" s="19">
        <v>0.22915297077117144</v>
      </c>
      <c r="BG214" s="19">
        <v>0.78076566430353522</v>
      </c>
      <c r="BH214" s="19">
        <v>0.47089386320766963</v>
      </c>
      <c r="BI214" s="19">
        <v>0.60790987630675652</v>
      </c>
    </row>
    <row r="215" spans="1:61" x14ac:dyDescent="0.55000000000000004">
      <c r="A215" s="19" t="s">
        <v>1181</v>
      </c>
      <c r="B215" s="19" t="s">
        <v>1182</v>
      </c>
      <c r="C215" s="19" t="s">
        <v>322</v>
      </c>
      <c r="D215" s="19" t="s">
        <v>9</v>
      </c>
      <c r="E215" s="19">
        <v>2236</v>
      </c>
      <c r="F215" s="19">
        <v>67.830796778806516</v>
      </c>
      <c r="G215" s="19">
        <v>42.639008023930216</v>
      </c>
      <c r="H215" s="19">
        <v>95340.821941507966</v>
      </c>
      <c r="I215" s="19">
        <v>44.647236878840673</v>
      </c>
      <c r="J215" s="19">
        <v>20.372038627569538</v>
      </c>
      <c r="K215" s="19">
        <v>35.733584102753134</v>
      </c>
      <c r="L215" s="19">
        <v>49.823431642011776</v>
      </c>
      <c r="M215" s="19">
        <v>35.969849124642842</v>
      </c>
      <c r="N215" s="19">
        <v>16.708728236092764</v>
      </c>
      <c r="O215" s="19">
        <v>17.108314974011677</v>
      </c>
      <c r="P215" s="19">
        <v>41.390797284090709</v>
      </c>
      <c r="Q215" s="19">
        <v>323.1671240708738</v>
      </c>
      <c r="R215" s="19">
        <v>208.99179105921047</v>
      </c>
      <c r="S215" s="19">
        <v>1473.215279239706</v>
      </c>
      <c r="T215" s="19">
        <v>1473.216771725577</v>
      </c>
      <c r="U215" s="19">
        <v>19.893862783370324</v>
      </c>
      <c r="V215" s="19">
        <v>8.7878665411555463</v>
      </c>
      <c r="W215" s="19">
        <v>41.66976994371214</v>
      </c>
      <c r="X215" s="19">
        <v>44.09708545924601</v>
      </c>
      <c r="Y215" s="19">
        <v>25.9777751653791</v>
      </c>
      <c r="Z215" s="19">
        <v>21.017492492260232</v>
      </c>
      <c r="AA215" s="19">
        <v>18.52928943191861</v>
      </c>
      <c r="AB215" s="19">
        <v>32.922775335263466</v>
      </c>
      <c r="AC215" s="19">
        <v>37.727500691810611</v>
      </c>
      <c r="AD215" s="19">
        <v>20.541841274535052</v>
      </c>
      <c r="AE215" s="19">
        <v>22.300873802599504</v>
      </c>
      <c r="AF215" s="19">
        <v>42.370084555153412</v>
      </c>
      <c r="AG215" s="19">
        <v>675.64389521321095</v>
      </c>
      <c r="AH215" s="19">
        <v>82.11395264267513</v>
      </c>
      <c r="AI215" s="19">
        <v>1456.526236630576</v>
      </c>
      <c r="AJ215" s="19">
        <v>1554.2927213231335</v>
      </c>
      <c r="AK215" s="19">
        <v>1615.6931177683252</v>
      </c>
      <c r="AL215" s="19">
        <v>1363.0478376549449</v>
      </c>
      <c r="AM215" s="19">
        <v>1532.9726051774167</v>
      </c>
      <c r="AN215" s="19">
        <v>2138.0403276416337</v>
      </c>
      <c r="AO215" s="19"/>
      <c r="AP215" s="19">
        <v>1.1684941547901269</v>
      </c>
      <c r="AQ215" s="19">
        <v>0.97072608398537374</v>
      </c>
      <c r="AR215" s="19">
        <v>1.0341958573355525</v>
      </c>
      <c r="AS215" s="19">
        <v>0.77212807851407506</v>
      </c>
      <c r="AT215" s="19">
        <v>0.99369301770280682</v>
      </c>
      <c r="AU215" s="19">
        <v>0.89610922827711315</v>
      </c>
      <c r="AV215" s="19">
        <v>0.40888469453379772</v>
      </c>
      <c r="AW215" s="19">
        <v>0.71720439409922343</v>
      </c>
      <c r="AX215" s="19">
        <v>0.86903011018994059</v>
      </c>
      <c r="AY215" s="19">
        <v>0.40368220310931441</v>
      </c>
      <c r="AZ215" s="19">
        <v>0.41333620264878451</v>
      </c>
      <c r="BA215" s="19">
        <v>0.45113781503215195</v>
      </c>
      <c r="BB215" s="19">
        <v>0.19928452072591477</v>
      </c>
      <c r="BC215" s="19">
        <v>0.94495519397133021</v>
      </c>
      <c r="BD215" s="19">
        <v>0.78905180079257775</v>
      </c>
      <c r="BE215" s="19">
        <v>0.63838762917865166</v>
      </c>
      <c r="BF215" s="19">
        <v>0.56281067568662579</v>
      </c>
      <c r="BG215" s="19">
        <v>0.89042778856625793</v>
      </c>
      <c r="BH215" s="19">
        <v>0.48481945434391582</v>
      </c>
      <c r="BI215" s="19">
        <v>0.52633536224291255</v>
      </c>
    </row>
    <row r="216" spans="1:61" x14ac:dyDescent="0.55000000000000004">
      <c r="A216" s="19" t="s">
        <v>1195</v>
      </c>
      <c r="B216" s="19" t="s">
        <v>1140</v>
      </c>
      <c r="C216" s="19" t="s">
        <v>322</v>
      </c>
      <c r="D216" s="19" t="s">
        <v>9</v>
      </c>
      <c r="E216" s="19">
        <v>2271</v>
      </c>
      <c r="F216" s="19">
        <v>70.640698704039849</v>
      </c>
      <c r="G216" s="19">
        <v>41.95833861885793</v>
      </c>
      <c r="H216" s="19">
        <v>95287.387003426353</v>
      </c>
      <c r="I216" s="19">
        <v>46.28798247006344</v>
      </c>
      <c r="J216" s="19">
        <v>9.2601261822640559</v>
      </c>
      <c r="K216" s="19">
        <v>16.799634515379264</v>
      </c>
      <c r="L216" s="19">
        <v>49.159881803082904</v>
      </c>
      <c r="M216" s="19">
        <v>36.819535550453999</v>
      </c>
      <c r="N216" s="19">
        <v>14.104265888635821</v>
      </c>
      <c r="O216" s="19">
        <v>6.7162878339712542</v>
      </c>
      <c r="P216" s="19">
        <v>38.911910538584742</v>
      </c>
      <c r="Q216" s="19">
        <v>1090.9827931970963</v>
      </c>
      <c r="R216" s="19">
        <v>231.96241045104733</v>
      </c>
      <c r="S216" s="19">
        <v>869.6896075201139</v>
      </c>
      <c r="T216" s="19">
        <v>1279.9990426301581</v>
      </c>
      <c r="U216" s="19">
        <v>30.685385864391492</v>
      </c>
      <c r="V216" s="19">
        <v>7.3401245102836112</v>
      </c>
      <c r="W216" s="19">
        <v>49.2398438596407</v>
      </c>
      <c r="X216" s="19">
        <v>52.729498153727903</v>
      </c>
      <c r="Y216" s="19">
        <v>27.130061566096465</v>
      </c>
      <c r="Z216" s="19">
        <v>20.202011979623279</v>
      </c>
      <c r="AA216" s="19">
        <v>61.520217212174252</v>
      </c>
      <c r="AB216" s="19">
        <v>64.848835598094368</v>
      </c>
      <c r="AC216" s="19">
        <v>36.041605618414387</v>
      </c>
      <c r="AD216" s="19">
        <v>15.031463281897306</v>
      </c>
      <c r="AE216" s="19">
        <v>31.521238459694381</v>
      </c>
      <c r="AF216" s="19">
        <v>48.963519846838544</v>
      </c>
      <c r="AG216" s="19">
        <v>662.09811103489528</v>
      </c>
      <c r="AH216" s="19">
        <v>86.311896813252162</v>
      </c>
      <c r="AI216" s="19">
        <v>1836.3088928298662</v>
      </c>
      <c r="AJ216" s="19">
        <v>1947.4230831398265</v>
      </c>
      <c r="AK216" s="19">
        <v>2665.2776194154931</v>
      </c>
      <c r="AL216" s="19">
        <v>1032.5022791959095</v>
      </c>
      <c r="AM216" s="19">
        <v>3218.5225376885319</v>
      </c>
      <c r="AN216" s="19">
        <v>4152.9132920312068</v>
      </c>
      <c r="AO216" s="19"/>
      <c r="AP216" s="19">
        <v>1.1716355656891591</v>
      </c>
      <c r="AQ216" s="19">
        <v>0.92739397744161423</v>
      </c>
      <c r="AR216" s="19">
        <v>1.2567108205287456</v>
      </c>
      <c r="AS216" s="19">
        <v>1.5455529873851688</v>
      </c>
      <c r="AT216" s="19">
        <v>1.1669556388210323</v>
      </c>
      <c r="AU216" s="19">
        <v>0.94158042640290962</v>
      </c>
      <c r="AV216" s="19">
        <v>0.18836754366816513</v>
      </c>
      <c r="AW216" s="19">
        <v>0.34173464010089888</v>
      </c>
      <c r="AX216" s="19">
        <v>0.94622790402296075</v>
      </c>
      <c r="AY216" s="19">
        <v>0.36246654799049621</v>
      </c>
      <c r="AZ216" s="19">
        <v>0.17260236624237293</v>
      </c>
      <c r="BA216" s="19">
        <v>0.58193965311278195</v>
      </c>
      <c r="BB216" s="19">
        <v>0.1392033826850422</v>
      </c>
      <c r="BC216" s="19">
        <v>0.93381969454908442</v>
      </c>
      <c r="BD216" s="19">
        <v>0.41835849966893934</v>
      </c>
      <c r="BE216" s="19">
        <v>0.31152466799599604</v>
      </c>
      <c r="BF216" s="19">
        <v>0.94867111559952311</v>
      </c>
      <c r="BG216" s="19">
        <v>0.73609098633339998</v>
      </c>
      <c r="BH216" s="19">
        <v>0.30699311097153181</v>
      </c>
      <c r="BI216" s="19">
        <v>0.64376986291621008</v>
      </c>
    </row>
    <row r="217" spans="1:61" x14ac:dyDescent="0.55000000000000004">
      <c r="A217" s="19" t="s">
        <v>1196</v>
      </c>
      <c r="B217" s="19" t="s">
        <v>1197</v>
      </c>
      <c r="C217" s="19" t="s">
        <v>322</v>
      </c>
      <c r="D217" s="19" t="s">
        <v>9</v>
      </c>
      <c r="E217" s="19">
        <v>1912</v>
      </c>
      <c r="F217" s="19">
        <v>68.870005230101739</v>
      </c>
      <c r="G217" s="19">
        <v>45.846838722612723</v>
      </c>
      <c r="H217" s="19">
        <v>87659.155637635529</v>
      </c>
      <c r="I217" s="19">
        <v>30.6151912793154</v>
      </c>
      <c r="J217" s="19">
        <v>14.085796182767897</v>
      </c>
      <c r="K217" s="19">
        <v>31.72830308517635</v>
      </c>
      <c r="L217" s="19">
        <v>42.299088552108408</v>
      </c>
      <c r="M217" s="19">
        <v>32.974065798383542</v>
      </c>
      <c r="N217" s="19">
        <v>17.921795651403475</v>
      </c>
      <c r="O217" s="19">
        <v>9.7153997243797967</v>
      </c>
      <c r="P217" s="19">
        <v>36.087363582993333</v>
      </c>
      <c r="Q217" s="19">
        <v>504.32076666962951</v>
      </c>
      <c r="R217" s="19">
        <v>48.021575845704291</v>
      </c>
      <c r="S217" s="19">
        <v>1154.2307492343411</v>
      </c>
      <c r="T217" s="19">
        <v>1155.6510160486509</v>
      </c>
      <c r="U217" s="19">
        <v>25.420453849850269</v>
      </c>
      <c r="V217" s="19">
        <v>23.271396823026752</v>
      </c>
      <c r="W217" s="19">
        <v>44.185594532316287</v>
      </c>
      <c r="X217" s="19">
        <v>48.957784203397281</v>
      </c>
      <c r="Y217" s="19">
        <v>22.780601712664811</v>
      </c>
      <c r="Z217" s="19">
        <v>22.513403302010328</v>
      </c>
      <c r="AA217" s="19">
        <v>9.2492344640545472</v>
      </c>
      <c r="AB217" s="19">
        <v>31.839251985581193</v>
      </c>
      <c r="AC217" s="19">
        <v>34.069752661710446</v>
      </c>
      <c r="AD217" s="19">
        <v>20.87566712738586</v>
      </c>
      <c r="AE217" s="19">
        <v>23.079730048327434</v>
      </c>
      <c r="AF217" s="19">
        <v>43.382220936984652</v>
      </c>
      <c r="AG217" s="19">
        <v>687.22949880319504</v>
      </c>
      <c r="AH217" s="19">
        <v>51.72606858578564</v>
      </c>
      <c r="AI217" s="19">
        <v>1597.8338554863656</v>
      </c>
      <c r="AJ217" s="19">
        <v>1731.533893554089</v>
      </c>
      <c r="AK217" s="19">
        <v>1085.7251837518754</v>
      </c>
      <c r="AL217" s="19">
        <v>1611.4439156022681</v>
      </c>
      <c r="AM217" s="19">
        <v>1312.25253470588</v>
      </c>
      <c r="AN217" s="19">
        <v>1658.1514092671378</v>
      </c>
      <c r="AO217" s="19"/>
      <c r="AP217" s="19">
        <v>0.92261734354315506</v>
      </c>
      <c r="AQ217" s="19">
        <v>0.78712872225133834</v>
      </c>
      <c r="AR217" s="19">
        <v>1.0678551797127545</v>
      </c>
      <c r="AS217" s="19">
        <v>0.69446995414925605</v>
      </c>
      <c r="AT217" s="19">
        <v>0.94624236142998308</v>
      </c>
      <c r="AU217" s="19">
        <v>0.72377898265113749</v>
      </c>
      <c r="AV217" s="19">
        <v>0.33300472102172013</v>
      </c>
      <c r="AW217" s="19">
        <v>0.75009424957443549</v>
      </c>
      <c r="AX217" s="19">
        <v>0.91372886585494495</v>
      </c>
      <c r="AY217" s="19">
        <v>0.49662247036104812</v>
      </c>
      <c r="AZ217" s="19">
        <v>0.26921888328130217</v>
      </c>
      <c r="BA217" s="19">
        <v>0.51923211524933133</v>
      </c>
      <c r="BB217" s="19">
        <v>0.47533599001018312</v>
      </c>
      <c r="BC217" s="19">
        <v>0.90252439425659625</v>
      </c>
      <c r="BD217" s="19">
        <v>0.71548796821549998</v>
      </c>
      <c r="BE217" s="19">
        <v>0.70709586117807688</v>
      </c>
      <c r="BF217" s="19">
        <v>0.29049785680402229</v>
      </c>
      <c r="BG217" s="19">
        <v>0.78533906116053531</v>
      </c>
      <c r="BH217" s="19">
        <v>0.4812032827390062</v>
      </c>
      <c r="BI217" s="19">
        <v>0.53200895550857485</v>
      </c>
    </row>
    <row r="218" spans="1:61" x14ac:dyDescent="0.55000000000000004">
      <c r="A218" s="19" t="s">
        <v>1206</v>
      </c>
      <c r="B218" s="19" t="s">
        <v>1207</v>
      </c>
      <c r="C218" s="19" t="s">
        <v>322</v>
      </c>
      <c r="D218" s="19" t="s">
        <v>9</v>
      </c>
      <c r="E218" s="19">
        <v>1692</v>
      </c>
      <c r="F218" s="19">
        <v>75.422303140455483</v>
      </c>
      <c r="G218" s="19">
        <v>55.166615183188604</v>
      </c>
      <c r="H218" s="19">
        <v>93341.912889955114</v>
      </c>
      <c r="I218" s="19">
        <v>38.558207264204704</v>
      </c>
      <c r="J218" s="19">
        <v>38.804380562971737</v>
      </c>
      <c r="K218" s="19">
        <v>21.018655407954746</v>
      </c>
      <c r="L218" s="19">
        <v>44.040382686910689</v>
      </c>
      <c r="M218" s="19">
        <v>37.557238836108027</v>
      </c>
      <c r="N218" s="19">
        <v>14.648157638045623</v>
      </c>
      <c r="O218" s="19">
        <v>10.872281864570951</v>
      </c>
      <c r="P218" s="19">
        <v>40.532162699229531</v>
      </c>
      <c r="Q218" s="19">
        <v>424.31495506127931</v>
      </c>
      <c r="R218" s="19">
        <v>101.79804076475853</v>
      </c>
      <c r="S218" s="19">
        <v>1048.2594408909065</v>
      </c>
      <c r="T218" s="19">
        <v>1081.0269735682427</v>
      </c>
      <c r="U218" s="19">
        <v>31.334486892294937</v>
      </c>
      <c r="V218" s="19">
        <v>15.998359563591153</v>
      </c>
      <c r="W218" s="19">
        <v>49.752868058064408</v>
      </c>
      <c r="X218" s="19">
        <v>55.080201312089336</v>
      </c>
      <c r="Y218" s="19">
        <v>28.957336070257515</v>
      </c>
      <c r="Z218" s="19">
        <v>28.798371316750949</v>
      </c>
      <c r="AA218" s="19">
        <v>30.603501265745152</v>
      </c>
      <c r="AB218" s="19">
        <v>43.850839296634128</v>
      </c>
      <c r="AC218" s="19">
        <v>41.194943446425029</v>
      </c>
      <c r="AD218" s="19">
        <v>21.206633744514303</v>
      </c>
      <c r="AE218" s="19">
        <v>34.000670909172413</v>
      </c>
      <c r="AF218" s="19">
        <v>45.497755317383053</v>
      </c>
      <c r="AG218" s="19">
        <v>1006.038107684833</v>
      </c>
      <c r="AH218" s="19">
        <v>91.812093134278157</v>
      </c>
      <c r="AI218" s="19">
        <v>1851.1180337957626</v>
      </c>
      <c r="AJ218" s="19">
        <v>1972.2677678083292</v>
      </c>
      <c r="AK218" s="19">
        <v>2705.3338524934265</v>
      </c>
      <c r="AL218" s="19">
        <v>3338.1960804450837</v>
      </c>
      <c r="AM218" s="19">
        <v>1327.7117200892162</v>
      </c>
      <c r="AN218" s="19">
        <v>4263.7807543355129</v>
      </c>
      <c r="AO218" s="19"/>
      <c r="AP218" s="19">
        <v>0.79831583903903336</v>
      </c>
      <c r="AQ218" s="19">
        <v>0.73472266813246945</v>
      </c>
      <c r="AR218" s="19">
        <v>0.99843358395630544</v>
      </c>
      <c r="AS218" s="19">
        <v>0.79488000398467751</v>
      </c>
      <c r="AT218" s="19">
        <v>0.82473349445677024</v>
      </c>
      <c r="AU218" s="19">
        <v>0.8755193509175534</v>
      </c>
      <c r="AV218" s="19">
        <v>0.88110906843924508</v>
      </c>
      <c r="AW218" s="19">
        <v>0.47725869135559834</v>
      </c>
      <c r="AX218" s="19">
        <v>0.92660337704659279</v>
      </c>
      <c r="AY218" s="19">
        <v>0.36139590543793182</v>
      </c>
      <c r="AZ218" s="19">
        <v>0.26823838503879344</v>
      </c>
      <c r="BA218" s="19">
        <v>0.56888838722195179</v>
      </c>
      <c r="BB218" s="19">
        <v>0.2904557206126212</v>
      </c>
      <c r="BC218" s="19">
        <v>0.90328043240365474</v>
      </c>
      <c r="BD218" s="19">
        <v>0.66035990495808372</v>
      </c>
      <c r="BE218" s="19">
        <v>0.65673478042098576</v>
      </c>
      <c r="BF218" s="19">
        <v>0.69790001187261641</v>
      </c>
      <c r="BG218" s="19">
        <v>0.90542804054963844</v>
      </c>
      <c r="BH218" s="19">
        <v>0.46610285708780919</v>
      </c>
      <c r="BI218" s="19">
        <v>0.74730435978633836</v>
      </c>
    </row>
    <row r="219" spans="1:61" x14ac:dyDescent="0.55000000000000004">
      <c r="A219" s="19" t="s">
        <v>1208</v>
      </c>
      <c r="B219" s="19" t="s">
        <v>1209</v>
      </c>
      <c r="C219" s="19" t="s">
        <v>322</v>
      </c>
      <c r="D219" s="19" t="s">
        <v>9</v>
      </c>
      <c r="E219" s="19">
        <v>1915</v>
      </c>
      <c r="F219" s="19">
        <v>67.559172281798581</v>
      </c>
      <c r="G219" s="19">
        <v>46.741681253947398</v>
      </c>
      <c r="H219" s="19">
        <v>89510.319601309267</v>
      </c>
      <c r="I219" s="19">
        <v>31.5015219701896</v>
      </c>
      <c r="J219" s="19">
        <v>30.307071146494593</v>
      </c>
      <c r="K219" s="19">
        <v>31.626794281775219</v>
      </c>
      <c r="L219" s="19">
        <v>45.418571234619854</v>
      </c>
      <c r="M219" s="19">
        <v>35.426223444454301</v>
      </c>
      <c r="N219" s="19">
        <v>18.872880942205381</v>
      </c>
      <c r="O219" s="19">
        <v>15.618806978694764</v>
      </c>
      <c r="P219" s="19">
        <v>41.459816305705935</v>
      </c>
      <c r="Q219" s="19">
        <v>500.94264286031824</v>
      </c>
      <c r="R219" s="19">
        <v>159.45629071529982</v>
      </c>
      <c r="S219" s="19">
        <v>1337.6729654653186</v>
      </c>
      <c r="T219" s="19">
        <v>1393.7080850710695</v>
      </c>
      <c r="U219" s="19">
        <v>25.323632857440479</v>
      </c>
      <c r="V219" s="19">
        <v>13.367159993361703</v>
      </c>
      <c r="W219" s="19">
        <v>54.075870799663825</v>
      </c>
      <c r="X219" s="19">
        <v>58.928640160132254</v>
      </c>
      <c r="Y219" s="19">
        <v>34.786736437512431</v>
      </c>
      <c r="Z219" s="19">
        <v>28.801561792227027</v>
      </c>
      <c r="AA219" s="19">
        <v>51.512450241172921</v>
      </c>
      <c r="AB219" s="19">
        <v>54.13840662258611</v>
      </c>
      <c r="AC219" s="19">
        <v>44.779325120182158</v>
      </c>
      <c r="AD219" s="19">
        <v>21.521565544516342</v>
      </c>
      <c r="AE219" s="19">
        <v>43.259108693003398</v>
      </c>
      <c r="AF219" s="19">
        <v>56.492178530694517</v>
      </c>
      <c r="AG219" s="19">
        <v>851.52001086431881</v>
      </c>
      <c r="AH219" s="19">
        <v>46.961845443569011</v>
      </c>
      <c r="AI219" s="19">
        <v>2038.6584712311615</v>
      </c>
      <c r="AJ219" s="19">
        <v>2177.5283857372642</v>
      </c>
      <c r="AK219" s="19">
        <v>1360.268995879977</v>
      </c>
      <c r="AL219" s="19">
        <v>1631.8361758386541</v>
      </c>
      <c r="AM219" s="19">
        <v>2431.1968836049564</v>
      </c>
      <c r="AN219" s="19">
        <v>2780.6746857921353</v>
      </c>
      <c r="AO219" s="19"/>
      <c r="AP219" s="19">
        <v>0.97169314445197019</v>
      </c>
      <c r="AQ219" s="19">
        <v>0.88699882403576569</v>
      </c>
      <c r="AR219" s="19">
        <v>1.2607300075487904</v>
      </c>
      <c r="AS219" s="19">
        <v>1.1582468830860475</v>
      </c>
      <c r="AT219" s="19">
        <v>1.2086039058752016</v>
      </c>
      <c r="AU219" s="19">
        <v>0.69358240723736986</v>
      </c>
      <c r="AV219" s="19">
        <v>0.66728367543612488</v>
      </c>
      <c r="AW219" s="19">
        <v>0.69634058100154439</v>
      </c>
      <c r="AX219" s="19">
        <v>0.85447130742783206</v>
      </c>
      <c r="AY219" s="19">
        <v>0.4552089860467613</v>
      </c>
      <c r="AZ219" s="19">
        <v>0.37672156730094375</v>
      </c>
      <c r="BA219" s="19">
        <v>0.42973387454090617</v>
      </c>
      <c r="BB219" s="19">
        <v>0.22683638986132856</v>
      </c>
      <c r="BC219" s="19">
        <v>0.91765007053817038</v>
      </c>
      <c r="BD219" s="19">
        <v>0.64255190737364043</v>
      </c>
      <c r="BE219" s="19">
        <v>0.53199869720974102</v>
      </c>
      <c r="BF219" s="19">
        <v>0.95149549930940036</v>
      </c>
      <c r="BG219" s="19">
        <v>0.79266415785066091</v>
      </c>
      <c r="BH219" s="19">
        <v>0.38096540272071105</v>
      </c>
      <c r="BI219" s="19">
        <v>0.76575394715038203</v>
      </c>
    </row>
    <row r="220" spans="1:61" x14ac:dyDescent="0.55000000000000004">
      <c r="A220" s="19" t="s">
        <v>444</v>
      </c>
      <c r="B220" s="19" t="s">
        <v>445</v>
      </c>
      <c r="C220" s="19" t="s">
        <v>322</v>
      </c>
      <c r="D220" s="19" t="s">
        <v>9</v>
      </c>
      <c r="E220" s="19">
        <v>1946</v>
      </c>
      <c r="F220" s="19">
        <v>68.789000000000001</v>
      </c>
      <c r="G220" s="19">
        <v>57.007399999999997</v>
      </c>
      <c r="H220" s="19">
        <v>110936.4004</v>
      </c>
      <c r="I220" s="19">
        <v>83.999700000000004</v>
      </c>
      <c r="J220" s="19">
        <v>22.017299999999999</v>
      </c>
      <c r="K220" s="19">
        <v>21.6158</v>
      </c>
      <c r="L220" s="19">
        <v>87.152900000000002</v>
      </c>
      <c r="M220" s="19">
        <v>51.535699999999999</v>
      </c>
      <c r="N220" s="19">
        <v>14.565300000000001</v>
      </c>
      <c r="O220" s="19">
        <v>14.241099999999999</v>
      </c>
      <c r="P220" s="19">
        <v>51.986499999999999</v>
      </c>
      <c r="Q220" s="19">
        <v>626.63120000000004</v>
      </c>
      <c r="R220" s="19">
        <v>707.1114</v>
      </c>
      <c r="S220" s="19">
        <v>2688.2748999999999</v>
      </c>
      <c r="T220" s="19">
        <v>2691.9934823260642</v>
      </c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>
        <v>1.52879976985444</v>
      </c>
      <c r="AQ220" s="19">
        <v>0.91192546932503504</v>
      </c>
      <c r="AR220" s="19"/>
      <c r="AS220" s="19"/>
      <c r="AT220" s="19"/>
      <c r="AU220" s="19">
        <v>0.96381990731232126</v>
      </c>
      <c r="AV220" s="19">
        <v>0.2526284265928041</v>
      </c>
      <c r="AW220" s="19">
        <v>0.24802158046375966</v>
      </c>
      <c r="AX220" s="19">
        <v>0.9913285179806296</v>
      </c>
      <c r="AY220" s="19">
        <v>0.28017466072922781</v>
      </c>
      <c r="AZ220" s="19">
        <v>0.27393842632221826</v>
      </c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spans="1:61" x14ac:dyDescent="0.55000000000000004">
      <c r="A221" s="19" t="s">
        <v>446</v>
      </c>
      <c r="B221" s="19" t="s">
        <v>447</v>
      </c>
      <c r="C221" s="19" t="s">
        <v>322</v>
      </c>
      <c r="D221" s="19" t="s">
        <v>9</v>
      </c>
      <c r="E221" s="19">
        <v>1998</v>
      </c>
      <c r="F221" s="19">
        <v>73.042200000000008</v>
      </c>
      <c r="G221" s="19">
        <v>89.223100000000002</v>
      </c>
      <c r="H221" s="19">
        <v>178267.75380000001</v>
      </c>
      <c r="I221" s="19">
        <v>92.834699999999998</v>
      </c>
      <c r="J221" s="19">
        <v>17.251899999999999</v>
      </c>
      <c r="K221" s="19">
        <v>20.879799999999999</v>
      </c>
      <c r="L221" s="19">
        <v>96.009799999999998</v>
      </c>
      <c r="M221" s="19">
        <v>44.699800000000003</v>
      </c>
      <c r="N221" s="19">
        <v>18.2164</v>
      </c>
      <c r="O221" s="19">
        <v>14.3314</v>
      </c>
      <c r="P221" s="19">
        <v>47.4392</v>
      </c>
      <c r="Q221" s="19">
        <v>741.88220000000001</v>
      </c>
      <c r="R221" s="19">
        <v>383.85129999999998</v>
      </c>
      <c r="S221" s="19">
        <v>2415.5118000000002</v>
      </c>
      <c r="T221" s="19">
        <v>2460.8468586237295</v>
      </c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>
        <v>1.0760643824301106</v>
      </c>
      <c r="AQ221" s="19">
        <v>0.53169190489906759</v>
      </c>
      <c r="AR221" s="19"/>
      <c r="AS221" s="19"/>
      <c r="AT221" s="19"/>
      <c r="AU221" s="19">
        <v>0.96692941762195106</v>
      </c>
      <c r="AV221" s="19">
        <v>0.17968894841984881</v>
      </c>
      <c r="AW221" s="19">
        <v>0.21747571602065621</v>
      </c>
      <c r="AX221" s="19">
        <v>0.94225450682136302</v>
      </c>
      <c r="AY221" s="19">
        <v>0.38399467107371121</v>
      </c>
      <c r="AZ221" s="19">
        <v>0.3021003726875664</v>
      </c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spans="1:61" x14ac:dyDescent="0.55000000000000004">
      <c r="A222" s="19" t="s">
        <v>448</v>
      </c>
      <c r="B222" s="19" t="s">
        <v>449</v>
      </c>
      <c r="C222" s="19" t="s">
        <v>322</v>
      </c>
      <c r="D222" s="19" t="s">
        <v>9</v>
      </c>
      <c r="E222" s="19">
        <v>2100</v>
      </c>
      <c r="F222" s="19">
        <v>71.774000000000001</v>
      </c>
      <c r="G222" s="19">
        <v>38.620800000000003</v>
      </c>
      <c r="H222" s="19">
        <v>81103.680000000008</v>
      </c>
      <c r="I222" s="19">
        <v>75.340299999999999</v>
      </c>
      <c r="J222" s="19">
        <v>12.8207</v>
      </c>
      <c r="K222" s="19">
        <v>22.9709</v>
      </c>
      <c r="L222" s="19">
        <v>75.945099999999996</v>
      </c>
      <c r="M222" s="19">
        <v>47.722299999999997</v>
      </c>
      <c r="N222" s="19">
        <v>18.291</v>
      </c>
      <c r="O222" s="19">
        <v>17.801500000000001</v>
      </c>
      <c r="P222" s="19">
        <v>49.4116</v>
      </c>
      <c r="Q222" s="19">
        <v>512.55499999999995</v>
      </c>
      <c r="R222" s="19">
        <v>486.28030000000001</v>
      </c>
      <c r="S222" s="19">
        <v>2538.6347000000001</v>
      </c>
      <c r="T222" s="19">
        <v>2568.5753865826191</v>
      </c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>
        <v>1.9664300066285523</v>
      </c>
      <c r="AQ222" s="19">
        <v>1.2794038445604441</v>
      </c>
      <c r="AR222" s="19"/>
      <c r="AS222" s="19"/>
      <c r="AT222" s="19"/>
      <c r="AU222" s="19">
        <v>0.9920363525757423</v>
      </c>
      <c r="AV222" s="19">
        <v>0.16881536794342231</v>
      </c>
      <c r="AW222" s="19">
        <v>0.3024671769475582</v>
      </c>
      <c r="AX222" s="19">
        <v>0.96581167175319149</v>
      </c>
      <c r="AY222" s="19">
        <v>0.37017623392077975</v>
      </c>
      <c r="AZ222" s="19">
        <v>0.36026965327979665</v>
      </c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spans="1:61" x14ac:dyDescent="0.55000000000000004">
      <c r="A223" s="19" t="s">
        <v>450</v>
      </c>
      <c r="B223" s="19" t="s">
        <v>451</v>
      </c>
      <c r="C223" s="19" t="s">
        <v>322</v>
      </c>
      <c r="D223" s="19" t="s">
        <v>9</v>
      </c>
      <c r="E223" s="19">
        <v>2264</v>
      </c>
      <c r="F223" s="19">
        <v>70.019799999999989</v>
      </c>
      <c r="G223" s="19">
        <v>34.1203</v>
      </c>
      <c r="H223" s="19">
        <v>77248.359200000006</v>
      </c>
      <c r="I223" s="19">
        <v>69.783600000000007</v>
      </c>
      <c r="J223" s="19">
        <v>17.115400000000001</v>
      </c>
      <c r="K223" s="19">
        <v>16.077200000000001</v>
      </c>
      <c r="L223" s="19">
        <v>71.995500000000007</v>
      </c>
      <c r="M223" s="19">
        <v>56.1937</v>
      </c>
      <c r="N223" s="19">
        <v>24.119900000000001</v>
      </c>
      <c r="O223" s="19">
        <v>8.3185000000000002</v>
      </c>
      <c r="P223" s="19">
        <v>58.544199999999996</v>
      </c>
      <c r="Q223" s="19">
        <v>232.39789999999999</v>
      </c>
      <c r="R223" s="19">
        <v>486.41379999999998</v>
      </c>
      <c r="S223" s="19">
        <v>1882.2959000000001</v>
      </c>
      <c r="T223" s="19">
        <v>1882.4672896067466</v>
      </c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>
        <v>2.1100488565458102</v>
      </c>
      <c r="AQ223" s="19">
        <v>1.715817270070896</v>
      </c>
      <c r="AR223" s="19"/>
      <c r="AS223" s="19"/>
      <c r="AT223" s="19"/>
      <c r="AU223" s="19">
        <v>0.96927724649457259</v>
      </c>
      <c r="AV223" s="19">
        <v>0.23772874693557236</v>
      </c>
      <c r="AW223" s="19">
        <v>0.22330840121952067</v>
      </c>
      <c r="AX223" s="19">
        <v>0.95985084773555707</v>
      </c>
      <c r="AY223" s="19">
        <v>0.41199469802303224</v>
      </c>
      <c r="AZ223" s="19">
        <v>0.14208922489332848</v>
      </c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spans="1:61" x14ac:dyDescent="0.55000000000000004">
      <c r="A224" s="19" t="s">
        <v>452</v>
      </c>
      <c r="B224" s="19" t="s">
        <v>453</v>
      </c>
      <c r="C224" s="19" t="s">
        <v>322</v>
      </c>
      <c r="D224" s="19" t="s">
        <v>9</v>
      </c>
      <c r="E224" s="19">
        <v>2168</v>
      </c>
      <c r="F224" s="19">
        <v>70.572900000000004</v>
      </c>
      <c r="G224" s="19">
        <v>43.453800000000001</v>
      </c>
      <c r="H224" s="19">
        <v>94207.838400000008</v>
      </c>
      <c r="I224" s="19">
        <v>40.942799999999998</v>
      </c>
      <c r="J224" s="19">
        <v>18.644200000000001</v>
      </c>
      <c r="K224" s="19">
        <v>17.0838</v>
      </c>
      <c r="L224" s="19">
        <v>44.707500000000003</v>
      </c>
      <c r="M224" s="19">
        <v>44.6614</v>
      </c>
      <c r="N224" s="19">
        <v>14.232200000000001</v>
      </c>
      <c r="O224" s="19">
        <v>8.1434999999999995</v>
      </c>
      <c r="P224" s="19">
        <v>46.5379</v>
      </c>
      <c r="Q224" s="19">
        <v>630.49450000000002</v>
      </c>
      <c r="R224" s="19">
        <v>116.9409</v>
      </c>
      <c r="S224" s="19">
        <v>1204.1532999999999</v>
      </c>
      <c r="T224" s="19">
        <v>1285.1948430504731</v>
      </c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>
        <v>1.0288513317592478</v>
      </c>
      <c r="AQ224" s="19">
        <v>1.0709742301018552</v>
      </c>
      <c r="AR224" s="19"/>
      <c r="AS224" s="19"/>
      <c r="AT224" s="19"/>
      <c r="AU224" s="19">
        <v>0.91579265223955697</v>
      </c>
      <c r="AV224" s="19">
        <v>0.41702622602471623</v>
      </c>
      <c r="AW224" s="19">
        <v>0.38212380473074986</v>
      </c>
      <c r="AX224" s="19">
        <v>0.95967802586708895</v>
      </c>
      <c r="AY224" s="19">
        <v>0.30581955782276382</v>
      </c>
      <c r="AZ224" s="19">
        <v>0.17498640892691761</v>
      </c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spans="1:61" x14ac:dyDescent="0.55000000000000004">
      <c r="A225" s="19" t="s">
        <v>454</v>
      </c>
      <c r="B225" s="19" t="s">
        <v>455</v>
      </c>
      <c r="C225" s="19" t="s">
        <v>322</v>
      </c>
      <c r="D225" s="19" t="s">
        <v>9</v>
      </c>
      <c r="E225" s="19">
        <v>2126</v>
      </c>
      <c r="F225" s="19">
        <v>72.723600000000005</v>
      </c>
      <c r="G225" s="19">
        <v>50.3446</v>
      </c>
      <c r="H225" s="19">
        <v>107032.61960000001</v>
      </c>
      <c r="I225" s="19">
        <v>73.047399999999996</v>
      </c>
      <c r="J225" s="19">
        <v>15.377800000000001</v>
      </c>
      <c r="K225" s="19">
        <v>21.446899999999999</v>
      </c>
      <c r="L225" s="19">
        <v>74.9649</v>
      </c>
      <c r="M225" s="19">
        <v>48.039200000000001</v>
      </c>
      <c r="N225" s="19">
        <v>16.5152</v>
      </c>
      <c r="O225" s="19">
        <v>12.624000000000001</v>
      </c>
      <c r="P225" s="19">
        <v>50.775199999999998</v>
      </c>
      <c r="Q225" s="19">
        <v>346.71530000000001</v>
      </c>
      <c r="R225" s="19">
        <v>163.75700000000001</v>
      </c>
      <c r="S225" s="19">
        <v>2040.6983</v>
      </c>
      <c r="T225" s="19">
        <v>2048.7567252937697</v>
      </c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>
        <v>1.4890355668731106</v>
      </c>
      <c r="AQ225" s="19">
        <v>1.0085530523631134</v>
      </c>
      <c r="AR225" s="19"/>
      <c r="AS225" s="19"/>
      <c r="AT225" s="19"/>
      <c r="AU225" s="19">
        <v>0.97442136253099776</v>
      </c>
      <c r="AV225" s="19">
        <v>0.20513333573445708</v>
      </c>
      <c r="AW225" s="19">
        <v>0.28609255798380306</v>
      </c>
      <c r="AX225" s="19">
        <v>0.94611542642865021</v>
      </c>
      <c r="AY225" s="19">
        <v>0.32526115111314186</v>
      </c>
      <c r="AZ225" s="19">
        <v>0.24862531314499994</v>
      </c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spans="1:61" x14ac:dyDescent="0.55000000000000004">
      <c r="A226" s="19" t="s">
        <v>456</v>
      </c>
      <c r="B226" s="19" t="s">
        <v>455</v>
      </c>
      <c r="C226" s="19" t="s">
        <v>322</v>
      </c>
      <c r="D226" s="19" t="s">
        <v>9</v>
      </c>
      <c r="E226" s="19">
        <v>2124</v>
      </c>
      <c r="F226" s="19">
        <v>73.130200000000002</v>
      </c>
      <c r="G226" s="19">
        <v>44.358600000000003</v>
      </c>
      <c r="H226" s="19">
        <v>94217.666400000002</v>
      </c>
      <c r="I226" s="19">
        <v>73.542699999999996</v>
      </c>
      <c r="J226" s="19">
        <v>15.146699999999999</v>
      </c>
      <c r="K226" s="19">
        <v>24.183499999999999</v>
      </c>
      <c r="L226" s="19">
        <v>73.555800000000005</v>
      </c>
      <c r="M226" s="19">
        <v>49.624200000000002</v>
      </c>
      <c r="N226" s="19">
        <v>14.3635</v>
      </c>
      <c r="O226" s="19">
        <v>15.0832</v>
      </c>
      <c r="P226" s="19">
        <v>51.301099999999998</v>
      </c>
      <c r="Q226" s="19">
        <v>382.2253</v>
      </c>
      <c r="R226" s="19">
        <v>121.4881</v>
      </c>
      <c r="S226" s="19">
        <v>2148.2136</v>
      </c>
      <c r="T226" s="19">
        <v>2152.1573240604994</v>
      </c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>
        <v>1.6582083293882133</v>
      </c>
      <c r="AQ226" s="19">
        <v>1.1565085462570954</v>
      </c>
      <c r="AR226" s="19"/>
      <c r="AS226" s="19"/>
      <c r="AT226" s="19"/>
      <c r="AU226" s="19">
        <v>0.99982190391512282</v>
      </c>
      <c r="AV226" s="19">
        <v>0.20592121899292778</v>
      </c>
      <c r="AW226" s="19">
        <v>0.32877760829193614</v>
      </c>
      <c r="AX226" s="19">
        <v>0.96731259173779904</v>
      </c>
      <c r="AY226" s="19">
        <v>0.27998424985039311</v>
      </c>
      <c r="AZ226" s="19">
        <v>0.29401318880101984</v>
      </c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spans="1:61" x14ac:dyDescent="0.55000000000000004">
      <c r="A227" s="19" t="s">
        <v>674</v>
      </c>
      <c r="B227" s="19" t="s">
        <v>675</v>
      </c>
      <c r="C227" s="19" t="s">
        <v>322</v>
      </c>
      <c r="D227" s="19" t="s">
        <v>9</v>
      </c>
      <c r="E227" s="19">
        <v>1819</v>
      </c>
      <c r="F227" s="19">
        <v>70.608689700968156</v>
      </c>
      <c r="G227" s="19">
        <v>35.323618154658284</v>
      </c>
      <c r="H227" s="19">
        <v>64253.661423323421</v>
      </c>
      <c r="I227" s="19">
        <v>45.756457272307671</v>
      </c>
      <c r="J227" s="19">
        <v>18.400052614378325</v>
      </c>
      <c r="K227" s="19">
        <v>16.540216403378054</v>
      </c>
      <c r="L227" s="19">
        <v>49.504722437250429</v>
      </c>
      <c r="M227" s="19">
        <v>38.594413432725005</v>
      </c>
      <c r="N227" s="19">
        <v>12.5889059320745</v>
      </c>
      <c r="O227" s="19">
        <v>13.289170942074072</v>
      </c>
      <c r="P227" s="19">
        <v>41.489278346107724</v>
      </c>
      <c r="Q227" s="19">
        <v>638.54931188945818</v>
      </c>
      <c r="R227" s="19">
        <v>70.157267106911604</v>
      </c>
      <c r="S227" s="19">
        <v>884.78564320350665</v>
      </c>
      <c r="T227" s="19">
        <v>1080.8787246382117</v>
      </c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>
        <v>1.4014623932492607</v>
      </c>
      <c r="AQ227" s="19">
        <v>1.1745478100361684</v>
      </c>
      <c r="AR227" s="19"/>
      <c r="AS227" s="19"/>
      <c r="AT227" s="19"/>
      <c r="AU227" s="19">
        <v>0.92428469486534626</v>
      </c>
      <c r="AV227" s="19">
        <v>0.37168277506658604</v>
      </c>
      <c r="AW227" s="19">
        <v>0.33411391053335482</v>
      </c>
      <c r="AX227" s="19">
        <v>0.93022619267480466</v>
      </c>
      <c r="AY227" s="19">
        <v>0.30342552181931398</v>
      </c>
      <c r="AZ227" s="19">
        <v>0.32030373802153111</v>
      </c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spans="1:61" x14ac:dyDescent="0.55000000000000004">
      <c r="A228" s="19" t="s">
        <v>676</v>
      </c>
      <c r="B228" s="19" t="s">
        <v>677</v>
      </c>
      <c r="C228" s="19" t="s">
        <v>322</v>
      </c>
      <c r="D228" s="19" t="s">
        <v>9</v>
      </c>
      <c r="E228" s="19">
        <v>1855</v>
      </c>
      <c r="F228" s="19">
        <v>67.258867767789241</v>
      </c>
      <c r="G228" s="19">
        <v>44.141006183582839</v>
      </c>
      <c r="H228" s="19">
        <v>81881.566470546168</v>
      </c>
      <c r="I228" s="19">
        <v>38.203755208802136</v>
      </c>
      <c r="J228" s="19">
        <v>14.388523705348979</v>
      </c>
      <c r="K228" s="19">
        <v>24.923023410024125</v>
      </c>
      <c r="L228" s="19">
        <v>45.000061223465259</v>
      </c>
      <c r="M228" s="19">
        <v>36.228263080831468</v>
      </c>
      <c r="N228" s="19">
        <v>10.114894421947856</v>
      </c>
      <c r="O228" s="19">
        <v>14.580808988389887</v>
      </c>
      <c r="P228" s="19">
        <v>39.310369428096315</v>
      </c>
      <c r="Q228" s="19">
        <v>375.04750766879499</v>
      </c>
      <c r="R228" s="19">
        <v>235.67189539107835</v>
      </c>
      <c r="S228" s="19">
        <v>1563.5776036644252</v>
      </c>
      <c r="T228" s="19">
        <v>1578.2507648039175</v>
      </c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>
        <v>1.0194616098307683</v>
      </c>
      <c r="AQ228" s="19">
        <v>0.89056351059611416</v>
      </c>
      <c r="AR228" s="19"/>
      <c r="AS228" s="19"/>
      <c r="AT228" s="19"/>
      <c r="AU228" s="19">
        <v>0.84897118292987583</v>
      </c>
      <c r="AV228" s="19">
        <v>0.31974453621067722</v>
      </c>
      <c r="AW228" s="19">
        <v>0.55384421115027349</v>
      </c>
      <c r="AX228" s="19">
        <v>0.92159558935454899</v>
      </c>
      <c r="AY228" s="19">
        <v>0.25730855672697989</v>
      </c>
      <c r="AZ228" s="19">
        <v>0.37091508425175318</v>
      </c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spans="1:61" x14ac:dyDescent="0.55000000000000004">
      <c r="A229" s="19" t="s">
        <v>457</v>
      </c>
      <c r="B229" s="19" t="s">
        <v>458</v>
      </c>
      <c r="C229" s="19" t="s">
        <v>322</v>
      </c>
      <c r="D229" s="19" t="s">
        <v>9</v>
      </c>
      <c r="E229" s="19">
        <v>1594</v>
      </c>
      <c r="F229" s="19">
        <v>66.776596999999995</v>
      </c>
      <c r="G229" s="19">
        <v>52.288151999999997</v>
      </c>
      <c r="H229" s="19">
        <v>83347.314287999994</v>
      </c>
      <c r="I229" s="19">
        <v>54.933095999999999</v>
      </c>
      <c r="J229" s="19">
        <v>13.360364000000001</v>
      </c>
      <c r="K229" s="19">
        <v>22.038924000000002</v>
      </c>
      <c r="L229" s="19">
        <v>57.545337000000004</v>
      </c>
      <c r="M229" s="19">
        <v>38.889547</v>
      </c>
      <c r="N229" s="19">
        <v>7.4910620000000003</v>
      </c>
      <c r="O229" s="19">
        <v>7.8317139999999998</v>
      </c>
      <c r="P229" s="19">
        <v>38.945475000000002</v>
      </c>
      <c r="Q229" s="19">
        <v>360.15243500000003</v>
      </c>
      <c r="R229" s="19">
        <v>2098.878937</v>
      </c>
      <c r="S229" s="19">
        <v>26.641961999999999</v>
      </c>
      <c r="T229" s="19">
        <v>2128.9014175044999</v>
      </c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>
        <v>1.1005425665072273</v>
      </c>
      <c r="AQ229" s="19">
        <v>0.74482408557869872</v>
      </c>
      <c r="AR229" s="19"/>
      <c r="AS229" s="19"/>
      <c r="AT229" s="19"/>
      <c r="AU229" s="19">
        <v>0.95460551390984116</v>
      </c>
      <c r="AV229" s="19">
        <v>0.2321710966780853</v>
      </c>
      <c r="AW229" s="19">
        <v>0.38298366381971138</v>
      </c>
      <c r="AX229" s="19">
        <v>0.99856394099699641</v>
      </c>
      <c r="AY229" s="19">
        <v>0.19234742932266199</v>
      </c>
      <c r="AZ229" s="19">
        <v>0.20109432482207495</v>
      </c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spans="1:61" x14ac:dyDescent="0.55000000000000004">
      <c r="A230" s="19" t="s">
        <v>459</v>
      </c>
      <c r="B230" s="19" t="s">
        <v>460</v>
      </c>
      <c r="C230" s="19" t="s">
        <v>322</v>
      </c>
      <c r="D230" s="19" t="s">
        <v>9</v>
      </c>
      <c r="E230" s="19">
        <v>1701</v>
      </c>
      <c r="F230" s="19">
        <v>74.173265999999998</v>
      </c>
      <c r="G230" s="19">
        <v>71.848501999999996</v>
      </c>
      <c r="H230" s="19">
        <v>122214.30190199999</v>
      </c>
      <c r="I230" s="19">
        <v>56.417665</v>
      </c>
      <c r="J230" s="19">
        <v>16.389962000000001</v>
      </c>
      <c r="K230" s="19">
        <v>19.563023000000001</v>
      </c>
      <c r="L230" s="19">
        <v>59.586010999999999</v>
      </c>
      <c r="M230" s="19">
        <v>47.645347000000001</v>
      </c>
      <c r="N230" s="19">
        <v>13.135242</v>
      </c>
      <c r="O230" s="19">
        <v>5.9879910000000001</v>
      </c>
      <c r="P230" s="19">
        <v>47.827652</v>
      </c>
      <c r="Q230" s="19">
        <v>528.53657199999998</v>
      </c>
      <c r="R230" s="19">
        <v>2323.2586150000002</v>
      </c>
      <c r="S230" s="19">
        <v>231.08498499999999</v>
      </c>
      <c r="T230" s="19">
        <v>2355.746519846296</v>
      </c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>
        <v>0.82932850847746276</v>
      </c>
      <c r="AQ230" s="19">
        <v>0.66567361418335491</v>
      </c>
      <c r="AR230" s="19"/>
      <c r="AS230" s="19"/>
      <c r="AT230" s="19"/>
      <c r="AU230" s="19">
        <v>0.94682735180913524</v>
      </c>
      <c r="AV230" s="19">
        <v>0.27506392398041213</v>
      </c>
      <c r="AW230" s="19">
        <v>0.32831570148234962</v>
      </c>
      <c r="AX230" s="19">
        <v>0.99618829291473476</v>
      </c>
      <c r="AY230" s="19">
        <v>0.27463698197017911</v>
      </c>
      <c r="AZ230" s="19">
        <v>0.12519935120377643</v>
      </c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spans="1:61" x14ac:dyDescent="0.55000000000000004">
      <c r="A231" s="19" t="s">
        <v>461</v>
      </c>
      <c r="B231" s="19" t="s">
        <v>462</v>
      </c>
      <c r="C231" s="19" t="s">
        <v>322</v>
      </c>
      <c r="D231" s="19" t="s">
        <v>9</v>
      </c>
      <c r="E231" s="19">
        <v>1652</v>
      </c>
      <c r="F231" s="19">
        <v>67.095625999999996</v>
      </c>
      <c r="G231" s="19">
        <v>38.343286999999997</v>
      </c>
      <c r="H231" s="19">
        <v>63343.110123999992</v>
      </c>
      <c r="I231" s="19">
        <v>63.817306000000002</v>
      </c>
      <c r="J231" s="19">
        <v>10.505817</v>
      </c>
      <c r="K231" s="19">
        <v>19.802009999999999</v>
      </c>
      <c r="L231" s="19">
        <v>65.198097000000004</v>
      </c>
      <c r="M231" s="19">
        <v>39.138328999999999</v>
      </c>
      <c r="N231" s="19">
        <v>15.582236999999999</v>
      </c>
      <c r="O231" s="19">
        <v>17.627092999999999</v>
      </c>
      <c r="P231" s="19">
        <v>42.004846000000001</v>
      </c>
      <c r="Q231" s="19">
        <v>410.74144200000001</v>
      </c>
      <c r="R231" s="19">
        <v>2261.8354450000002</v>
      </c>
      <c r="S231" s="19">
        <v>360.64020599999998</v>
      </c>
      <c r="T231" s="19">
        <v>2289.470184079551</v>
      </c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>
        <v>1.7003784000051954</v>
      </c>
      <c r="AQ231" s="19">
        <v>1.0954941343448203</v>
      </c>
      <c r="AR231" s="19"/>
      <c r="AS231" s="19"/>
      <c r="AT231" s="19"/>
      <c r="AU231" s="19">
        <v>0.9788216057901199</v>
      </c>
      <c r="AV231" s="19">
        <v>0.16113686569716903</v>
      </c>
      <c r="AW231" s="19">
        <v>0.30372067454668189</v>
      </c>
      <c r="AX231" s="19">
        <v>0.93175746912630031</v>
      </c>
      <c r="AY231" s="19">
        <v>0.37096284081127207</v>
      </c>
      <c r="AZ231" s="19">
        <v>0.41964427152048117</v>
      </c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spans="1:61" x14ac:dyDescent="0.55000000000000004">
      <c r="A232" s="19" t="s">
        <v>463</v>
      </c>
      <c r="B232" s="19" t="s">
        <v>464</v>
      </c>
      <c r="C232" s="19" t="s">
        <v>322</v>
      </c>
      <c r="D232" s="19" t="s">
        <v>9</v>
      </c>
      <c r="E232" s="19">
        <v>1758</v>
      </c>
      <c r="F232" s="19">
        <v>67.908242000000001</v>
      </c>
      <c r="G232" s="19">
        <v>37.288347000000002</v>
      </c>
      <c r="H232" s="19">
        <v>65552.914025999999</v>
      </c>
      <c r="I232" s="19">
        <v>67.568734000000006</v>
      </c>
      <c r="J232" s="19">
        <v>27.506087999999998</v>
      </c>
      <c r="K232" s="19">
        <v>17.262298999999999</v>
      </c>
      <c r="L232" s="19">
        <v>68.522593000000001</v>
      </c>
      <c r="M232" s="19">
        <v>37.150157999999998</v>
      </c>
      <c r="N232" s="19">
        <v>13.984434</v>
      </c>
      <c r="O232" s="19">
        <v>13.913335999999999</v>
      </c>
      <c r="P232" s="19">
        <v>37.730950999999997</v>
      </c>
      <c r="Q232" s="19">
        <v>527.10608100000002</v>
      </c>
      <c r="R232" s="19">
        <v>1974.9877710000001</v>
      </c>
      <c r="S232" s="19">
        <v>376.95248700000002</v>
      </c>
      <c r="T232" s="19">
        <v>1986.2657595978421</v>
      </c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>
        <v>1.8376409391384392</v>
      </c>
      <c r="AQ232" s="19">
        <v>1.0118697672492696</v>
      </c>
      <c r="AR232" s="19"/>
      <c r="AS232" s="19"/>
      <c r="AT232" s="19"/>
      <c r="AU232" s="19">
        <v>0.98607964237430423</v>
      </c>
      <c r="AV232" s="19">
        <v>0.40141633285827344</v>
      </c>
      <c r="AW232" s="19">
        <v>0.25192127507492307</v>
      </c>
      <c r="AX232" s="19">
        <v>0.98460698751006837</v>
      </c>
      <c r="AY232" s="19">
        <v>0.37063560894608782</v>
      </c>
      <c r="AZ232" s="19">
        <v>0.36875126736137659</v>
      </c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spans="1:61" x14ac:dyDescent="0.55000000000000004">
      <c r="A233" s="19" t="s">
        <v>465</v>
      </c>
      <c r="B233" s="19" t="s">
        <v>466</v>
      </c>
      <c r="C233" s="19" t="s">
        <v>322</v>
      </c>
      <c r="D233" s="19" t="s">
        <v>9</v>
      </c>
      <c r="E233" s="19">
        <v>1577</v>
      </c>
      <c r="F233" s="19">
        <v>72.741858999999991</v>
      </c>
      <c r="G233" s="19">
        <v>37.765064000000002</v>
      </c>
      <c r="H233" s="19">
        <v>59555.505928000006</v>
      </c>
      <c r="I233" s="19">
        <v>87.543225000000007</v>
      </c>
      <c r="J233" s="19">
        <v>21.056034</v>
      </c>
      <c r="K233" s="19">
        <v>33.670270000000002</v>
      </c>
      <c r="L233" s="19">
        <v>88.539186000000001</v>
      </c>
      <c r="M233" s="19">
        <v>49.761519999999997</v>
      </c>
      <c r="N233" s="19">
        <v>13.945914</v>
      </c>
      <c r="O233" s="19">
        <v>21.379604</v>
      </c>
      <c r="P233" s="19">
        <v>51.652957999999998</v>
      </c>
      <c r="Q233" s="19">
        <v>733.27927399999999</v>
      </c>
      <c r="R233" s="19">
        <v>2268.1544490000001</v>
      </c>
      <c r="S233" s="19">
        <v>658.00358800000004</v>
      </c>
      <c r="T233" s="19">
        <v>2340.4557938921644</v>
      </c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>
        <v>2.3444733471125585</v>
      </c>
      <c r="AQ233" s="19">
        <v>1.3677444846909301</v>
      </c>
      <c r="AR233" s="19"/>
      <c r="AS233" s="19"/>
      <c r="AT233" s="19"/>
      <c r="AU233" s="19">
        <v>0.98875118413670537</v>
      </c>
      <c r="AV233" s="19">
        <v>0.23781598805301871</v>
      </c>
      <c r="AW233" s="19">
        <v>0.38028664505680004</v>
      </c>
      <c r="AX233" s="19">
        <v>0.96338180671085671</v>
      </c>
      <c r="AY233" s="19">
        <v>0.2699925529918345</v>
      </c>
      <c r="AZ233" s="19">
        <v>0.41390860906746135</v>
      </c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spans="1:61" x14ac:dyDescent="0.55000000000000004">
      <c r="A234" s="19" t="s">
        <v>467</v>
      </c>
      <c r="B234" s="19" t="s">
        <v>468</v>
      </c>
      <c r="C234" s="19" t="s">
        <v>322</v>
      </c>
      <c r="D234" s="19" t="s">
        <v>9</v>
      </c>
      <c r="E234" s="19">
        <v>1549</v>
      </c>
      <c r="F234" s="19">
        <v>71.771874000000011</v>
      </c>
      <c r="G234" s="19">
        <v>70.699590000000001</v>
      </c>
      <c r="H234" s="19">
        <v>109513.66491000001</v>
      </c>
      <c r="I234" s="19">
        <v>37.670062000000001</v>
      </c>
      <c r="J234" s="19">
        <v>11.885839000000001</v>
      </c>
      <c r="K234" s="19">
        <v>29.506523999999999</v>
      </c>
      <c r="L234" s="19">
        <v>47.984155999999999</v>
      </c>
      <c r="M234" s="19">
        <v>36.586917</v>
      </c>
      <c r="N234" s="19">
        <v>10.848195</v>
      </c>
      <c r="O234" s="19">
        <v>15.766126</v>
      </c>
      <c r="P234" s="19">
        <v>39.463251999999997</v>
      </c>
      <c r="Q234" s="19">
        <v>520.71852200000001</v>
      </c>
      <c r="R234" s="19">
        <v>1729.9420520000001</v>
      </c>
      <c r="S234" s="19">
        <v>731.40899899999999</v>
      </c>
      <c r="T234" s="19">
        <v>1760.1508283191072</v>
      </c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>
        <v>0.67870486943417918</v>
      </c>
      <c r="AQ234" s="19">
        <v>0.55818219030690275</v>
      </c>
      <c r="AR234" s="19"/>
      <c r="AS234" s="19"/>
      <c r="AT234" s="19"/>
      <c r="AU234" s="19">
        <v>0.78505209094435258</v>
      </c>
      <c r="AV234" s="19">
        <v>0.2477034086001221</v>
      </c>
      <c r="AW234" s="19">
        <v>0.6149222255779595</v>
      </c>
      <c r="AX234" s="19">
        <v>0.92711358405029576</v>
      </c>
      <c r="AY234" s="19">
        <v>0.27489358961091198</v>
      </c>
      <c r="AZ234" s="19">
        <v>0.39951410998769188</v>
      </c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spans="1:61" x14ac:dyDescent="0.55000000000000004">
      <c r="A235" s="19" t="s">
        <v>469</v>
      </c>
      <c r="B235" s="19" t="s">
        <v>470</v>
      </c>
      <c r="C235" s="19" t="s">
        <v>322</v>
      </c>
      <c r="D235" s="19" t="s">
        <v>9</v>
      </c>
      <c r="E235" s="19">
        <v>1593</v>
      </c>
      <c r="F235" s="19">
        <v>70.228331999999995</v>
      </c>
      <c r="G235" s="19">
        <v>67.194785999999993</v>
      </c>
      <c r="H235" s="19">
        <v>107041.29409799998</v>
      </c>
      <c r="I235" s="19">
        <v>71.990300000000005</v>
      </c>
      <c r="J235" s="19">
        <v>18.558883000000002</v>
      </c>
      <c r="K235" s="19">
        <v>36.295355000000001</v>
      </c>
      <c r="L235" s="19">
        <v>76.839956999999998</v>
      </c>
      <c r="M235" s="19">
        <v>49.903542999999999</v>
      </c>
      <c r="N235" s="19">
        <v>22.416920999999999</v>
      </c>
      <c r="O235" s="19">
        <v>23.826385999999999</v>
      </c>
      <c r="P235" s="19">
        <v>57.266553999999999</v>
      </c>
      <c r="Q235" s="19">
        <v>531.15239399999996</v>
      </c>
      <c r="R235" s="19">
        <v>2399.2513199999999</v>
      </c>
      <c r="S235" s="19">
        <v>3203.7916260000002</v>
      </c>
      <c r="T235" s="19">
        <v>3203.8902995482517</v>
      </c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>
        <v>1.143540467559492</v>
      </c>
      <c r="AQ235" s="19">
        <v>0.85224698833031487</v>
      </c>
      <c r="AR235" s="19"/>
      <c r="AS235" s="19"/>
      <c r="AT235" s="19"/>
      <c r="AU235" s="19">
        <v>0.93688626088117155</v>
      </c>
      <c r="AV235" s="19">
        <v>0.24152646259289293</v>
      </c>
      <c r="AW235" s="19">
        <v>0.47235001706208662</v>
      </c>
      <c r="AX235" s="19">
        <v>0.87142563179198806</v>
      </c>
      <c r="AY235" s="19">
        <v>0.39144875034736681</v>
      </c>
      <c r="AZ235" s="19">
        <v>0.41606110959636228</v>
      </c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spans="1:61" x14ac:dyDescent="0.55000000000000004">
      <c r="A236" s="19" t="s">
        <v>471</v>
      </c>
      <c r="B236" s="19" t="s">
        <v>472</v>
      </c>
      <c r="C236" s="19" t="s">
        <v>322</v>
      </c>
      <c r="D236" s="19" t="s">
        <v>9</v>
      </c>
      <c r="E236" s="19">
        <v>1900</v>
      </c>
      <c r="F236" s="19">
        <v>68.055990000000008</v>
      </c>
      <c r="G236" s="19">
        <v>36.890298999999999</v>
      </c>
      <c r="H236" s="19">
        <v>70091.568100000004</v>
      </c>
      <c r="I236" s="19">
        <v>39.428023000000003</v>
      </c>
      <c r="J236" s="19">
        <v>13.68117</v>
      </c>
      <c r="K236" s="19">
        <v>18.511500000000002</v>
      </c>
      <c r="L236" s="19">
        <v>43.709198999999998</v>
      </c>
      <c r="M236" s="19">
        <v>39.045164</v>
      </c>
      <c r="N236" s="19">
        <v>18.168187</v>
      </c>
      <c r="O236" s="19">
        <v>6.3560410000000003</v>
      </c>
      <c r="P236" s="19">
        <v>43.266813999999997</v>
      </c>
      <c r="Q236" s="19">
        <v>430.62804799999998</v>
      </c>
      <c r="R236" s="19">
        <v>81.786567000000005</v>
      </c>
      <c r="S236" s="19">
        <v>1009.733329</v>
      </c>
      <c r="T236" s="19">
        <v>1012.7649074940899</v>
      </c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>
        <v>1.1848426330185071</v>
      </c>
      <c r="AQ236" s="19">
        <v>1.1728507269621209</v>
      </c>
      <c r="AR236" s="19"/>
      <c r="AS236" s="19"/>
      <c r="AT236" s="19"/>
      <c r="AU236" s="19">
        <v>0.90205320394912758</v>
      </c>
      <c r="AV236" s="19">
        <v>0.31300436322340291</v>
      </c>
      <c r="AW236" s="19">
        <v>0.42351496763873442</v>
      </c>
      <c r="AX236" s="19">
        <v>0.90242752794324077</v>
      </c>
      <c r="AY236" s="19">
        <v>0.41991044221559742</v>
      </c>
      <c r="AZ236" s="19">
        <v>0.14690337495152753</v>
      </c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spans="1:61" x14ac:dyDescent="0.55000000000000004">
      <c r="A237" s="19" t="s">
        <v>473</v>
      </c>
      <c r="B237" s="19" t="s">
        <v>474</v>
      </c>
      <c r="C237" s="19" t="s">
        <v>322</v>
      </c>
      <c r="D237" s="19" t="s">
        <v>9</v>
      </c>
      <c r="E237" s="19">
        <v>1920</v>
      </c>
      <c r="F237" s="19">
        <v>67.862614999999991</v>
      </c>
      <c r="G237" s="19">
        <v>46.391336000000003</v>
      </c>
      <c r="H237" s="19">
        <v>89071.365120000002</v>
      </c>
      <c r="I237" s="19">
        <v>57.428553000000001</v>
      </c>
      <c r="J237" s="19">
        <v>23.716611</v>
      </c>
      <c r="K237" s="19">
        <v>13.211052</v>
      </c>
      <c r="L237" s="19">
        <v>61.662646000000002</v>
      </c>
      <c r="M237" s="19">
        <v>42.400663000000002</v>
      </c>
      <c r="N237" s="19">
        <v>16.942644000000001</v>
      </c>
      <c r="O237" s="19">
        <v>14.849486000000001</v>
      </c>
      <c r="P237" s="19">
        <v>43.382382999999997</v>
      </c>
      <c r="Q237" s="19">
        <v>271.28039200000001</v>
      </c>
      <c r="R237" s="19">
        <v>136.61477400000001</v>
      </c>
      <c r="S237" s="19">
        <v>2175.4611300000001</v>
      </c>
      <c r="T237" s="19">
        <v>2178.6365157630003</v>
      </c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>
        <v>1.3291845270418596</v>
      </c>
      <c r="AQ237" s="19">
        <v>0.93513976402835208</v>
      </c>
      <c r="AR237" s="19"/>
      <c r="AS237" s="19"/>
      <c r="AT237" s="19"/>
      <c r="AU237" s="19">
        <v>0.93133455544544741</v>
      </c>
      <c r="AV237" s="19">
        <v>0.38461876903563302</v>
      </c>
      <c r="AW237" s="19">
        <v>0.21424724459602335</v>
      </c>
      <c r="AX237" s="19">
        <v>0.97737053771343096</v>
      </c>
      <c r="AY237" s="19">
        <v>0.39054203177358887</v>
      </c>
      <c r="AZ237" s="19">
        <v>0.34229299944173197</v>
      </c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spans="1:61" x14ac:dyDescent="0.55000000000000004">
      <c r="A238" s="19" t="s">
        <v>475</v>
      </c>
      <c r="B238" s="19" t="s">
        <v>476</v>
      </c>
      <c r="C238" s="19" t="s">
        <v>322</v>
      </c>
      <c r="D238" s="19" t="s">
        <v>9</v>
      </c>
      <c r="E238" s="19">
        <v>2314</v>
      </c>
      <c r="F238" s="19">
        <v>68.875420000000005</v>
      </c>
      <c r="G238" s="19">
        <v>38.184604999999998</v>
      </c>
      <c r="H238" s="19">
        <v>88359.175969999997</v>
      </c>
      <c r="I238" s="19">
        <v>58.586969000000003</v>
      </c>
      <c r="J238" s="19">
        <v>20.629489</v>
      </c>
      <c r="K238" s="19">
        <v>18.481442000000001</v>
      </c>
      <c r="L238" s="19">
        <v>62.222625000000001</v>
      </c>
      <c r="M238" s="19">
        <v>35.547671999999999</v>
      </c>
      <c r="N238" s="19">
        <v>14.769664000000001</v>
      </c>
      <c r="O238" s="19">
        <v>8.3069009999999999</v>
      </c>
      <c r="P238" s="19">
        <v>37.040829000000002</v>
      </c>
      <c r="Q238" s="19">
        <v>231.47491299999999</v>
      </c>
      <c r="R238" s="19">
        <v>239.08096499999999</v>
      </c>
      <c r="S238" s="19">
        <v>1624.0431699999999</v>
      </c>
      <c r="T238" s="19">
        <v>1624.508098275722</v>
      </c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>
        <v>1.6295212429197579</v>
      </c>
      <c r="AQ238" s="19">
        <v>0.97004614817935142</v>
      </c>
      <c r="AR238" s="19"/>
      <c r="AS238" s="19"/>
      <c r="AT238" s="19"/>
      <c r="AU238" s="19">
        <v>0.9415701925143789</v>
      </c>
      <c r="AV238" s="19">
        <v>0.33154321277831011</v>
      </c>
      <c r="AW238" s="19">
        <v>0.29702125231778637</v>
      </c>
      <c r="AX238" s="19">
        <v>0.95968888817256215</v>
      </c>
      <c r="AY238" s="19">
        <v>0.39874010379195346</v>
      </c>
      <c r="AZ238" s="19">
        <v>0.22426336624377385</v>
      </c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spans="1:61" x14ac:dyDescent="0.55000000000000004">
      <c r="A239" s="19" t="s">
        <v>477</v>
      </c>
      <c r="B239" s="19" t="s">
        <v>478</v>
      </c>
      <c r="C239" s="19" t="s">
        <v>322</v>
      </c>
      <c r="D239" s="19" t="s">
        <v>9</v>
      </c>
      <c r="E239" s="19">
        <v>1990</v>
      </c>
      <c r="F239" s="19">
        <v>66.982638999999992</v>
      </c>
      <c r="G239" s="19">
        <v>58.220908999999999</v>
      </c>
      <c r="H239" s="19">
        <v>115859.60891</v>
      </c>
      <c r="I239" s="19">
        <v>78.498152000000005</v>
      </c>
      <c r="J239" s="19">
        <v>28.10314</v>
      </c>
      <c r="K239" s="19">
        <v>23.066562999999999</v>
      </c>
      <c r="L239" s="19">
        <v>78.831367</v>
      </c>
      <c r="M239" s="19">
        <v>57.894050999999997</v>
      </c>
      <c r="N239" s="19">
        <v>15.748029000000001</v>
      </c>
      <c r="O239" s="19">
        <v>13.994465999999999</v>
      </c>
      <c r="P239" s="19">
        <v>58.893267999999999</v>
      </c>
      <c r="Q239" s="19">
        <v>509.14200699999998</v>
      </c>
      <c r="R239" s="19">
        <v>823.21310600000004</v>
      </c>
      <c r="S239" s="19">
        <v>2531.528945</v>
      </c>
      <c r="T239" s="19">
        <v>2535.552822821327</v>
      </c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>
        <v>1.3540044007213972</v>
      </c>
      <c r="AQ239" s="19">
        <v>1.0115484112417414</v>
      </c>
      <c r="AR239" s="19"/>
      <c r="AS239" s="19"/>
      <c r="AT239" s="19"/>
      <c r="AU239" s="19">
        <v>0.99577306581528646</v>
      </c>
      <c r="AV239" s="19">
        <v>0.35649692590006715</v>
      </c>
      <c r="AW239" s="19">
        <v>0.29260640627987589</v>
      </c>
      <c r="AX239" s="19">
        <v>0.98303342582381403</v>
      </c>
      <c r="AY239" s="19">
        <v>0.26739947594689434</v>
      </c>
      <c r="AZ239" s="19">
        <v>0.23762420519778252</v>
      </c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spans="1:61" x14ac:dyDescent="0.55000000000000004">
      <c r="A240" s="19" t="s">
        <v>479</v>
      </c>
      <c r="B240" s="19" t="s">
        <v>480</v>
      </c>
      <c r="C240" s="19" t="s">
        <v>322</v>
      </c>
      <c r="D240" s="19" t="s">
        <v>9</v>
      </c>
      <c r="E240" s="19">
        <v>2125</v>
      </c>
      <c r="F240" s="19">
        <v>70.165559999999999</v>
      </c>
      <c r="G240" s="19">
        <v>45.650931999999997</v>
      </c>
      <c r="H240" s="19">
        <v>97008.230499999991</v>
      </c>
      <c r="I240" s="19">
        <v>53.749817</v>
      </c>
      <c r="J240" s="19">
        <v>22.235679999999999</v>
      </c>
      <c r="K240" s="19">
        <v>34.625447999999999</v>
      </c>
      <c r="L240" s="19">
        <v>65.701825999999997</v>
      </c>
      <c r="M240" s="19">
        <v>42.050778000000001</v>
      </c>
      <c r="N240" s="19">
        <v>14.181158</v>
      </c>
      <c r="O240" s="19">
        <v>21.060825000000001</v>
      </c>
      <c r="P240" s="19">
        <v>45.493057999999998</v>
      </c>
      <c r="Q240" s="19">
        <v>464.392763</v>
      </c>
      <c r="R240" s="19">
        <v>569.93195000000003</v>
      </c>
      <c r="S240" s="19">
        <v>2417.0408910000001</v>
      </c>
      <c r="T240" s="19">
        <v>2422.9816308691529</v>
      </c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>
        <v>1.4392220075594513</v>
      </c>
      <c r="AQ240" s="19">
        <v>0.99654171354048149</v>
      </c>
      <c r="AR240" s="19"/>
      <c r="AS240" s="19"/>
      <c r="AT240" s="19"/>
      <c r="AU240" s="19">
        <v>0.81808711069917606</v>
      </c>
      <c r="AV240" s="19">
        <v>0.33843321188668335</v>
      </c>
      <c r="AW240" s="19">
        <v>0.5270089144858775</v>
      </c>
      <c r="AX240" s="19">
        <v>0.92433395002815599</v>
      </c>
      <c r="AY240" s="19">
        <v>0.31172136197131439</v>
      </c>
      <c r="AZ240" s="19">
        <v>0.46294590704366373</v>
      </c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spans="1:61" x14ac:dyDescent="0.55000000000000004">
      <c r="A241" s="19" t="s">
        <v>481</v>
      </c>
      <c r="B241" s="19" t="s">
        <v>482</v>
      </c>
      <c r="C241" s="19" t="s">
        <v>322</v>
      </c>
      <c r="D241" s="19" t="s">
        <v>9</v>
      </c>
      <c r="E241" s="19">
        <v>2312</v>
      </c>
      <c r="F241" s="19">
        <v>67.966582000000002</v>
      </c>
      <c r="G241" s="19">
        <v>71.572357999999994</v>
      </c>
      <c r="H241" s="19">
        <v>165475.291696</v>
      </c>
      <c r="I241" s="19">
        <v>64.055869999999999</v>
      </c>
      <c r="J241" s="19">
        <v>16.64733</v>
      </c>
      <c r="K241" s="19">
        <v>32.987437999999997</v>
      </c>
      <c r="L241" s="19">
        <v>67.086590999999999</v>
      </c>
      <c r="M241" s="19">
        <v>38.812905000000001</v>
      </c>
      <c r="N241" s="19">
        <v>5.0378080000000001</v>
      </c>
      <c r="O241" s="19">
        <v>11.681334</v>
      </c>
      <c r="P241" s="19">
        <v>38.975593000000003</v>
      </c>
      <c r="Q241" s="19">
        <v>439.27969200000001</v>
      </c>
      <c r="R241" s="19">
        <v>53.932572999999998</v>
      </c>
      <c r="S241" s="19">
        <v>2214.2873800000002</v>
      </c>
      <c r="T241" s="19">
        <v>2216.0973269040046</v>
      </c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>
        <v>0.93732542666821184</v>
      </c>
      <c r="AQ241" s="19">
        <v>0.5445620919741111</v>
      </c>
      <c r="AR241" s="19"/>
      <c r="AS241" s="19"/>
      <c r="AT241" s="19"/>
      <c r="AU241" s="19">
        <v>0.9548237441368872</v>
      </c>
      <c r="AV241" s="19">
        <v>0.24814690613806864</v>
      </c>
      <c r="AW241" s="19">
        <v>0.49171432783043034</v>
      </c>
      <c r="AX241" s="19">
        <v>0.99582590058347531</v>
      </c>
      <c r="AY241" s="19">
        <v>0.12925545481758288</v>
      </c>
      <c r="AZ241" s="19">
        <v>0.29970894862330894</v>
      </c>
      <c r="BA241" s="19"/>
      <c r="BB241" s="19"/>
      <c r="BC241" s="19"/>
      <c r="BD241" s="19"/>
      <c r="BE241" s="19"/>
      <c r="BF241" s="19"/>
      <c r="BG241" s="19"/>
      <c r="BH241" s="19"/>
      <c r="BI241" s="19"/>
    </row>
    <row r="243" spans="1:61" s="12" customFormat="1" x14ac:dyDescent="0.55000000000000004">
      <c r="AO243" s="4" t="s">
        <v>318</v>
      </c>
      <c r="AP243" s="13">
        <f t="shared" ref="AP243:BI243" si="0">AVERAGE(AP2:AP241)</f>
        <v>1.2749581056715591</v>
      </c>
      <c r="AQ243" s="13">
        <f t="shared" si="0"/>
        <v>0.97140291569708082</v>
      </c>
      <c r="AR243" s="13">
        <f t="shared" si="0"/>
        <v>1.436960246042442</v>
      </c>
      <c r="AS243" s="13">
        <f t="shared" si="0"/>
        <v>1.0788361636526884</v>
      </c>
      <c r="AT243" s="13">
        <f t="shared" si="0"/>
        <v>1.154965495327066</v>
      </c>
      <c r="AU243" s="13">
        <f t="shared" si="0"/>
        <v>0.86028175088679215</v>
      </c>
      <c r="AV243" s="13">
        <f t="shared" si="0"/>
        <v>0.36013238169759076</v>
      </c>
      <c r="AW243" s="13">
        <f t="shared" si="0"/>
        <v>0.50659394953655101</v>
      </c>
      <c r="AX243" s="13">
        <f t="shared" si="0"/>
        <v>0.92594930174899859</v>
      </c>
      <c r="AY243" s="13">
        <f t="shared" si="0"/>
        <v>0.35050717329751779</v>
      </c>
      <c r="AZ243" s="13">
        <f t="shared" si="0"/>
        <v>0.32662568701620259</v>
      </c>
      <c r="BA243" s="13">
        <f t="shared" si="0"/>
        <v>0.59978978053517584</v>
      </c>
      <c r="BB243" s="13">
        <f t="shared" si="0"/>
        <v>0.23980412219821531</v>
      </c>
      <c r="BC243" s="13">
        <f t="shared" si="0"/>
        <v>0.89297452978867375</v>
      </c>
      <c r="BD243" s="13">
        <f t="shared" si="0"/>
        <v>0.72914930543914036</v>
      </c>
      <c r="BE243" s="13">
        <f t="shared" si="0"/>
        <v>0.56734116884971908</v>
      </c>
      <c r="BF243" s="13">
        <f t="shared" si="0"/>
        <v>0.51753213661616659</v>
      </c>
      <c r="BG243" s="13">
        <f t="shared" si="0"/>
        <v>0.78863390453123905</v>
      </c>
      <c r="BH243" s="13">
        <f t="shared" si="0"/>
        <v>0.40980499876486404</v>
      </c>
      <c r="BI243" s="13">
        <f t="shared" si="0"/>
        <v>0.62901712816097755</v>
      </c>
    </row>
    <row r="244" spans="1:61" s="12" customFormat="1" x14ac:dyDescent="0.55000000000000004">
      <c r="AO244" s="4" t="s">
        <v>319</v>
      </c>
      <c r="AP244" s="13">
        <f>_xlfn.STDEV.S(AP2:AP241)</f>
        <v>0.51840162349638963</v>
      </c>
      <c r="AQ244" s="13">
        <f t="shared" ref="AQ244:BI244" si="1">_xlfn.STDEV.S(AQ2:AQ241)</f>
        <v>0.23806489784929721</v>
      </c>
      <c r="AR244" s="13">
        <f t="shared" si="1"/>
        <v>0.43634103390851242</v>
      </c>
      <c r="AS244" s="13">
        <f t="shared" si="1"/>
        <v>0.35080687534636645</v>
      </c>
      <c r="AT244" s="13">
        <f t="shared" si="1"/>
        <v>0.29403288225742696</v>
      </c>
      <c r="AU244" s="13">
        <f t="shared" si="1"/>
        <v>0.10334395365971676</v>
      </c>
      <c r="AV244" s="13">
        <f t="shared" si="1"/>
        <v>0.16380365267130162</v>
      </c>
      <c r="AW244" s="13">
        <f t="shared" si="1"/>
        <v>0.14250087750633014</v>
      </c>
      <c r="AX244" s="13">
        <f t="shared" si="1"/>
        <v>4.6386776237796939E-2</v>
      </c>
      <c r="AY244" s="13">
        <f t="shared" si="1"/>
        <v>9.1147661612675651E-2</v>
      </c>
      <c r="AZ244" s="13">
        <f t="shared" si="1"/>
        <v>0.11994233374950858</v>
      </c>
      <c r="BA244" s="13">
        <f t="shared" si="1"/>
        <v>0.15940714090055191</v>
      </c>
      <c r="BB244" s="13">
        <f t="shared" si="1"/>
        <v>0.10431763000555701</v>
      </c>
      <c r="BC244" s="13">
        <f t="shared" si="1"/>
        <v>6.1091260892942152E-2</v>
      </c>
      <c r="BD244" s="13">
        <f t="shared" si="1"/>
        <v>0.1570735539375267</v>
      </c>
      <c r="BE244" s="13">
        <f t="shared" si="1"/>
        <v>0.15739636397209991</v>
      </c>
      <c r="BF244" s="13">
        <f t="shared" si="1"/>
        <v>0.23670982016622219</v>
      </c>
      <c r="BG244" s="13">
        <f t="shared" si="1"/>
        <v>8.4358637130423339E-2</v>
      </c>
      <c r="BH244" s="13">
        <f t="shared" si="1"/>
        <v>8.7715882647443857E-2</v>
      </c>
      <c r="BI244" s="13">
        <f t="shared" si="1"/>
        <v>0.12425068168429737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25"/>
  <sheetViews>
    <sheetView workbookViewId="0">
      <selection sqref="A1:A1048576"/>
    </sheetView>
  </sheetViews>
  <sheetFormatPr defaultRowHeight="14.4" x14ac:dyDescent="0.55000000000000004"/>
  <cols>
    <col min="1" max="1" width="8.68359375" customWidth="1"/>
    <col min="2" max="2" width="23.20703125" customWidth="1"/>
    <col min="3" max="3" width="11.1015625" customWidth="1"/>
    <col min="4" max="4" width="7.83984375" customWidth="1"/>
    <col min="5" max="5" width="20.20703125" customWidth="1"/>
    <col min="6" max="6" width="13.9453125" customWidth="1"/>
    <col min="7" max="7" width="15.26171875" customWidth="1"/>
    <col min="8" max="8" width="15.68359375" customWidth="1"/>
    <col min="9" max="10" width="21.15625" customWidth="1"/>
    <col min="11" max="11" width="21.20703125" customWidth="1"/>
    <col min="12" max="12" width="21.62890625" customWidth="1"/>
    <col min="13" max="14" width="21.5234375" customWidth="1"/>
    <col min="15" max="15" width="21.578125" customWidth="1"/>
    <col min="16" max="16" width="22" customWidth="1"/>
    <col min="17" max="17" width="26.68359375" customWidth="1"/>
    <col min="18" max="18" width="37.578125" customWidth="1"/>
    <col min="19" max="19" width="33.47265625" customWidth="1"/>
    <col min="20" max="20" width="27.20703125" customWidth="1"/>
    <col min="21" max="22" width="24.9453125" customWidth="1"/>
    <col min="23" max="23" width="25" customWidth="1"/>
    <col min="24" max="24" width="25.41796875" customWidth="1"/>
    <col min="25" max="26" width="25.3125" customWidth="1"/>
    <col min="27" max="27" width="25.3671875" customWidth="1"/>
    <col min="28" max="28" width="25.7890625" customWidth="1"/>
    <col min="29" max="30" width="25.20703125" customWidth="1"/>
    <col min="31" max="31" width="25.26171875" customWidth="1"/>
    <col min="32" max="32" width="25.68359375" customWidth="1"/>
    <col min="33" max="33" width="30.5234375" customWidth="1"/>
    <col min="34" max="34" width="41.3671875" customWidth="1"/>
    <col min="35" max="35" width="37.26171875" customWidth="1"/>
    <col min="36" max="36" width="31" customWidth="1"/>
    <col min="37" max="37" width="27.20703125" customWidth="1"/>
    <col min="38" max="38" width="38.05078125" customWidth="1"/>
    <col min="39" max="39" width="33.9453125" customWidth="1"/>
    <col min="40" max="40" width="27.68359375" customWidth="1"/>
    <col min="41" max="41" width="7.15625" bestFit="1" customWidth="1"/>
    <col min="42" max="42" width="32.5234375" customWidth="1"/>
    <col min="43" max="43" width="32.89453125" customWidth="1"/>
    <col min="44" max="44" width="36.3125" customWidth="1"/>
    <col min="45" max="45" width="36.68359375" customWidth="1"/>
    <col min="46" max="46" width="36.62890625" customWidth="1"/>
    <col min="47" max="48" width="21.1015625" customWidth="1"/>
    <col min="49" max="49" width="21.15625" customWidth="1"/>
    <col min="50" max="51" width="21.83984375" customWidth="1"/>
    <col min="52" max="52" width="21.89453125" customWidth="1"/>
    <col min="53" max="54" width="24.89453125" customWidth="1"/>
    <col min="55" max="55" width="24.9453125" customWidth="1"/>
    <col min="56" max="58" width="25.68359375" customWidth="1"/>
    <col min="59" max="60" width="25.47265625" customWidth="1"/>
    <col min="61" max="61" width="25.5234375" customWidth="1"/>
  </cols>
  <sheetData>
    <row r="1" spans="1:61" s="20" customFormat="1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1125</v>
      </c>
      <c r="F1" s="4" t="s">
        <v>4</v>
      </c>
      <c r="G1" s="4" t="s">
        <v>5</v>
      </c>
      <c r="H1" s="4" t="s">
        <v>1138</v>
      </c>
      <c r="I1" s="4" t="s">
        <v>566</v>
      </c>
      <c r="J1" s="4" t="s">
        <v>567</v>
      </c>
      <c r="K1" s="4" t="s">
        <v>568</v>
      </c>
      <c r="L1" s="4" t="s">
        <v>569</v>
      </c>
      <c r="M1" s="4" t="s">
        <v>570</v>
      </c>
      <c r="N1" s="4" t="s">
        <v>571</v>
      </c>
      <c r="O1" s="4" t="s">
        <v>572</v>
      </c>
      <c r="P1" s="4" t="s">
        <v>573</v>
      </c>
      <c r="Q1" s="4" t="s">
        <v>1126</v>
      </c>
      <c r="R1" s="4" t="s">
        <v>1129</v>
      </c>
      <c r="S1" s="4" t="s">
        <v>1130</v>
      </c>
      <c r="T1" s="4" t="s">
        <v>1135</v>
      </c>
      <c r="U1" s="4" t="s">
        <v>574</v>
      </c>
      <c r="V1" s="4" t="s">
        <v>575</v>
      </c>
      <c r="W1" s="4" t="s">
        <v>576</v>
      </c>
      <c r="X1" s="4" t="s">
        <v>577</v>
      </c>
      <c r="Y1" s="4" t="s">
        <v>578</v>
      </c>
      <c r="Z1" s="4" t="s">
        <v>579</v>
      </c>
      <c r="AA1" s="4" t="s">
        <v>580</v>
      </c>
      <c r="AB1" s="4" t="s">
        <v>581</v>
      </c>
      <c r="AC1" s="4" t="s">
        <v>582</v>
      </c>
      <c r="AD1" s="4" t="s">
        <v>583</v>
      </c>
      <c r="AE1" s="4" t="s">
        <v>584</v>
      </c>
      <c r="AF1" s="4" t="s">
        <v>585</v>
      </c>
      <c r="AG1" s="4" t="s">
        <v>1127</v>
      </c>
      <c r="AH1" s="4" t="s">
        <v>1131</v>
      </c>
      <c r="AI1" s="4" t="s">
        <v>1132</v>
      </c>
      <c r="AJ1" s="4" t="s">
        <v>1136</v>
      </c>
      <c r="AK1" s="4" t="s">
        <v>1128</v>
      </c>
      <c r="AL1" s="4" t="s">
        <v>1133</v>
      </c>
      <c r="AM1" s="4" t="s">
        <v>1134</v>
      </c>
      <c r="AN1" s="4" t="s">
        <v>1137</v>
      </c>
      <c r="AO1" s="4"/>
      <c r="AP1" s="4" t="s">
        <v>1077</v>
      </c>
      <c r="AQ1" s="4" t="s">
        <v>1078</v>
      </c>
      <c r="AR1" s="4" t="s">
        <v>1079</v>
      </c>
      <c r="AS1" s="4" t="s">
        <v>1080</v>
      </c>
      <c r="AT1" s="4" t="s">
        <v>1081</v>
      </c>
      <c r="AU1" s="4" t="s">
        <v>1082</v>
      </c>
      <c r="AV1" s="4" t="s">
        <v>1083</v>
      </c>
      <c r="AW1" s="4" t="s">
        <v>1084</v>
      </c>
      <c r="AX1" s="4" t="s">
        <v>1085</v>
      </c>
      <c r="AY1" s="4" t="s">
        <v>1086</v>
      </c>
      <c r="AZ1" s="4" t="s">
        <v>1087</v>
      </c>
      <c r="BA1" s="4" t="s">
        <v>1088</v>
      </c>
      <c r="BB1" s="4" t="s">
        <v>1089</v>
      </c>
      <c r="BC1" s="4" t="s">
        <v>1090</v>
      </c>
      <c r="BD1" s="4" t="s">
        <v>1091</v>
      </c>
      <c r="BE1" s="4" t="s">
        <v>1092</v>
      </c>
      <c r="BF1" s="4" t="s">
        <v>1093</v>
      </c>
      <c r="BG1" s="4" t="s">
        <v>1094</v>
      </c>
      <c r="BH1" s="4" t="s">
        <v>1095</v>
      </c>
      <c r="BI1" s="4" t="s">
        <v>1096</v>
      </c>
    </row>
    <row r="2" spans="1:61" x14ac:dyDescent="0.55000000000000004">
      <c r="A2" s="19" t="s">
        <v>483</v>
      </c>
      <c r="B2" s="19" t="s">
        <v>484</v>
      </c>
      <c r="C2" s="19" t="s">
        <v>485</v>
      </c>
      <c r="D2" s="19" t="s">
        <v>9</v>
      </c>
      <c r="E2" s="19">
        <v>2025</v>
      </c>
      <c r="F2" s="19">
        <v>70.995499999999993</v>
      </c>
      <c r="G2" s="19">
        <v>37.124400000000001</v>
      </c>
      <c r="H2" s="19">
        <v>75176.91</v>
      </c>
      <c r="I2" s="19">
        <v>76.360399999999998</v>
      </c>
      <c r="J2" s="19">
        <v>13.8222</v>
      </c>
      <c r="K2" s="19">
        <v>27.2239</v>
      </c>
      <c r="L2" s="19">
        <v>81.139700000000005</v>
      </c>
      <c r="M2" s="19">
        <v>45.513399999999997</v>
      </c>
      <c r="N2" s="19">
        <v>14.340299999999999</v>
      </c>
      <c r="O2" s="19">
        <v>13.388</v>
      </c>
      <c r="P2" s="19">
        <v>48.569299999999998</v>
      </c>
      <c r="Q2" s="19">
        <v>472.83519999999999</v>
      </c>
      <c r="R2" s="19">
        <v>954.11159999999995</v>
      </c>
      <c r="S2" s="19">
        <v>2002.4788000000001</v>
      </c>
      <c r="T2" s="19">
        <v>2029.0835188638737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>
        <v>2.1856164678755752</v>
      </c>
      <c r="AQ2" s="19">
        <v>1.3082851170658649</v>
      </c>
      <c r="AR2" s="19"/>
      <c r="AS2" s="19"/>
      <c r="AT2" s="19"/>
      <c r="AU2" s="19">
        <v>0.9410978842662715</v>
      </c>
      <c r="AV2" s="19">
        <v>0.17035064216407012</v>
      </c>
      <c r="AW2" s="19">
        <v>0.33551886437834993</v>
      </c>
      <c r="AX2" s="19">
        <v>0.93708165446073954</v>
      </c>
      <c r="AY2" s="19">
        <v>0.29525440967854177</v>
      </c>
      <c r="AZ2" s="19">
        <v>0.27564737395844702</v>
      </c>
      <c r="BA2" s="19"/>
      <c r="BB2" s="19"/>
      <c r="BC2" s="19"/>
      <c r="BD2" s="19"/>
      <c r="BE2" s="19"/>
      <c r="BF2" s="19"/>
      <c r="BG2" s="19"/>
      <c r="BH2" s="19"/>
      <c r="BI2" s="19"/>
    </row>
    <row r="3" spans="1:61" x14ac:dyDescent="0.55000000000000004">
      <c r="A3" s="19" t="s">
        <v>486</v>
      </c>
      <c r="B3" s="19" t="s">
        <v>484</v>
      </c>
      <c r="C3" s="19" t="s">
        <v>485</v>
      </c>
      <c r="D3" s="19" t="s">
        <v>9</v>
      </c>
      <c r="E3" s="19">
        <v>2040</v>
      </c>
      <c r="F3" s="19">
        <v>67.774200000000008</v>
      </c>
      <c r="G3" s="19">
        <v>36.331499999999998</v>
      </c>
      <c r="H3" s="19">
        <v>74116.259999999995</v>
      </c>
      <c r="I3" s="19">
        <v>62.319099999999999</v>
      </c>
      <c r="J3" s="19">
        <v>11.5395</v>
      </c>
      <c r="K3" s="19">
        <v>29.967400000000001</v>
      </c>
      <c r="L3" s="19">
        <v>69.541499999999999</v>
      </c>
      <c r="M3" s="19">
        <v>44.636200000000002</v>
      </c>
      <c r="N3" s="19">
        <v>18.033200000000001</v>
      </c>
      <c r="O3" s="19">
        <v>9.9215</v>
      </c>
      <c r="P3" s="19">
        <v>47.710500000000003</v>
      </c>
      <c r="Q3" s="19">
        <v>600.79319999999996</v>
      </c>
      <c r="R3" s="19">
        <v>29.355799999999999</v>
      </c>
      <c r="S3" s="19">
        <v>1941.0255</v>
      </c>
      <c r="T3" s="19">
        <v>1983.1781406020639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>
        <v>1.9140828206927873</v>
      </c>
      <c r="AQ3" s="19">
        <v>1.313199289872425</v>
      </c>
      <c r="AR3" s="19"/>
      <c r="AS3" s="19"/>
      <c r="AT3" s="19"/>
      <c r="AU3" s="19">
        <v>0.8961425911146581</v>
      </c>
      <c r="AV3" s="19">
        <v>0.16593688660727768</v>
      </c>
      <c r="AW3" s="19">
        <v>0.43092829461544546</v>
      </c>
      <c r="AX3" s="19">
        <v>0.93556345039351918</v>
      </c>
      <c r="AY3" s="19">
        <v>0.37797130610662222</v>
      </c>
      <c r="AZ3" s="19">
        <v>0.20795212793829448</v>
      </c>
      <c r="BA3" s="19"/>
      <c r="BB3" s="19"/>
      <c r="BC3" s="19"/>
      <c r="BD3" s="19"/>
      <c r="BE3" s="19"/>
      <c r="BF3" s="19"/>
      <c r="BG3" s="19"/>
      <c r="BH3" s="19"/>
      <c r="BI3" s="19"/>
    </row>
    <row r="4" spans="1:61" x14ac:dyDescent="0.55000000000000004">
      <c r="A4" s="19" t="s">
        <v>487</v>
      </c>
      <c r="B4" s="19" t="s">
        <v>488</v>
      </c>
      <c r="C4" s="19" t="s">
        <v>485</v>
      </c>
      <c r="D4" s="19" t="s">
        <v>9</v>
      </c>
      <c r="E4" s="19">
        <v>2216</v>
      </c>
      <c r="F4" s="19">
        <v>71.21714399999999</v>
      </c>
      <c r="G4" s="19">
        <v>30.291491000000001</v>
      </c>
      <c r="H4" s="19">
        <v>67125.944056000008</v>
      </c>
      <c r="I4" s="19">
        <v>87.306184000000002</v>
      </c>
      <c r="J4" s="19">
        <v>29.588899999999999</v>
      </c>
      <c r="K4" s="19">
        <v>25.399609000000002</v>
      </c>
      <c r="L4" s="19">
        <v>93.710933999999995</v>
      </c>
      <c r="M4" s="19">
        <v>42.826318999999998</v>
      </c>
      <c r="N4" s="19">
        <v>15.547338999999999</v>
      </c>
      <c r="O4" s="19">
        <v>15.946153000000001</v>
      </c>
      <c r="P4" s="19">
        <v>46.778931999999998</v>
      </c>
      <c r="Q4" s="19">
        <v>606.53304400000002</v>
      </c>
      <c r="R4" s="19">
        <v>158.38488100000001</v>
      </c>
      <c r="S4" s="19">
        <v>2525.9053290000002</v>
      </c>
      <c r="T4" s="19">
        <v>2555.6016581181111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>
        <v>3.0936388704009317</v>
      </c>
      <c r="AQ4" s="19">
        <v>1.5442928180722433</v>
      </c>
      <c r="AR4" s="19"/>
      <c r="AS4" s="19"/>
      <c r="AT4" s="19"/>
      <c r="AU4" s="19">
        <v>0.93165418669287836</v>
      </c>
      <c r="AV4" s="19">
        <v>0.31574650616543848</v>
      </c>
      <c r="AW4" s="19">
        <v>0.27104210699682069</v>
      </c>
      <c r="AX4" s="19">
        <v>0.91550441981018293</v>
      </c>
      <c r="AY4" s="19">
        <v>0.33235771607611736</v>
      </c>
      <c r="AZ4" s="19">
        <v>0.34088322067720572</v>
      </c>
      <c r="BA4" s="19"/>
      <c r="BB4" s="19"/>
      <c r="BC4" s="19"/>
      <c r="BD4" s="19"/>
      <c r="BE4" s="19"/>
      <c r="BF4" s="19"/>
      <c r="BG4" s="19"/>
      <c r="BH4" s="19"/>
      <c r="BI4" s="19"/>
    </row>
    <row r="5" spans="1:61" x14ac:dyDescent="0.55000000000000004">
      <c r="A5" s="19" t="s">
        <v>489</v>
      </c>
      <c r="B5" s="19" t="s">
        <v>490</v>
      </c>
      <c r="C5" s="19" t="s">
        <v>485</v>
      </c>
      <c r="D5" s="19" t="s">
        <v>9</v>
      </c>
      <c r="E5" s="19">
        <v>2010</v>
      </c>
      <c r="F5" s="19">
        <v>69.502419000000003</v>
      </c>
      <c r="G5" s="19">
        <v>35.270304000000003</v>
      </c>
      <c r="H5" s="19">
        <v>70893.311040000001</v>
      </c>
      <c r="I5" s="19">
        <v>38.012836999999998</v>
      </c>
      <c r="J5" s="19">
        <v>22.347404999999998</v>
      </c>
      <c r="K5" s="19">
        <v>18.028472000000001</v>
      </c>
      <c r="L5" s="19">
        <v>38.19097</v>
      </c>
      <c r="M5" s="19">
        <v>45.895344000000001</v>
      </c>
      <c r="N5" s="19">
        <v>19.441641000000001</v>
      </c>
      <c r="O5" s="19">
        <v>9.2099469999999997</v>
      </c>
      <c r="P5" s="19">
        <v>48.581339</v>
      </c>
      <c r="Q5" s="19">
        <v>306.92589700000002</v>
      </c>
      <c r="R5" s="19">
        <v>41.833123999999998</v>
      </c>
      <c r="S5" s="19">
        <v>1422.7804639999999</v>
      </c>
      <c r="T5" s="19">
        <v>1422.9116808072752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>
        <v>1.0828080755981009</v>
      </c>
      <c r="AQ5" s="19">
        <v>1.3774006314206988</v>
      </c>
      <c r="AR5" s="19"/>
      <c r="AS5" s="19"/>
      <c r="AT5" s="19"/>
      <c r="AU5" s="19">
        <v>0.99533572988588659</v>
      </c>
      <c r="AV5" s="19">
        <v>0.5851489239472053</v>
      </c>
      <c r="AW5" s="19">
        <v>0.47206111811247531</v>
      </c>
      <c r="AX5" s="19">
        <v>0.94471138393283072</v>
      </c>
      <c r="AY5" s="19">
        <v>0.40018742587560219</v>
      </c>
      <c r="AZ5" s="19">
        <v>0.18957787474733867</v>
      </c>
      <c r="BA5" s="19"/>
      <c r="BB5" s="19"/>
      <c r="BC5" s="19"/>
      <c r="BD5" s="19"/>
      <c r="BE5" s="19"/>
      <c r="BF5" s="19"/>
      <c r="BG5" s="19"/>
      <c r="BH5" s="19"/>
      <c r="BI5" s="19"/>
    </row>
    <row r="6" spans="1:61" x14ac:dyDescent="0.55000000000000004">
      <c r="A6" s="19" t="s">
        <v>491</v>
      </c>
      <c r="B6" s="19" t="s">
        <v>490</v>
      </c>
      <c r="C6" s="19" t="s">
        <v>485</v>
      </c>
      <c r="D6" s="19" t="s">
        <v>9</v>
      </c>
      <c r="E6" s="19">
        <v>2014</v>
      </c>
      <c r="F6" s="19">
        <v>70.359946999999991</v>
      </c>
      <c r="G6" s="19">
        <v>38.042565000000003</v>
      </c>
      <c r="H6" s="19">
        <v>76617.725910000008</v>
      </c>
      <c r="I6" s="19">
        <v>37.430151000000002</v>
      </c>
      <c r="J6" s="19">
        <v>23.094273999999999</v>
      </c>
      <c r="K6" s="19">
        <v>20.023651999999998</v>
      </c>
      <c r="L6" s="19">
        <v>40.562846</v>
      </c>
      <c r="M6" s="19">
        <v>48.055655000000002</v>
      </c>
      <c r="N6" s="19">
        <v>22.167525000000001</v>
      </c>
      <c r="O6" s="19">
        <v>9.5946219999999993</v>
      </c>
      <c r="P6" s="19">
        <v>52.776651000000001</v>
      </c>
      <c r="Q6" s="19">
        <v>349.387315</v>
      </c>
      <c r="R6" s="19">
        <v>30.143274999999999</v>
      </c>
      <c r="S6" s="19">
        <v>1275.986046</v>
      </c>
      <c r="T6" s="19">
        <v>1282.9400570737271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>
        <v>1.0662489766397192</v>
      </c>
      <c r="AQ6" s="19">
        <v>1.3873052723968533</v>
      </c>
      <c r="AR6" s="19"/>
      <c r="AS6" s="19"/>
      <c r="AT6" s="19"/>
      <c r="AU6" s="19">
        <v>0.9227693490737805</v>
      </c>
      <c r="AV6" s="19">
        <v>0.5693455040112323</v>
      </c>
      <c r="AW6" s="19">
        <v>0.49364514511629676</v>
      </c>
      <c r="AX6" s="19">
        <v>0.91054763971287223</v>
      </c>
      <c r="AY6" s="19">
        <v>0.4200252304754995</v>
      </c>
      <c r="AZ6" s="19">
        <v>0.18179671915900839</v>
      </c>
      <c r="BA6" s="19"/>
      <c r="BB6" s="19"/>
      <c r="BC6" s="19"/>
      <c r="BD6" s="19"/>
      <c r="BE6" s="19"/>
      <c r="BF6" s="19"/>
      <c r="BG6" s="19"/>
      <c r="BH6" s="19"/>
      <c r="BI6" s="19"/>
    </row>
    <row r="7" spans="1:61" x14ac:dyDescent="0.55000000000000004">
      <c r="A7" s="19" t="s">
        <v>492</v>
      </c>
      <c r="B7" s="19" t="s">
        <v>493</v>
      </c>
      <c r="C7" s="19" t="s">
        <v>485</v>
      </c>
      <c r="D7" s="19" t="s">
        <v>9</v>
      </c>
      <c r="E7" s="19">
        <v>2026</v>
      </c>
      <c r="F7" s="19">
        <v>71.381330000000005</v>
      </c>
      <c r="G7" s="19">
        <v>45.811892</v>
      </c>
      <c r="H7" s="19">
        <v>92814.893192000003</v>
      </c>
      <c r="I7" s="19">
        <v>67.667760000000001</v>
      </c>
      <c r="J7" s="19">
        <v>18.624181</v>
      </c>
      <c r="K7" s="19">
        <v>27.459163</v>
      </c>
      <c r="L7" s="19">
        <v>71.765437000000006</v>
      </c>
      <c r="M7" s="19">
        <v>49.500664</v>
      </c>
      <c r="N7" s="19">
        <v>17.827558</v>
      </c>
      <c r="O7" s="19">
        <v>11.124912999999999</v>
      </c>
      <c r="P7" s="19">
        <v>50.969419000000002</v>
      </c>
      <c r="Q7" s="19">
        <v>552.03046500000005</v>
      </c>
      <c r="R7" s="19">
        <v>225.745474</v>
      </c>
      <c r="S7" s="19">
        <v>1989.0721590000001</v>
      </c>
      <c r="T7" s="19">
        <v>2003.4585046164359</v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>
        <v>1.5665241898326314</v>
      </c>
      <c r="AQ7" s="19">
        <v>1.1125805282174333</v>
      </c>
      <c r="AR7" s="19"/>
      <c r="AS7" s="19"/>
      <c r="AT7" s="19"/>
      <c r="AU7" s="19">
        <v>0.94290180383072142</v>
      </c>
      <c r="AV7" s="19">
        <v>0.25951463237101169</v>
      </c>
      <c r="AW7" s="19">
        <v>0.38262378308934419</v>
      </c>
      <c r="AX7" s="19">
        <v>0.97118360325041175</v>
      </c>
      <c r="AY7" s="19">
        <v>0.34976969229333377</v>
      </c>
      <c r="AZ7" s="19">
        <v>0.21826642756120093</v>
      </c>
      <c r="BA7" s="19"/>
      <c r="BB7" s="19"/>
      <c r="BC7" s="19"/>
      <c r="BD7" s="19"/>
      <c r="BE7" s="19"/>
      <c r="BF7" s="19"/>
      <c r="BG7" s="19"/>
      <c r="BH7" s="19"/>
      <c r="BI7" s="19"/>
    </row>
    <row r="8" spans="1:61" x14ac:dyDescent="0.55000000000000004">
      <c r="A8" s="19" t="s">
        <v>494</v>
      </c>
      <c r="B8" s="19" t="s">
        <v>495</v>
      </c>
      <c r="C8" s="19" t="s">
        <v>485</v>
      </c>
      <c r="D8" s="19" t="s">
        <v>9</v>
      </c>
      <c r="E8" s="19">
        <v>2056</v>
      </c>
      <c r="F8" s="19">
        <v>71.451756000000003</v>
      </c>
      <c r="G8" s="19">
        <v>38.629671999999999</v>
      </c>
      <c r="H8" s="19">
        <v>79422.605631999992</v>
      </c>
      <c r="I8" s="19">
        <v>78.046700000000001</v>
      </c>
      <c r="J8" s="19">
        <v>30.366161999999999</v>
      </c>
      <c r="K8" s="19">
        <v>25.001231000000001</v>
      </c>
      <c r="L8" s="19">
        <v>85.625711999999993</v>
      </c>
      <c r="M8" s="19">
        <v>40.253551000000002</v>
      </c>
      <c r="N8" s="19">
        <v>15.718310000000001</v>
      </c>
      <c r="O8" s="19">
        <v>15.354677000000001</v>
      </c>
      <c r="P8" s="19">
        <v>42.700009000000001</v>
      </c>
      <c r="Q8" s="19">
        <v>514.26245400000005</v>
      </c>
      <c r="R8" s="19">
        <v>238.746768</v>
      </c>
      <c r="S8" s="19">
        <v>1401.892126</v>
      </c>
      <c r="T8" s="19">
        <v>1402.9143559901938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>
        <v>2.2165787998407027</v>
      </c>
      <c r="AQ8" s="19">
        <v>1.1053681480909288</v>
      </c>
      <c r="AR8" s="19"/>
      <c r="AS8" s="19"/>
      <c r="AT8" s="19"/>
      <c r="AU8" s="19">
        <v>0.91148672725781255</v>
      </c>
      <c r="AV8" s="19">
        <v>0.35463835909475416</v>
      </c>
      <c r="AW8" s="19">
        <v>0.29198275162955728</v>
      </c>
      <c r="AX8" s="19">
        <v>0.94270591371538115</v>
      </c>
      <c r="AY8" s="19">
        <v>0.36811022686201306</v>
      </c>
      <c r="AZ8" s="19">
        <v>0.35959423334079393</v>
      </c>
      <c r="BA8" s="19"/>
      <c r="BB8" s="19"/>
      <c r="BC8" s="19"/>
      <c r="BD8" s="19"/>
      <c r="BE8" s="19"/>
      <c r="BF8" s="19"/>
      <c r="BG8" s="19"/>
      <c r="BH8" s="19"/>
      <c r="BI8" s="19"/>
    </row>
    <row r="9" spans="1:61" x14ac:dyDescent="0.55000000000000004">
      <c r="A9" s="19" t="s">
        <v>496</v>
      </c>
      <c r="B9" s="19" t="s">
        <v>497</v>
      </c>
      <c r="C9" s="19" t="s">
        <v>485</v>
      </c>
      <c r="D9" s="19" t="s">
        <v>9</v>
      </c>
      <c r="E9" s="19">
        <v>2028</v>
      </c>
      <c r="F9" s="19">
        <v>76.075042999999994</v>
      </c>
      <c r="G9" s="19">
        <v>35.726526</v>
      </c>
      <c r="H9" s="19">
        <v>72453.394727999999</v>
      </c>
      <c r="I9" s="19">
        <v>133.95677000000001</v>
      </c>
      <c r="J9" s="19">
        <v>14.580643999999999</v>
      </c>
      <c r="K9" s="19">
        <v>41.368861000000003</v>
      </c>
      <c r="L9" s="19">
        <v>140.64503999999999</v>
      </c>
      <c r="M9" s="19">
        <v>51.299075999999999</v>
      </c>
      <c r="N9" s="19">
        <v>18.269748</v>
      </c>
      <c r="O9" s="19">
        <v>15.136338</v>
      </c>
      <c r="P9" s="19">
        <v>54.028674000000002</v>
      </c>
      <c r="Q9" s="19">
        <v>1130.7547460000001</v>
      </c>
      <c r="R9" s="19">
        <v>672.06194600000003</v>
      </c>
      <c r="S9" s="19">
        <v>2012.4368139999999</v>
      </c>
      <c r="T9" s="19">
        <v>2236.7764985946492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>
        <v>3.9367118986044152</v>
      </c>
      <c r="AQ9" s="19">
        <v>1.5122845697339842</v>
      </c>
      <c r="AR9" s="19"/>
      <c r="AS9" s="19"/>
      <c r="AT9" s="19"/>
      <c r="AU9" s="19">
        <v>0.9524457456871569</v>
      </c>
      <c r="AV9" s="19">
        <v>0.10366980591708033</v>
      </c>
      <c r="AW9" s="19">
        <v>0.29413665067747857</v>
      </c>
      <c r="AX9" s="19">
        <v>0.94947871569085696</v>
      </c>
      <c r="AY9" s="19">
        <v>0.3381491094895277</v>
      </c>
      <c r="AZ9" s="19">
        <v>0.28015379389099943</v>
      </c>
      <c r="BA9" s="19"/>
      <c r="BB9" s="19"/>
      <c r="BC9" s="19"/>
      <c r="BD9" s="19"/>
      <c r="BE9" s="19"/>
      <c r="BF9" s="19"/>
      <c r="BG9" s="19"/>
      <c r="BH9" s="19"/>
      <c r="BI9" s="19"/>
    </row>
    <row r="10" spans="1:61" x14ac:dyDescent="0.55000000000000004">
      <c r="A10" s="19" t="s">
        <v>498</v>
      </c>
      <c r="B10" s="19" t="s">
        <v>499</v>
      </c>
      <c r="C10" s="19" t="s">
        <v>485</v>
      </c>
      <c r="D10" s="19" t="s">
        <v>9</v>
      </c>
      <c r="E10" s="19">
        <v>2120</v>
      </c>
      <c r="F10" s="19">
        <v>71.251920999999996</v>
      </c>
      <c r="G10" s="19">
        <v>32.824654000000002</v>
      </c>
      <c r="H10" s="19">
        <v>69588.266480000006</v>
      </c>
      <c r="I10" s="19">
        <v>46.631498999999998</v>
      </c>
      <c r="J10" s="19">
        <v>8.4892000000000003</v>
      </c>
      <c r="K10" s="19">
        <v>20.758258999999999</v>
      </c>
      <c r="L10" s="19">
        <v>50.375413999999999</v>
      </c>
      <c r="M10" s="19">
        <v>33.460979000000002</v>
      </c>
      <c r="N10" s="19">
        <v>11.781508000000001</v>
      </c>
      <c r="O10" s="19">
        <v>9.3509869999999999</v>
      </c>
      <c r="P10" s="19">
        <v>34.059043000000003</v>
      </c>
      <c r="Q10" s="19">
        <v>488.402873</v>
      </c>
      <c r="R10" s="19">
        <v>43.134472000000002</v>
      </c>
      <c r="S10" s="19">
        <v>968.35729900000001</v>
      </c>
      <c r="T10" s="19">
        <v>1008.8094161076949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>
        <v>1.5346822543811123</v>
      </c>
      <c r="AQ10" s="19">
        <v>1.0376055449053629</v>
      </c>
      <c r="AR10" s="19"/>
      <c r="AS10" s="19"/>
      <c r="AT10" s="19"/>
      <c r="AU10" s="19">
        <v>0.9256797174907585</v>
      </c>
      <c r="AV10" s="19">
        <v>0.16851871430773752</v>
      </c>
      <c r="AW10" s="19">
        <v>0.41207123379670885</v>
      </c>
      <c r="AX10" s="19">
        <v>0.98244037567350317</v>
      </c>
      <c r="AY10" s="19">
        <v>0.34591424074951255</v>
      </c>
      <c r="AZ10" s="19">
        <v>0.27455225327382216</v>
      </c>
      <c r="BA10" s="19"/>
      <c r="BB10" s="19"/>
      <c r="BC10" s="19"/>
      <c r="BD10" s="19"/>
      <c r="BE10" s="19"/>
      <c r="BF10" s="19"/>
      <c r="BG10" s="19"/>
      <c r="BH10" s="19"/>
      <c r="BI10" s="19"/>
    </row>
    <row r="11" spans="1:61" x14ac:dyDescent="0.55000000000000004">
      <c r="A11" s="19" t="s">
        <v>500</v>
      </c>
      <c r="B11" s="19" t="s">
        <v>501</v>
      </c>
      <c r="C11" s="19" t="s">
        <v>485</v>
      </c>
      <c r="D11" s="19" t="s">
        <v>9</v>
      </c>
      <c r="E11" s="19">
        <v>2162</v>
      </c>
      <c r="F11" s="19">
        <v>73.154695000000004</v>
      </c>
      <c r="G11" s="19">
        <v>36.332487</v>
      </c>
      <c r="H11" s="19">
        <v>78550.836894000007</v>
      </c>
      <c r="I11" s="19">
        <v>50.101208</v>
      </c>
      <c r="J11" s="19">
        <v>14.739330000000001</v>
      </c>
      <c r="K11" s="19">
        <v>28.830095</v>
      </c>
      <c r="L11" s="19">
        <v>56.498432000000001</v>
      </c>
      <c r="M11" s="19">
        <v>39.609479999999998</v>
      </c>
      <c r="N11" s="19">
        <v>13.890496000000001</v>
      </c>
      <c r="O11" s="19">
        <v>16.426583999999998</v>
      </c>
      <c r="P11" s="19">
        <v>41.831843999999997</v>
      </c>
      <c r="Q11" s="19">
        <v>552.07165599999996</v>
      </c>
      <c r="R11" s="19">
        <v>618.70543799999996</v>
      </c>
      <c r="S11" s="19">
        <v>1178.1046100000001</v>
      </c>
      <c r="T11" s="19">
        <v>1206.3140099455334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>
        <v>1.5550389380170975</v>
      </c>
      <c r="AQ11" s="19">
        <v>1.1513619753032596</v>
      </c>
      <c r="AR11" s="19"/>
      <c r="AS11" s="19"/>
      <c r="AT11" s="19"/>
      <c r="AU11" s="19">
        <v>0.88677165412307368</v>
      </c>
      <c r="AV11" s="19">
        <v>0.26088033735166316</v>
      </c>
      <c r="AW11" s="19">
        <v>0.51028132957742967</v>
      </c>
      <c r="AX11" s="19">
        <v>0.94687386958126929</v>
      </c>
      <c r="AY11" s="19">
        <v>0.33205555079044569</v>
      </c>
      <c r="AZ11" s="19">
        <v>0.39268132669456313</v>
      </c>
      <c r="BA11" s="19"/>
      <c r="BB11" s="19"/>
      <c r="BC11" s="19"/>
      <c r="BD11" s="19"/>
      <c r="BE11" s="19"/>
      <c r="BF11" s="19"/>
      <c r="BG11" s="19"/>
      <c r="BH11" s="19"/>
      <c r="BI11" s="19"/>
    </row>
    <row r="12" spans="1:61" x14ac:dyDescent="0.55000000000000004">
      <c r="A12" s="19" t="s">
        <v>502</v>
      </c>
      <c r="B12" s="19" t="s">
        <v>503</v>
      </c>
      <c r="C12" s="19" t="s">
        <v>485</v>
      </c>
      <c r="D12" s="19" t="s">
        <v>9</v>
      </c>
      <c r="E12" s="19">
        <v>2146</v>
      </c>
      <c r="F12" s="19">
        <v>70.350472999999994</v>
      </c>
      <c r="G12" s="19">
        <v>36.041587999999997</v>
      </c>
      <c r="H12" s="19">
        <v>77345.247847999999</v>
      </c>
      <c r="I12" s="19">
        <v>38.06682</v>
      </c>
      <c r="J12" s="19">
        <v>27.756983999999999</v>
      </c>
      <c r="K12" s="19">
        <v>30.570376</v>
      </c>
      <c r="L12" s="19">
        <v>53.899169000000001</v>
      </c>
      <c r="M12" s="19">
        <v>42.927129000000001</v>
      </c>
      <c r="N12" s="19">
        <v>18.333320000000001</v>
      </c>
      <c r="O12" s="19">
        <v>20.627483999999999</v>
      </c>
      <c r="P12" s="19">
        <v>47.754998000000001</v>
      </c>
      <c r="Q12" s="19">
        <v>543.56421799999998</v>
      </c>
      <c r="R12" s="19">
        <v>824.50718600000005</v>
      </c>
      <c r="S12" s="19">
        <v>1337.980591</v>
      </c>
      <c r="T12" s="19">
        <v>1439.0736477286082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>
        <v>1.4954715369367189</v>
      </c>
      <c r="AQ12" s="19">
        <v>1.3249970561785458</v>
      </c>
      <c r="AR12" s="19"/>
      <c r="AS12" s="19"/>
      <c r="AT12" s="19"/>
      <c r="AU12" s="19">
        <v>0.70625986831077114</v>
      </c>
      <c r="AV12" s="19">
        <v>0.51497981351066835</v>
      </c>
      <c r="AW12" s="19">
        <v>0.56717713031902217</v>
      </c>
      <c r="AX12" s="19">
        <v>0.89890337761086281</v>
      </c>
      <c r="AY12" s="19">
        <v>0.38390369108590477</v>
      </c>
      <c r="AZ12" s="19">
        <v>0.4319439820728293</v>
      </c>
      <c r="BA12" s="19"/>
      <c r="BB12" s="19"/>
      <c r="BC12" s="19"/>
      <c r="BD12" s="19"/>
      <c r="BE12" s="19"/>
      <c r="BF12" s="19"/>
      <c r="BG12" s="19"/>
      <c r="BH12" s="19"/>
      <c r="BI12" s="19"/>
    </row>
    <row r="13" spans="1:61" x14ac:dyDescent="0.55000000000000004">
      <c r="A13" s="19" t="s">
        <v>811</v>
      </c>
      <c r="B13" s="19" t="s">
        <v>812</v>
      </c>
      <c r="C13" s="19" t="s">
        <v>485</v>
      </c>
      <c r="D13" s="19" t="s">
        <v>9</v>
      </c>
      <c r="E13" s="19">
        <v>2254</v>
      </c>
      <c r="F13" s="19">
        <v>68.325064192980022</v>
      </c>
      <c r="G13" s="19">
        <v>29.934559438563454</v>
      </c>
      <c r="H13" s="19">
        <v>67472.49697452203</v>
      </c>
      <c r="I13" s="19">
        <v>45.975332091489008</v>
      </c>
      <c r="J13" s="19">
        <v>7.1115579441584202</v>
      </c>
      <c r="K13" s="19">
        <v>11.142165088169907</v>
      </c>
      <c r="L13" s="19">
        <v>47.188799547207687</v>
      </c>
      <c r="M13" s="19">
        <v>36.86042628516622</v>
      </c>
      <c r="N13" s="19">
        <v>9.9251437373244844</v>
      </c>
      <c r="O13" s="19">
        <v>8.2625908076267542</v>
      </c>
      <c r="P13" s="19">
        <v>37.371194836972272</v>
      </c>
      <c r="Q13" s="19">
        <v>527.43384168181888</v>
      </c>
      <c r="R13" s="19">
        <v>88.71883594855062</v>
      </c>
      <c r="S13" s="19">
        <v>718.18986768410764</v>
      </c>
      <c r="T13" s="19">
        <v>866.45103127173979</v>
      </c>
      <c r="U13" s="19">
        <v>93.410600285096365</v>
      </c>
      <c r="V13" s="19">
        <v>9.7293085051985031</v>
      </c>
      <c r="W13" s="19">
        <v>74.350827297003335</v>
      </c>
      <c r="X13" s="19">
        <v>101.09277674843518</v>
      </c>
      <c r="Y13" s="19">
        <v>36.335634551208585</v>
      </c>
      <c r="Z13" s="19">
        <v>18.964942720794596</v>
      </c>
      <c r="AA13" s="19">
        <v>16.323456505836091</v>
      </c>
      <c r="AB13" s="19">
        <v>42.270802265545768</v>
      </c>
      <c r="AC13" s="19">
        <v>36.829249316077785</v>
      </c>
      <c r="AD13" s="19">
        <v>9.2059317233693143</v>
      </c>
      <c r="AE13" s="19">
        <v>28.297490195476279</v>
      </c>
      <c r="AF13" s="19">
        <v>42.426223504112144</v>
      </c>
      <c r="AG13" s="19">
        <v>1323.3509843784329</v>
      </c>
      <c r="AH13" s="19">
        <v>706.49940060882432</v>
      </c>
      <c r="AI13" s="19">
        <v>2730.0219050404089</v>
      </c>
      <c r="AJ13" s="19">
        <v>3013.231888030346</v>
      </c>
      <c r="AK13" s="19">
        <v>1351.1464193694942</v>
      </c>
      <c r="AL13" s="19">
        <v>2659.4207033259249</v>
      </c>
      <c r="AM13" s="19">
        <v>550.58841199010863</v>
      </c>
      <c r="AN13" s="19">
        <v>2695.0991443113662</v>
      </c>
      <c r="AO13" s="19"/>
      <c r="AP13" s="19">
        <v>1.5763986653638975</v>
      </c>
      <c r="AQ13" s="19">
        <v>1.248429759378002</v>
      </c>
      <c r="AR13" s="19">
        <v>3.3771259255013972</v>
      </c>
      <c r="AS13" s="19">
        <v>1.4121070447788198</v>
      </c>
      <c r="AT13" s="19">
        <v>1.4172990783841701</v>
      </c>
      <c r="AU13" s="19">
        <v>0.9742848415860903</v>
      </c>
      <c r="AV13" s="19">
        <v>0.15070436231470596</v>
      </c>
      <c r="AW13" s="19">
        <v>0.23611885013144449</v>
      </c>
      <c r="AX13" s="19">
        <v>0.98633256030388583</v>
      </c>
      <c r="AY13" s="19">
        <v>0.26558272435820779</v>
      </c>
      <c r="AZ13" s="19">
        <v>0.22109517353328942</v>
      </c>
      <c r="BA13" s="19">
        <v>0.92400865115758402</v>
      </c>
      <c r="BB13" s="19">
        <v>9.624138161136328E-2</v>
      </c>
      <c r="BC13" s="19">
        <v>0.73547121454604036</v>
      </c>
      <c r="BD13" s="19">
        <v>0.85959178922007728</v>
      </c>
      <c r="BE13" s="19">
        <v>0.44865348430475871</v>
      </c>
      <c r="BF13" s="19">
        <v>0.38616386798840274</v>
      </c>
      <c r="BG13" s="19">
        <v>0.86807748308090926</v>
      </c>
      <c r="BH13" s="19">
        <v>0.21698682944233849</v>
      </c>
      <c r="BI13" s="19">
        <v>0.66698112295414547</v>
      </c>
    </row>
    <row r="14" spans="1:61" x14ac:dyDescent="0.55000000000000004">
      <c r="A14" s="19" t="s">
        <v>813</v>
      </c>
      <c r="B14" s="19" t="s">
        <v>814</v>
      </c>
      <c r="C14" s="19" t="s">
        <v>485</v>
      </c>
      <c r="D14" s="19" t="s">
        <v>9</v>
      </c>
      <c r="E14" s="19">
        <v>2244</v>
      </c>
      <c r="F14" s="19">
        <v>67.166364506085273</v>
      </c>
      <c r="G14" s="19">
        <v>32.521814191008382</v>
      </c>
      <c r="H14" s="19">
        <v>72978.951044622809</v>
      </c>
      <c r="I14" s="19">
        <v>35.415401173017628</v>
      </c>
      <c r="J14" s="19">
        <v>19.912316966515505</v>
      </c>
      <c r="K14" s="19">
        <v>22.26699859330655</v>
      </c>
      <c r="L14" s="19">
        <v>43.86622449604706</v>
      </c>
      <c r="M14" s="19">
        <v>40.494536592109455</v>
      </c>
      <c r="N14" s="19">
        <v>18.544325545232578</v>
      </c>
      <c r="O14" s="19">
        <v>10.306455720098638</v>
      </c>
      <c r="P14" s="19">
        <v>45.343906369861614</v>
      </c>
      <c r="Q14" s="19">
        <v>406.83875665788145</v>
      </c>
      <c r="R14" s="19">
        <v>244.30455939077856</v>
      </c>
      <c r="S14" s="19">
        <v>864.91177434175177</v>
      </c>
      <c r="T14" s="19">
        <v>895.66843084966661</v>
      </c>
      <c r="U14" s="19">
        <v>45.232414275972459</v>
      </c>
      <c r="V14" s="19">
        <v>7.3289998284707494</v>
      </c>
      <c r="W14" s="19">
        <v>85.476907202399346</v>
      </c>
      <c r="X14" s="19">
        <v>92.625706392874378</v>
      </c>
      <c r="Y14" s="19">
        <v>47.792293667562731</v>
      </c>
      <c r="Z14" s="19">
        <v>13.015667511618059</v>
      </c>
      <c r="AA14" s="19">
        <v>17.960639298684782</v>
      </c>
      <c r="AB14" s="19">
        <v>51.07710656754027</v>
      </c>
      <c r="AC14" s="19">
        <v>32.747031186612084</v>
      </c>
      <c r="AD14" s="19">
        <v>12.690496543461416</v>
      </c>
      <c r="AE14" s="19">
        <v>29.185379083294226</v>
      </c>
      <c r="AF14" s="19">
        <v>42.814211370697301</v>
      </c>
      <c r="AG14" s="19">
        <v>1221.2201621141403</v>
      </c>
      <c r="AH14" s="19">
        <v>564.67598264298056</v>
      </c>
      <c r="AI14" s="19">
        <v>3110.3526009780371</v>
      </c>
      <c r="AJ14" s="19">
        <v>3333.2283862370591</v>
      </c>
      <c r="AK14" s="19">
        <v>2296.7557140045456</v>
      </c>
      <c r="AL14" s="19">
        <v>421.39327429907894</v>
      </c>
      <c r="AM14" s="19">
        <v>2124.3983715778977</v>
      </c>
      <c r="AN14" s="19">
        <v>2570.1725646535369</v>
      </c>
      <c r="AO14" s="19"/>
      <c r="AP14" s="19">
        <v>1.3488246454644335</v>
      </c>
      <c r="AQ14" s="19">
        <v>1.3942612827053873</v>
      </c>
      <c r="AR14" s="19">
        <v>2.8481100669495705</v>
      </c>
      <c r="AS14" s="19">
        <v>1.5705491172033708</v>
      </c>
      <c r="AT14" s="19">
        <v>1.3164767229539907</v>
      </c>
      <c r="AU14" s="19">
        <v>0.80735011001936208</v>
      </c>
      <c r="AV14" s="19">
        <v>0.45393277391150622</v>
      </c>
      <c r="AW14" s="19">
        <v>0.50761146757257647</v>
      </c>
      <c r="AX14" s="19">
        <v>0.89305355083003279</v>
      </c>
      <c r="AY14" s="19">
        <v>0.40897062096878123</v>
      </c>
      <c r="AZ14" s="19">
        <v>0.22729527615090858</v>
      </c>
      <c r="BA14" s="19">
        <v>0.48833543124754136</v>
      </c>
      <c r="BB14" s="19">
        <v>7.9124900784935476E-2</v>
      </c>
      <c r="BC14" s="19">
        <v>0.92282057034843856</v>
      </c>
      <c r="BD14" s="19">
        <v>0.93568913509942142</v>
      </c>
      <c r="BE14" s="19">
        <v>0.25482390030075769</v>
      </c>
      <c r="BF14" s="19">
        <v>0.35163775917758916</v>
      </c>
      <c r="BG14" s="19">
        <v>0.76486358473543326</v>
      </c>
      <c r="BH14" s="19">
        <v>0.29640850869781488</v>
      </c>
      <c r="BI14" s="19">
        <v>0.68167503613692959</v>
      </c>
    </row>
    <row r="15" spans="1:61" x14ac:dyDescent="0.55000000000000004">
      <c r="A15" s="19" t="s">
        <v>819</v>
      </c>
      <c r="B15" s="19" t="s">
        <v>820</v>
      </c>
      <c r="C15" s="19" t="s">
        <v>485</v>
      </c>
      <c r="D15" s="19" t="s">
        <v>9</v>
      </c>
      <c r="E15" s="19">
        <v>2272</v>
      </c>
      <c r="F15" s="19">
        <v>68.886956809563742</v>
      </c>
      <c r="G15" s="19">
        <v>34.608228120136289</v>
      </c>
      <c r="H15" s="19">
        <v>78629.894288949654</v>
      </c>
      <c r="I15" s="19">
        <v>43.642046493205925</v>
      </c>
      <c r="J15" s="19">
        <v>32.008990539739237</v>
      </c>
      <c r="K15" s="19">
        <v>28.945511868198146</v>
      </c>
      <c r="L15" s="19">
        <v>50.562261367596193</v>
      </c>
      <c r="M15" s="19">
        <v>41.266877061885118</v>
      </c>
      <c r="N15" s="19">
        <v>19.990252726614493</v>
      </c>
      <c r="O15" s="19">
        <v>10.479260028415368</v>
      </c>
      <c r="P15" s="19">
        <v>43.808817596399081</v>
      </c>
      <c r="Q15" s="19">
        <v>789.90034189064784</v>
      </c>
      <c r="R15" s="19">
        <v>72.766371507818491</v>
      </c>
      <c r="S15" s="19">
        <v>909.45456562606273</v>
      </c>
      <c r="T15" s="19">
        <v>998.28295151212137</v>
      </c>
      <c r="U15" s="19">
        <v>54.114887970780316</v>
      </c>
      <c r="V15" s="19">
        <v>13.709426236753032</v>
      </c>
      <c r="W15" s="19">
        <v>49.733176751653964</v>
      </c>
      <c r="X15" s="19">
        <v>58.765530272985153</v>
      </c>
      <c r="Y15" s="19">
        <v>30.688583978589758</v>
      </c>
      <c r="Z15" s="19">
        <v>27.863382739982775</v>
      </c>
      <c r="AA15" s="19">
        <v>24.955510117921712</v>
      </c>
      <c r="AB15" s="19">
        <v>41.852994029914278</v>
      </c>
      <c r="AC15" s="19">
        <v>32.755438392345646</v>
      </c>
      <c r="AD15" s="19">
        <v>23.254873446603934</v>
      </c>
      <c r="AE15" s="19">
        <v>51.057501008883342</v>
      </c>
      <c r="AF15" s="19">
        <v>56.859090665158035</v>
      </c>
      <c r="AG15" s="19">
        <v>856.03607890905892</v>
      </c>
      <c r="AH15" s="19">
        <v>514.59268710819481</v>
      </c>
      <c r="AI15" s="19">
        <v>1755.082863605071</v>
      </c>
      <c r="AJ15" s="19">
        <v>1923.2879353564913</v>
      </c>
      <c r="AK15" s="19">
        <v>1106.0869311879844</v>
      </c>
      <c r="AL15" s="19">
        <v>3590.2918755357364</v>
      </c>
      <c r="AM15" s="19">
        <v>661.48989228834591</v>
      </c>
      <c r="AN15" s="19">
        <v>3664.1224141768221</v>
      </c>
      <c r="AO15" s="19"/>
      <c r="AP15" s="19">
        <v>1.4609896002788216</v>
      </c>
      <c r="AQ15" s="19">
        <v>1.2658497697231013</v>
      </c>
      <c r="AR15" s="19">
        <v>1.6980219290334975</v>
      </c>
      <c r="AS15" s="19">
        <v>1.2093365162940177</v>
      </c>
      <c r="AT15" s="19">
        <v>1.6429356183096646</v>
      </c>
      <c r="AU15" s="19">
        <v>0.86313478299399748</v>
      </c>
      <c r="AV15" s="19">
        <v>0.63306089707951274</v>
      </c>
      <c r="AW15" s="19">
        <v>0.57247265223680122</v>
      </c>
      <c r="AX15" s="19">
        <v>0.94197650897743246</v>
      </c>
      <c r="AY15" s="19">
        <v>0.45630660272049012</v>
      </c>
      <c r="AZ15" s="19">
        <v>0.23920435664250211</v>
      </c>
      <c r="BA15" s="19">
        <v>0.9208610510174744</v>
      </c>
      <c r="BB15" s="19">
        <v>0.23329026681233458</v>
      </c>
      <c r="BC15" s="19">
        <v>0.8462984426521305</v>
      </c>
      <c r="BD15" s="19">
        <v>0.73324703978537842</v>
      </c>
      <c r="BE15" s="19">
        <v>0.66574407365139809</v>
      </c>
      <c r="BF15" s="19">
        <v>0.59626582748380796</v>
      </c>
      <c r="BG15" s="19">
        <v>0.57608093990179543</v>
      </c>
      <c r="BH15" s="19">
        <v>0.40899130067962897</v>
      </c>
      <c r="BI15" s="19">
        <v>0.89796548646125685</v>
      </c>
    </row>
    <row r="16" spans="1:61" x14ac:dyDescent="0.55000000000000004">
      <c r="A16" s="19" t="s">
        <v>821</v>
      </c>
      <c r="B16" s="19" t="s">
        <v>822</v>
      </c>
      <c r="C16" s="19" t="s">
        <v>485</v>
      </c>
      <c r="D16" s="19" t="s">
        <v>9</v>
      </c>
      <c r="E16" s="19">
        <v>2225</v>
      </c>
      <c r="F16" s="19">
        <v>65.9839695505393</v>
      </c>
      <c r="G16" s="19">
        <v>37.238739511963942</v>
      </c>
      <c r="H16" s="19">
        <v>82856.195414119778</v>
      </c>
      <c r="I16" s="19">
        <v>37.671359375758108</v>
      </c>
      <c r="J16" s="19">
        <v>15.126624705694731</v>
      </c>
      <c r="K16" s="19">
        <v>26.357865621218586</v>
      </c>
      <c r="L16" s="19">
        <v>41.331733366315277</v>
      </c>
      <c r="M16" s="19">
        <v>29.85556455178742</v>
      </c>
      <c r="N16" s="19">
        <v>18.408715326612629</v>
      </c>
      <c r="O16" s="19">
        <v>15.43902286836512</v>
      </c>
      <c r="P16" s="19">
        <v>36.363562624268596</v>
      </c>
      <c r="Q16" s="19">
        <v>543.32887902803213</v>
      </c>
      <c r="R16" s="19">
        <v>347.77623217259759</v>
      </c>
      <c r="S16" s="19">
        <v>1027.9464620773788</v>
      </c>
      <c r="T16" s="19">
        <v>1134.5948026636929</v>
      </c>
      <c r="U16" s="19">
        <v>35.86899066563501</v>
      </c>
      <c r="V16" s="19">
        <v>16.497755903890933</v>
      </c>
      <c r="W16" s="19">
        <v>57.95197955908057</v>
      </c>
      <c r="X16" s="19">
        <v>66.756927443812842</v>
      </c>
      <c r="Y16" s="19">
        <v>35.580229280077823</v>
      </c>
      <c r="Z16" s="19">
        <v>19.718011177565263</v>
      </c>
      <c r="AA16" s="19">
        <v>7.8518308060893869</v>
      </c>
      <c r="AB16" s="19">
        <v>38.405313613926729</v>
      </c>
      <c r="AC16" s="19">
        <v>35.837696444141898</v>
      </c>
      <c r="AD16" s="19">
        <v>13.437474708225238</v>
      </c>
      <c r="AE16" s="19">
        <v>20.545961083251353</v>
      </c>
      <c r="AF16" s="19">
        <v>38.827553818836662</v>
      </c>
      <c r="AG16" s="19">
        <v>1123.3141191113366</v>
      </c>
      <c r="AH16" s="19">
        <v>232.41242256873727</v>
      </c>
      <c r="AI16" s="19">
        <v>2106.7500814043015</v>
      </c>
      <c r="AJ16" s="19">
        <v>2367.2239096448657</v>
      </c>
      <c r="AK16" s="19">
        <v>1617.3648521773696</v>
      </c>
      <c r="AL16" s="19">
        <v>566.13461395554975</v>
      </c>
      <c r="AM16" s="19">
        <v>639.19427210441449</v>
      </c>
      <c r="AN16" s="19">
        <v>1618.7292557547235</v>
      </c>
      <c r="AO16" s="19"/>
      <c r="AP16" s="19">
        <v>1.1099122555702068</v>
      </c>
      <c r="AQ16" s="19">
        <v>0.97649821397917691</v>
      </c>
      <c r="AR16" s="19">
        <v>1.7926741967827722</v>
      </c>
      <c r="AS16" s="19">
        <v>1.0313268955193287</v>
      </c>
      <c r="AT16" s="19">
        <v>1.0426656306764162</v>
      </c>
      <c r="AU16" s="19">
        <v>0.91143913665279963</v>
      </c>
      <c r="AV16" s="19">
        <v>0.36598089346097196</v>
      </c>
      <c r="AW16" s="19">
        <v>0.63771498251994041</v>
      </c>
      <c r="AX16" s="19">
        <v>0.82102969008493631</v>
      </c>
      <c r="AY16" s="19">
        <v>0.50624069805324512</v>
      </c>
      <c r="AZ16" s="19">
        <v>0.42457398984502431</v>
      </c>
      <c r="BA16" s="19">
        <v>0.53730739324131993</v>
      </c>
      <c r="BB16" s="19">
        <v>0.24713174400928747</v>
      </c>
      <c r="BC16" s="19">
        <v>0.8681043567779072</v>
      </c>
      <c r="BD16" s="19">
        <v>0.92644027432640308</v>
      </c>
      <c r="BE16" s="19">
        <v>0.51341882989897047</v>
      </c>
      <c r="BF16" s="19">
        <v>0.20444647022077997</v>
      </c>
      <c r="BG16" s="19">
        <v>0.92299650427000957</v>
      </c>
      <c r="BH16" s="19">
        <v>0.34608089839814293</v>
      </c>
      <c r="BI16" s="19">
        <v>0.52915929700633779</v>
      </c>
    </row>
    <row r="17" spans="1:61" x14ac:dyDescent="0.55000000000000004">
      <c r="A17" s="19" t="s">
        <v>1061</v>
      </c>
      <c r="B17" s="19" t="s">
        <v>1062</v>
      </c>
      <c r="C17" s="19" t="s">
        <v>485</v>
      </c>
      <c r="D17" s="19" t="s">
        <v>9</v>
      </c>
      <c r="E17" s="19">
        <v>2898</v>
      </c>
      <c r="F17" s="19">
        <v>68.612724676964788</v>
      </c>
      <c r="G17" s="19">
        <v>26.744030486906784</v>
      </c>
      <c r="H17" s="19">
        <v>77504.200351055857</v>
      </c>
      <c r="I17" s="19">
        <v>29.97365518424829</v>
      </c>
      <c r="J17" s="19">
        <v>24.9755129969545</v>
      </c>
      <c r="K17" s="19">
        <v>29.842295071841487</v>
      </c>
      <c r="L17" s="19">
        <v>42.177282594713283</v>
      </c>
      <c r="M17" s="19">
        <v>26.427652370641333</v>
      </c>
      <c r="N17" s="19">
        <v>5.9853982773162997</v>
      </c>
      <c r="O17" s="19">
        <v>22.274784322823884</v>
      </c>
      <c r="P17" s="19">
        <v>30.557079996453435</v>
      </c>
      <c r="Q17" s="19">
        <v>266.84544461787954</v>
      </c>
      <c r="R17" s="19">
        <v>130.06696733869049</v>
      </c>
      <c r="S17" s="19">
        <v>1082.7793856520263</v>
      </c>
      <c r="T17" s="19">
        <v>1083.8943311938372</v>
      </c>
      <c r="U17" s="19">
        <v>23.341417327941425</v>
      </c>
      <c r="V17" s="19">
        <v>9.4993899106789073</v>
      </c>
      <c r="W17" s="19">
        <v>39.416733192669298</v>
      </c>
      <c r="X17" s="19">
        <v>45.663600269972235</v>
      </c>
      <c r="Y17" s="19">
        <v>28.703882186505346</v>
      </c>
      <c r="Z17" s="19">
        <v>13.105606562584672</v>
      </c>
      <c r="AA17" s="19">
        <v>12.872404930920304</v>
      </c>
      <c r="AB17" s="19">
        <v>32.441663258801405</v>
      </c>
      <c r="AC17" s="19">
        <v>34.351493812795916</v>
      </c>
      <c r="AD17" s="19">
        <v>14.264235189813641</v>
      </c>
      <c r="AE17" s="19">
        <v>25.788745438650537</v>
      </c>
      <c r="AF17" s="19">
        <v>40.795530932067791</v>
      </c>
      <c r="AG17" s="19">
        <v>751.81498797036761</v>
      </c>
      <c r="AH17" s="19">
        <v>72.319960956505</v>
      </c>
      <c r="AI17" s="19">
        <v>1450.2273103488676</v>
      </c>
      <c r="AJ17" s="19">
        <v>1624.2134808186922</v>
      </c>
      <c r="AK17" s="19">
        <v>770.74778425003308</v>
      </c>
      <c r="AL17" s="19">
        <v>2466.0550422390279</v>
      </c>
      <c r="AM17" s="19">
        <v>1059.5821045140208</v>
      </c>
      <c r="AN17" s="19">
        <v>2482.2253185806862</v>
      </c>
      <c r="AO17" s="19"/>
      <c r="AP17" s="19">
        <v>1.5770727832277276</v>
      </c>
      <c r="AQ17" s="19">
        <v>1.1425757240073977</v>
      </c>
      <c r="AR17" s="19">
        <v>1.7074315067180321</v>
      </c>
      <c r="AS17" s="19">
        <v>1.213043160217905</v>
      </c>
      <c r="AT17" s="19">
        <v>1.5254069857585706</v>
      </c>
      <c r="AU17" s="19">
        <v>0.71065875609552287</v>
      </c>
      <c r="AV17" s="19">
        <v>0.59215557429214416</v>
      </c>
      <c r="AW17" s="19">
        <v>0.7075442806166482</v>
      </c>
      <c r="AX17" s="19">
        <v>0.86486183803258099</v>
      </c>
      <c r="AY17" s="19">
        <v>0.19587598939463413</v>
      </c>
      <c r="AZ17" s="19">
        <v>0.72895657325271834</v>
      </c>
      <c r="BA17" s="19">
        <v>0.51116024995712883</v>
      </c>
      <c r="BB17" s="19">
        <v>0.20802980611508148</v>
      </c>
      <c r="BC17" s="19">
        <v>0.86319810439014388</v>
      </c>
      <c r="BD17" s="19">
        <v>0.88478454256558503</v>
      </c>
      <c r="BE17" s="19">
        <v>0.40397455759390288</v>
      </c>
      <c r="BF17" s="19">
        <v>0.39678621987508694</v>
      </c>
      <c r="BG17" s="19">
        <v>0.84204061150711818</v>
      </c>
      <c r="BH17" s="19">
        <v>0.34965190705732613</v>
      </c>
      <c r="BI17" s="19">
        <v>0.63214633685228006</v>
      </c>
    </row>
    <row r="18" spans="1:61" x14ac:dyDescent="0.55000000000000004">
      <c r="A18" s="19" t="s">
        <v>504</v>
      </c>
      <c r="B18" s="19" t="s">
        <v>505</v>
      </c>
      <c r="C18" s="19" t="s">
        <v>485</v>
      </c>
      <c r="D18" s="19" t="s">
        <v>9</v>
      </c>
      <c r="E18" s="19">
        <v>1775</v>
      </c>
      <c r="F18" s="19">
        <v>69.436300000000003</v>
      </c>
      <c r="G18" s="19">
        <v>36.718800000000002</v>
      </c>
      <c r="H18" s="19">
        <v>65175.87</v>
      </c>
      <c r="I18" s="19">
        <v>70.622100000000003</v>
      </c>
      <c r="J18" s="19">
        <v>8.0204000000000004</v>
      </c>
      <c r="K18" s="19">
        <v>40.3536</v>
      </c>
      <c r="L18" s="19">
        <v>77.063400000000001</v>
      </c>
      <c r="M18" s="19">
        <v>43.97</v>
      </c>
      <c r="N18" s="19">
        <v>8.0534999999999997</v>
      </c>
      <c r="O18" s="19">
        <v>19.071300000000001</v>
      </c>
      <c r="P18" s="19">
        <v>47.493600000000001</v>
      </c>
      <c r="Q18" s="19">
        <v>518.13549999999998</v>
      </c>
      <c r="R18" s="19">
        <v>224.1103</v>
      </c>
      <c r="S18" s="19">
        <v>2837.6300999999999</v>
      </c>
      <c r="T18" s="19">
        <v>2843.2229270819444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>
        <v>2.0987450570280073</v>
      </c>
      <c r="AQ18" s="19">
        <v>1.2934409621229452</v>
      </c>
      <c r="AR18" s="19"/>
      <c r="AS18" s="19"/>
      <c r="AT18" s="19"/>
      <c r="AU18" s="19">
        <v>0.91641557470861656</v>
      </c>
      <c r="AV18" s="19">
        <v>0.10407534575427506</v>
      </c>
      <c r="AW18" s="19">
        <v>0.52364157304245595</v>
      </c>
      <c r="AX18" s="19">
        <v>0.92580895110077988</v>
      </c>
      <c r="AY18" s="19">
        <v>0.16957021577644144</v>
      </c>
      <c r="AZ18" s="19">
        <v>0.40155515690535148</v>
      </c>
      <c r="BA18" s="19"/>
      <c r="BB18" s="19"/>
      <c r="BC18" s="19"/>
      <c r="BD18" s="19"/>
      <c r="BE18" s="19"/>
      <c r="BF18" s="19"/>
      <c r="BG18" s="19"/>
      <c r="BH18" s="19"/>
      <c r="BI18" s="19"/>
    </row>
    <row r="19" spans="1:61" x14ac:dyDescent="0.55000000000000004">
      <c r="A19" s="19" t="s">
        <v>506</v>
      </c>
      <c r="B19" s="19" t="s">
        <v>484</v>
      </c>
      <c r="C19" s="19" t="s">
        <v>485</v>
      </c>
      <c r="D19" s="19" t="s">
        <v>9</v>
      </c>
      <c r="E19" s="19">
        <v>2036</v>
      </c>
      <c r="F19" s="19">
        <v>72.17649999999999</v>
      </c>
      <c r="G19" s="19">
        <v>41.368600000000001</v>
      </c>
      <c r="H19" s="19">
        <v>84226.469599999997</v>
      </c>
      <c r="I19" s="19">
        <v>65.665099999999995</v>
      </c>
      <c r="J19" s="19">
        <v>12.842599999999999</v>
      </c>
      <c r="K19" s="19">
        <v>33.603099999999998</v>
      </c>
      <c r="L19" s="19">
        <v>73.061800000000005</v>
      </c>
      <c r="M19" s="19">
        <v>56.741199999999999</v>
      </c>
      <c r="N19" s="19">
        <v>14.7903</v>
      </c>
      <c r="O19" s="19">
        <v>7.9031000000000002</v>
      </c>
      <c r="P19" s="19">
        <v>58.397799999999997</v>
      </c>
      <c r="Q19" s="19">
        <v>453.81659999999999</v>
      </c>
      <c r="R19" s="19">
        <v>333.56040000000002</v>
      </c>
      <c r="S19" s="19">
        <v>1804.1003000000001</v>
      </c>
      <c r="T19" s="19">
        <v>1813.1205973529973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>
        <v>1.7661172966936276</v>
      </c>
      <c r="AQ19" s="19">
        <v>1.4116455475892342</v>
      </c>
      <c r="AR19" s="19"/>
      <c r="AS19" s="19"/>
      <c r="AT19" s="19"/>
      <c r="AU19" s="19">
        <v>0.89876104886548092</v>
      </c>
      <c r="AV19" s="19">
        <v>0.17577721873810936</v>
      </c>
      <c r="AW19" s="19">
        <v>0.45992707543476885</v>
      </c>
      <c r="AX19" s="19">
        <v>0.97163249300487353</v>
      </c>
      <c r="AY19" s="19">
        <v>0.25326810256550764</v>
      </c>
      <c r="AZ19" s="19">
        <v>0.13533215292356904</v>
      </c>
      <c r="BA19" s="19"/>
      <c r="BB19" s="19"/>
      <c r="BC19" s="19"/>
      <c r="BD19" s="19"/>
      <c r="BE19" s="19"/>
      <c r="BF19" s="19"/>
      <c r="BG19" s="19"/>
      <c r="BH19" s="19"/>
      <c r="BI19" s="19"/>
    </row>
    <row r="20" spans="1:61" x14ac:dyDescent="0.55000000000000004">
      <c r="A20" s="19" t="s">
        <v>507</v>
      </c>
      <c r="B20" s="19" t="s">
        <v>508</v>
      </c>
      <c r="C20" s="19" t="s">
        <v>485</v>
      </c>
      <c r="D20" s="19" t="s">
        <v>9</v>
      </c>
      <c r="E20" s="19">
        <v>1936</v>
      </c>
      <c r="F20" s="19">
        <v>66.708569999999995</v>
      </c>
      <c r="G20" s="19">
        <v>25.430385999999999</v>
      </c>
      <c r="H20" s="19">
        <v>49233.227295999997</v>
      </c>
      <c r="I20" s="19">
        <v>70.209001000000001</v>
      </c>
      <c r="J20" s="19">
        <v>10.090522</v>
      </c>
      <c r="K20" s="19">
        <v>29.559902999999998</v>
      </c>
      <c r="L20" s="19">
        <v>73.264494999999997</v>
      </c>
      <c r="M20" s="19">
        <v>32.762945999999999</v>
      </c>
      <c r="N20" s="19">
        <v>11.873317</v>
      </c>
      <c r="O20" s="19">
        <v>13.251319000000001</v>
      </c>
      <c r="P20" s="19">
        <v>33.842654000000003</v>
      </c>
      <c r="Q20" s="19">
        <v>619.87501499999996</v>
      </c>
      <c r="R20" s="19">
        <v>48.193767000000001</v>
      </c>
      <c r="S20" s="19">
        <v>1482.732503</v>
      </c>
      <c r="T20" s="19">
        <v>1493.3443654736493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>
        <v>2.8809824200073093</v>
      </c>
      <c r="AQ20" s="19">
        <v>1.3307959226415205</v>
      </c>
      <c r="AR20" s="19"/>
      <c r="AS20" s="19"/>
      <c r="AT20" s="19"/>
      <c r="AU20" s="19">
        <v>0.95829502407680556</v>
      </c>
      <c r="AV20" s="19">
        <v>0.13772731252702963</v>
      </c>
      <c r="AW20" s="19">
        <v>0.40346832391324067</v>
      </c>
      <c r="AX20" s="19">
        <v>0.96809623736956318</v>
      </c>
      <c r="AY20" s="19">
        <v>0.35083882605660888</v>
      </c>
      <c r="AZ20" s="19">
        <v>0.39155673192770279</v>
      </c>
      <c r="BA20" s="19"/>
      <c r="BB20" s="19"/>
      <c r="BC20" s="19"/>
      <c r="BD20" s="19"/>
      <c r="BE20" s="19"/>
      <c r="BF20" s="19"/>
      <c r="BG20" s="19"/>
      <c r="BH20" s="19"/>
      <c r="BI20" s="19"/>
    </row>
    <row r="21" spans="1:61" x14ac:dyDescent="0.55000000000000004">
      <c r="A21" s="19" t="s">
        <v>509</v>
      </c>
      <c r="B21" s="19" t="s">
        <v>510</v>
      </c>
      <c r="C21" s="19" t="s">
        <v>485</v>
      </c>
      <c r="D21" s="19" t="s">
        <v>9</v>
      </c>
      <c r="E21" s="19">
        <v>2078</v>
      </c>
      <c r="F21" s="19">
        <v>70.075969000000001</v>
      </c>
      <c r="G21" s="19">
        <v>29.308947</v>
      </c>
      <c r="H21" s="19">
        <v>60903.991865999997</v>
      </c>
      <c r="I21" s="19">
        <v>43.523648000000001</v>
      </c>
      <c r="J21" s="19">
        <v>11.867164000000001</v>
      </c>
      <c r="K21" s="19">
        <v>15.580346</v>
      </c>
      <c r="L21" s="19">
        <v>43.639009000000001</v>
      </c>
      <c r="M21" s="19">
        <v>37.407451000000002</v>
      </c>
      <c r="N21" s="19">
        <v>13.262095</v>
      </c>
      <c r="O21" s="19">
        <v>5.7571630000000003</v>
      </c>
      <c r="P21" s="19">
        <v>39.631599999999999</v>
      </c>
      <c r="Q21" s="19">
        <v>547.42839400000003</v>
      </c>
      <c r="R21" s="19">
        <v>3.0329449999999998</v>
      </c>
      <c r="S21" s="19">
        <v>1191.5852359999999</v>
      </c>
      <c r="T21" s="19">
        <v>1197.1255961276547</v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>
        <v>1.4889313150690813</v>
      </c>
      <c r="AQ21" s="19">
        <v>1.3522014284580064</v>
      </c>
      <c r="AR21" s="19"/>
      <c r="AS21" s="19"/>
      <c r="AT21" s="19"/>
      <c r="AU21" s="19">
        <v>0.99735647067512467</v>
      </c>
      <c r="AV21" s="19">
        <v>0.27193935590975499</v>
      </c>
      <c r="AW21" s="19">
        <v>0.35702795175756624</v>
      </c>
      <c r="AX21" s="19">
        <v>0.94387940431372952</v>
      </c>
      <c r="AY21" s="19">
        <v>0.33463435743194825</v>
      </c>
      <c r="AZ21" s="19">
        <v>0.14526698392192089</v>
      </c>
      <c r="BA21" s="19"/>
      <c r="BB21" s="19"/>
      <c r="BC21" s="19"/>
      <c r="BD21" s="19"/>
      <c r="BE21" s="19"/>
      <c r="BF21" s="19"/>
      <c r="BG21" s="19"/>
      <c r="BH21" s="19"/>
      <c r="BI21" s="19"/>
    </row>
    <row r="22" spans="1:61" x14ac:dyDescent="0.55000000000000004">
      <c r="A22" s="19" t="s">
        <v>511</v>
      </c>
      <c r="B22" s="19" t="s">
        <v>512</v>
      </c>
      <c r="C22" s="19" t="s">
        <v>485</v>
      </c>
      <c r="D22" s="19" t="s">
        <v>9</v>
      </c>
      <c r="E22" s="19">
        <v>1992</v>
      </c>
      <c r="F22" s="19">
        <v>70.452871000000002</v>
      </c>
      <c r="G22" s="19">
        <v>28.836047000000001</v>
      </c>
      <c r="H22" s="19">
        <v>57441.405623999999</v>
      </c>
      <c r="I22" s="19">
        <v>39.665149</v>
      </c>
      <c r="J22" s="19">
        <v>8.4820650000000004</v>
      </c>
      <c r="K22" s="19">
        <v>23.251301999999999</v>
      </c>
      <c r="L22" s="19">
        <v>44.226945999999998</v>
      </c>
      <c r="M22" s="19">
        <v>28.388245999999999</v>
      </c>
      <c r="N22" s="19">
        <v>9.2050070000000002</v>
      </c>
      <c r="O22" s="19">
        <v>9.3654349999999997</v>
      </c>
      <c r="P22" s="19">
        <v>29.365397000000002</v>
      </c>
      <c r="Q22" s="19">
        <v>309.91200300000003</v>
      </c>
      <c r="R22" s="19">
        <v>237.90940699999999</v>
      </c>
      <c r="S22" s="19">
        <v>1097.4408100000001</v>
      </c>
      <c r="T22" s="19">
        <v>1097.4536559987116</v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>
        <v>1.5337381715323184</v>
      </c>
      <c r="AQ22" s="19">
        <v>1.0183572318355565</v>
      </c>
      <c r="AR22" s="19"/>
      <c r="AS22" s="19"/>
      <c r="AT22" s="19"/>
      <c r="AU22" s="19">
        <v>0.89685480430866737</v>
      </c>
      <c r="AV22" s="19">
        <v>0.19178500364913284</v>
      </c>
      <c r="AW22" s="19">
        <v>0.52572705336696768</v>
      </c>
      <c r="AX22" s="19">
        <v>0.9667244069610228</v>
      </c>
      <c r="AY22" s="19">
        <v>0.31346441527761398</v>
      </c>
      <c r="AZ22" s="19">
        <v>0.31892757996767418</v>
      </c>
      <c r="BA22" s="19"/>
      <c r="BB22" s="19"/>
      <c r="BC22" s="19"/>
      <c r="BD22" s="19"/>
      <c r="BE22" s="19"/>
      <c r="BF22" s="19"/>
      <c r="BG22" s="19"/>
      <c r="BH22" s="19"/>
      <c r="BI22" s="19"/>
    </row>
    <row r="24" spans="1:61" s="12" customFormat="1" x14ac:dyDescent="0.55000000000000004">
      <c r="AO24" s="4" t="s">
        <v>318</v>
      </c>
      <c r="AP24" s="13">
        <f>AVERAGE(AP2:AP22)</f>
        <v>1.8328150018597724</v>
      </c>
      <c r="AQ24" s="13">
        <f t="shared" ref="AQ24:BI24" si="0">AVERAGE(AQ2:AQ22)</f>
        <v>1.267082704461806</v>
      </c>
      <c r="AR24" s="13">
        <f t="shared" si="0"/>
        <v>2.284672724997054</v>
      </c>
      <c r="AS24" s="13">
        <f t="shared" si="0"/>
        <v>1.2872725468026887</v>
      </c>
      <c r="AT24" s="13">
        <f t="shared" si="0"/>
        <v>1.3889568072165623</v>
      </c>
      <c r="AU24" s="13">
        <f t="shared" si="0"/>
        <v>0.90224265751029686</v>
      </c>
      <c r="AV24" s="13">
        <f t="shared" si="0"/>
        <v>0.31170804109929917</v>
      </c>
      <c r="AW24" s="13">
        <f t="shared" si="0"/>
        <v>0.44727250566196847</v>
      </c>
      <c r="AX24" s="13">
        <f t="shared" si="0"/>
        <v>0.93420904975291763</v>
      </c>
      <c r="AY24" s="13">
        <f t="shared" si="0"/>
        <v>0.34278338819459997</v>
      </c>
      <c r="AZ24" s="13">
        <f t="shared" si="0"/>
        <v>0.30413396706596024</v>
      </c>
      <c r="BA24" s="13">
        <f t="shared" si="0"/>
        <v>0.67633455532420972</v>
      </c>
      <c r="BB24" s="13">
        <f t="shared" si="0"/>
        <v>0.17276361986660047</v>
      </c>
      <c r="BC24" s="13">
        <f t="shared" si="0"/>
        <v>0.84717853774293217</v>
      </c>
      <c r="BD24" s="13">
        <f t="shared" si="0"/>
        <v>0.867950556199373</v>
      </c>
      <c r="BE24" s="13">
        <f t="shared" si="0"/>
        <v>0.45732296914995763</v>
      </c>
      <c r="BF24" s="13">
        <f t="shared" si="0"/>
        <v>0.38706002894913338</v>
      </c>
      <c r="BG24" s="13">
        <f t="shared" si="0"/>
        <v>0.7948118246990532</v>
      </c>
      <c r="BH24" s="13">
        <f t="shared" si="0"/>
        <v>0.32362388885505028</v>
      </c>
      <c r="BI24" s="13">
        <f t="shared" si="0"/>
        <v>0.68158545588218988</v>
      </c>
    </row>
    <row r="25" spans="1:61" s="12" customFormat="1" x14ac:dyDescent="0.55000000000000004">
      <c r="AO25" s="4" t="s">
        <v>319</v>
      </c>
      <c r="AP25" s="13">
        <f>_xlfn.STDEV.S(AP2:AP22)</f>
        <v>0.71425005292929755</v>
      </c>
      <c r="AQ25" s="13">
        <f t="shared" ref="AQ25:BI25" si="1">_xlfn.STDEV.S(AQ2:AQ22)</f>
        <v>0.15780877988296516</v>
      </c>
      <c r="AR25" s="13">
        <f t="shared" si="1"/>
        <v>0.77947815329370274</v>
      </c>
      <c r="AS25" s="13">
        <f t="shared" si="1"/>
        <v>0.20791913711704593</v>
      </c>
      <c r="AT25" s="13">
        <f t="shared" si="1"/>
        <v>0.22863623597738189</v>
      </c>
      <c r="AU25" s="13">
        <f t="shared" si="1"/>
        <v>7.7427419162193062E-2</v>
      </c>
      <c r="AV25" s="13">
        <f t="shared" si="1"/>
        <v>0.17797226408847022</v>
      </c>
      <c r="AW25" s="13">
        <f t="shared" si="1"/>
        <v>0.1241030251735486</v>
      </c>
      <c r="AX25" s="13">
        <f t="shared" si="1"/>
        <v>4.0184257047942464E-2</v>
      </c>
      <c r="AY25" s="13">
        <f t="shared" si="1"/>
        <v>7.9350454450008656E-2</v>
      </c>
      <c r="AZ25" s="13">
        <f t="shared" si="1"/>
        <v>0.13391386274777742</v>
      </c>
      <c r="BA25" s="13">
        <f t="shared" si="1"/>
        <v>0.22532778260060521</v>
      </c>
      <c r="BB25" s="13">
        <f t="shared" si="1"/>
        <v>7.9154373584714874E-2</v>
      </c>
      <c r="BC25" s="13">
        <f t="shared" si="1"/>
        <v>6.8730513852518896E-2</v>
      </c>
      <c r="BD25" s="13">
        <f t="shared" si="1"/>
        <v>8.1406160108840664E-2</v>
      </c>
      <c r="BE25" s="13">
        <f t="shared" si="1"/>
        <v>0.15042704898272194</v>
      </c>
      <c r="BF25" s="13">
        <f t="shared" si="1"/>
        <v>0.14005794966917115</v>
      </c>
      <c r="BG25" s="13">
        <f t="shared" si="1"/>
        <v>0.13487941292067723</v>
      </c>
      <c r="BH25" s="13">
        <f t="shared" si="1"/>
        <v>7.1731285657091248E-2</v>
      </c>
      <c r="BI25" s="13">
        <f t="shared" si="1"/>
        <v>0.13482541729806921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54"/>
  <sheetViews>
    <sheetView zoomScale="85" workbookViewId="0">
      <selection sqref="A1:A1048576"/>
    </sheetView>
  </sheetViews>
  <sheetFormatPr defaultRowHeight="14.4" x14ac:dyDescent="0.55000000000000004"/>
  <cols>
    <col min="1" max="1" width="14.7890625" customWidth="1"/>
    <col min="2" max="2" width="25.05078125" customWidth="1"/>
    <col min="3" max="3" width="11.1015625" customWidth="1"/>
    <col min="4" max="4" width="7.83984375" customWidth="1"/>
    <col min="5" max="5" width="20.20703125" customWidth="1"/>
    <col min="6" max="6" width="13.9453125" customWidth="1"/>
    <col min="7" max="7" width="15.26171875" customWidth="1"/>
    <col min="8" max="8" width="15.68359375" customWidth="1"/>
    <col min="9" max="10" width="21.15625" customWidth="1"/>
    <col min="11" max="11" width="21.20703125" customWidth="1"/>
    <col min="12" max="12" width="21.62890625" customWidth="1"/>
    <col min="13" max="14" width="21.5234375" customWidth="1"/>
    <col min="15" max="15" width="21.578125" customWidth="1"/>
    <col min="16" max="16" width="22" customWidth="1"/>
    <col min="17" max="17" width="26.68359375" customWidth="1"/>
    <col min="18" max="18" width="37.578125" customWidth="1"/>
    <col min="19" max="19" width="33.47265625" customWidth="1"/>
    <col min="20" max="20" width="27.20703125" customWidth="1"/>
    <col min="21" max="22" width="24.9453125" customWidth="1"/>
    <col min="23" max="23" width="25" customWidth="1"/>
    <col min="24" max="24" width="25.41796875" customWidth="1"/>
    <col min="25" max="26" width="25.3125" customWidth="1"/>
    <col min="27" max="27" width="25.3671875" customWidth="1"/>
    <col min="28" max="28" width="25.7890625" customWidth="1"/>
    <col min="29" max="30" width="25.20703125" customWidth="1"/>
    <col min="31" max="31" width="25.26171875" customWidth="1"/>
    <col min="32" max="32" width="25.68359375" customWidth="1"/>
    <col min="33" max="33" width="30.5234375" customWidth="1"/>
    <col min="34" max="34" width="41.3671875" customWidth="1"/>
    <col min="35" max="35" width="37.26171875" customWidth="1"/>
    <col min="36" max="36" width="31" customWidth="1"/>
    <col min="37" max="37" width="27.20703125" customWidth="1"/>
    <col min="38" max="38" width="38.05078125" customWidth="1"/>
    <col min="39" max="39" width="33.9453125" customWidth="1"/>
    <col min="40" max="40" width="27.68359375" customWidth="1"/>
    <col min="41" max="41" width="7.15625" bestFit="1" customWidth="1"/>
    <col min="42" max="42" width="32.5234375" customWidth="1"/>
    <col min="43" max="43" width="32.89453125" customWidth="1"/>
    <col min="44" max="44" width="36.3125" customWidth="1"/>
    <col min="45" max="45" width="36.68359375" customWidth="1"/>
    <col min="46" max="46" width="36.62890625" customWidth="1"/>
    <col min="47" max="48" width="21.1015625" customWidth="1"/>
    <col min="49" max="49" width="21.15625" customWidth="1"/>
    <col min="50" max="51" width="21.83984375" customWidth="1"/>
    <col min="52" max="52" width="21.89453125" customWidth="1"/>
    <col min="53" max="54" width="24.89453125" customWidth="1"/>
    <col min="55" max="55" width="24.9453125" customWidth="1"/>
    <col min="56" max="58" width="25.68359375" customWidth="1"/>
    <col min="59" max="60" width="25.47265625" customWidth="1"/>
    <col min="61" max="61" width="25.5234375" customWidth="1"/>
  </cols>
  <sheetData>
    <row r="1" spans="1:61" s="20" customFormat="1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1125</v>
      </c>
      <c r="F1" s="4" t="s">
        <v>4</v>
      </c>
      <c r="G1" s="4" t="s">
        <v>5</v>
      </c>
      <c r="H1" s="4" t="s">
        <v>1138</v>
      </c>
      <c r="I1" s="4" t="s">
        <v>566</v>
      </c>
      <c r="J1" s="4" t="s">
        <v>567</v>
      </c>
      <c r="K1" s="4" t="s">
        <v>568</v>
      </c>
      <c r="L1" s="4" t="s">
        <v>569</v>
      </c>
      <c r="M1" s="4" t="s">
        <v>570</v>
      </c>
      <c r="N1" s="4" t="s">
        <v>571</v>
      </c>
      <c r="O1" s="4" t="s">
        <v>572</v>
      </c>
      <c r="P1" s="4" t="s">
        <v>573</v>
      </c>
      <c r="Q1" s="4" t="s">
        <v>1126</v>
      </c>
      <c r="R1" s="4" t="s">
        <v>1129</v>
      </c>
      <c r="S1" s="4" t="s">
        <v>1130</v>
      </c>
      <c r="T1" s="4" t="s">
        <v>1135</v>
      </c>
      <c r="U1" s="4" t="s">
        <v>574</v>
      </c>
      <c r="V1" s="4" t="s">
        <v>575</v>
      </c>
      <c r="W1" s="4" t="s">
        <v>576</v>
      </c>
      <c r="X1" s="4" t="s">
        <v>577</v>
      </c>
      <c r="Y1" s="4" t="s">
        <v>578</v>
      </c>
      <c r="Z1" s="4" t="s">
        <v>579</v>
      </c>
      <c r="AA1" s="4" t="s">
        <v>580</v>
      </c>
      <c r="AB1" s="4" t="s">
        <v>581</v>
      </c>
      <c r="AC1" s="4" t="s">
        <v>582</v>
      </c>
      <c r="AD1" s="4" t="s">
        <v>583</v>
      </c>
      <c r="AE1" s="4" t="s">
        <v>584</v>
      </c>
      <c r="AF1" s="4" t="s">
        <v>585</v>
      </c>
      <c r="AG1" s="4" t="s">
        <v>1127</v>
      </c>
      <c r="AH1" s="4" t="s">
        <v>1131</v>
      </c>
      <c r="AI1" s="4" t="s">
        <v>1132</v>
      </c>
      <c r="AJ1" s="4" t="s">
        <v>1136</v>
      </c>
      <c r="AK1" s="4" t="s">
        <v>1128</v>
      </c>
      <c r="AL1" s="4" t="s">
        <v>1133</v>
      </c>
      <c r="AM1" s="4" t="s">
        <v>1134</v>
      </c>
      <c r="AN1" s="4" t="s">
        <v>1137</v>
      </c>
      <c r="AO1" s="4"/>
      <c r="AP1" s="4" t="s">
        <v>1077</v>
      </c>
      <c r="AQ1" s="4" t="s">
        <v>1078</v>
      </c>
      <c r="AR1" s="4" t="s">
        <v>1079</v>
      </c>
      <c r="AS1" s="4" t="s">
        <v>1080</v>
      </c>
      <c r="AT1" s="4" t="s">
        <v>1081</v>
      </c>
      <c r="AU1" s="4" t="s">
        <v>1082</v>
      </c>
      <c r="AV1" s="4" t="s">
        <v>1083</v>
      </c>
      <c r="AW1" s="4" t="s">
        <v>1084</v>
      </c>
      <c r="AX1" s="4" t="s">
        <v>1085</v>
      </c>
      <c r="AY1" s="4" t="s">
        <v>1086</v>
      </c>
      <c r="AZ1" s="4" t="s">
        <v>1087</v>
      </c>
      <c r="BA1" s="4" t="s">
        <v>1088</v>
      </c>
      <c r="BB1" s="4" t="s">
        <v>1089</v>
      </c>
      <c r="BC1" s="4" t="s">
        <v>1090</v>
      </c>
      <c r="BD1" s="4" t="s">
        <v>1091</v>
      </c>
      <c r="BE1" s="4" t="s">
        <v>1092</v>
      </c>
      <c r="BF1" s="4" t="s">
        <v>1093</v>
      </c>
      <c r="BG1" s="4" t="s">
        <v>1094</v>
      </c>
      <c r="BH1" s="4" t="s">
        <v>1095</v>
      </c>
      <c r="BI1" s="4" t="s">
        <v>1096</v>
      </c>
    </row>
    <row r="2" spans="1:61" x14ac:dyDescent="0.55000000000000004">
      <c r="A2" s="19" t="s">
        <v>513</v>
      </c>
      <c r="B2" s="19" t="s">
        <v>514</v>
      </c>
      <c r="C2" s="19" t="s">
        <v>515</v>
      </c>
      <c r="D2" s="19" t="s">
        <v>9</v>
      </c>
      <c r="E2" s="19">
        <v>2264</v>
      </c>
      <c r="F2" s="19">
        <v>67.648200000000003</v>
      </c>
      <c r="G2" s="19">
        <v>46.387700000000002</v>
      </c>
      <c r="H2" s="19">
        <v>105021.7528</v>
      </c>
      <c r="I2" s="19">
        <v>60.055999999999997</v>
      </c>
      <c r="J2" s="19">
        <v>25.697399999999998</v>
      </c>
      <c r="K2" s="19">
        <v>183.62049999999999</v>
      </c>
      <c r="L2" s="19">
        <v>183.6345</v>
      </c>
      <c r="M2" s="19">
        <v>52.915900000000001</v>
      </c>
      <c r="N2" s="19">
        <v>16.766100000000002</v>
      </c>
      <c r="O2" s="19">
        <v>16.8583</v>
      </c>
      <c r="P2" s="19">
        <v>54.261899999999997</v>
      </c>
      <c r="Q2" s="19">
        <v>617.62440000000004</v>
      </c>
      <c r="R2" s="19">
        <v>219.9365</v>
      </c>
      <c r="S2" s="19">
        <v>1936.9984999999999</v>
      </c>
      <c r="T2" s="19">
        <v>2020.4380877126475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>
        <v>3.9586894801854799</v>
      </c>
      <c r="AQ2" s="19">
        <v>1.1697475839500555</v>
      </c>
      <c r="AR2" s="19"/>
      <c r="AS2" s="19"/>
      <c r="AT2" s="19"/>
      <c r="AU2" s="19">
        <v>0.32704094274224066</v>
      </c>
      <c r="AV2" s="19">
        <v>0.13993775679406648</v>
      </c>
      <c r="AW2" s="19">
        <v>0.99992376160253105</v>
      </c>
      <c r="AX2" s="19">
        <v>0.97519438132464964</v>
      </c>
      <c r="AY2" s="19">
        <v>0.30898475726061936</v>
      </c>
      <c r="AZ2" s="19">
        <v>0.31068392371074366</v>
      </c>
      <c r="BA2" s="19"/>
      <c r="BB2" s="19"/>
      <c r="BC2" s="19"/>
      <c r="BD2" s="19"/>
      <c r="BE2" s="19"/>
      <c r="BF2" s="19"/>
      <c r="BG2" s="19"/>
      <c r="BH2" s="19"/>
      <c r="BI2" s="19"/>
    </row>
    <row r="3" spans="1:61" x14ac:dyDescent="0.55000000000000004">
      <c r="A3" s="19" t="s">
        <v>516</v>
      </c>
      <c r="B3" s="19" t="s">
        <v>517</v>
      </c>
      <c r="C3" s="19" t="s">
        <v>515</v>
      </c>
      <c r="D3" s="19" t="s">
        <v>9</v>
      </c>
      <c r="E3" s="19">
        <v>2106</v>
      </c>
      <c r="F3" s="19">
        <v>70.808099999999996</v>
      </c>
      <c r="G3" s="19">
        <v>65.012799999999999</v>
      </c>
      <c r="H3" s="19">
        <v>136916.95679999999</v>
      </c>
      <c r="I3" s="19">
        <v>48.650799999999997</v>
      </c>
      <c r="J3" s="19">
        <v>7.47</v>
      </c>
      <c r="K3" s="19">
        <v>22.130500000000001</v>
      </c>
      <c r="L3" s="19">
        <v>48.913600000000002</v>
      </c>
      <c r="M3" s="19">
        <v>36.736699999999999</v>
      </c>
      <c r="N3" s="19">
        <v>15.858000000000001</v>
      </c>
      <c r="O3" s="19">
        <v>18.363399999999999</v>
      </c>
      <c r="P3" s="19">
        <v>40.723100000000002</v>
      </c>
      <c r="Q3" s="19">
        <v>476.71870000000001</v>
      </c>
      <c r="R3" s="19">
        <v>40.715200000000003</v>
      </c>
      <c r="S3" s="19">
        <v>1171.2828999999999</v>
      </c>
      <c r="T3" s="19">
        <v>1246.7918017908244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>
        <v>0.75236876430487543</v>
      </c>
      <c r="AQ3" s="19">
        <v>0.6263858809342161</v>
      </c>
      <c r="AR3" s="19"/>
      <c r="AS3" s="19"/>
      <c r="AT3" s="19"/>
      <c r="AU3" s="19">
        <v>0.9946272611298288</v>
      </c>
      <c r="AV3" s="19">
        <v>0.15271826240554773</v>
      </c>
      <c r="AW3" s="19">
        <v>0.45244063000883189</v>
      </c>
      <c r="AX3" s="19">
        <v>0.90210961346262919</v>
      </c>
      <c r="AY3" s="19">
        <v>0.38941043289926358</v>
      </c>
      <c r="AZ3" s="19">
        <v>0.45093325409902479</v>
      </c>
      <c r="BA3" s="19"/>
      <c r="BB3" s="19"/>
      <c r="BC3" s="19"/>
      <c r="BD3" s="19"/>
      <c r="BE3" s="19"/>
      <c r="BF3" s="19"/>
      <c r="BG3" s="19"/>
      <c r="BH3" s="19"/>
      <c r="BI3" s="19"/>
    </row>
    <row r="4" spans="1:61" x14ac:dyDescent="0.55000000000000004">
      <c r="A4" s="19" t="s">
        <v>518</v>
      </c>
      <c r="B4" s="19" t="s">
        <v>519</v>
      </c>
      <c r="C4" s="19" t="s">
        <v>515</v>
      </c>
      <c r="D4" s="19" t="s">
        <v>9</v>
      </c>
      <c r="E4" s="19">
        <v>2353</v>
      </c>
      <c r="F4" s="19">
        <v>68.735299999999995</v>
      </c>
      <c r="G4" s="19">
        <v>40.867699999999999</v>
      </c>
      <c r="H4" s="19">
        <v>96161.698099999994</v>
      </c>
      <c r="I4" s="19">
        <v>133.7199</v>
      </c>
      <c r="J4" s="19">
        <v>24.013999999999999</v>
      </c>
      <c r="K4" s="19">
        <v>26.005299999999998</v>
      </c>
      <c r="L4" s="19">
        <v>133.85210000000001</v>
      </c>
      <c r="M4" s="19">
        <v>53.681800000000003</v>
      </c>
      <c r="N4" s="19">
        <v>10.9374</v>
      </c>
      <c r="O4" s="19">
        <v>18.725300000000001</v>
      </c>
      <c r="P4" s="19">
        <v>54.7151</v>
      </c>
      <c r="Q4" s="19">
        <v>1304.7855999999999</v>
      </c>
      <c r="R4" s="19">
        <v>597.37170000000003</v>
      </c>
      <c r="S4" s="19">
        <v>5104.6287000000002</v>
      </c>
      <c r="T4" s="19">
        <v>5104.6303370004471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>
        <v>3.2752540514880946</v>
      </c>
      <c r="AQ4" s="19">
        <v>1.3388348255468254</v>
      </c>
      <c r="AR4" s="19"/>
      <c r="AS4" s="19"/>
      <c r="AT4" s="19"/>
      <c r="AU4" s="19">
        <v>0.99901234272753281</v>
      </c>
      <c r="AV4" s="19">
        <v>0.17940697232243646</v>
      </c>
      <c r="AW4" s="19">
        <v>0.19428384014894048</v>
      </c>
      <c r="AX4" s="19">
        <v>0.98111490246750899</v>
      </c>
      <c r="AY4" s="19">
        <v>0.1998972861239402</v>
      </c>
      <c r="AZ4" s="19">
        <v>0.34223276572646311</v>
      </c>
      <c r="BA4" s="19"/>
      <c r="BB4" s="19"/>
      <c r="BC4" s="19"/>
      <c r="BD4" s="19"/>
      <c r="BE4" s="19"/>
      <c r="BF4" s="19"/>
      <c r="BG4" s="19"/>
      <c r="BH4" s="19"/>
      <c r="BI4" s="19"/>
    </row>
    <row r="5" spans="1:61" x14ac:dyDescent="0.55000000000000004">
      <c r="A5" s="19" t="s">
        <v>520</v>
      </c>
      <c r="B5" s="19" t="s">
        <v>521</v>
      </c>
      <c r="C5" s="19" t="s">
        <v>515</v>
      </c>
      <c r="D5" s="19" t="s">
        <v>9</v>
      </c>
      <c r="E5" s="19">
        <v>2156</v>
      </c>
      <c r="F5" s="19">
        <v>68.959699999999998</v>
      </c>
      <c r="G5" s="19">
        <v>29.776299999999999</v>
      </c>
      <c r="H5" s="19">
        <v>64197.702799999999</v>
      </c>
      <c r="I5" s="19">
        <v>131.52119999999999</v>
      </c>
      <c r="J5" s="19">
        <v>27.357500000000002</v>
      </c>
      <c r="K5" s="19">
        <v>43.635100000000001</v>
      </c>
      <c r="L5" s="19">
        <v>134.4256</v>
      </c>
      <c r="M5" s="19">
        <v>34.290799999999997</v>
      </c>
      <c r="N5" s="19">
        <v>24.886199999999999</v>
      </c>
      <c r="O5" s="19">
        <v>15.099299999999999</v>
      </c>
      <c r="P5" s="19">
        <v>43.172699999999999</v>
      </c>
      <c r="Q5" s="19">
        <v>960.46130000000005</v>
      </c>
      <c r="R5" s="19">
        <v>54.313499999999998</v>
      </c>
      <c r="S5" s="19">
        <v>4851.6770999999999</v>
      </c>
      <c r="T5" s="19">
        <v>4923.8668850632885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>
        <v>4.5145165786212527</v>
      </c>
      <c r="AQ5" s="19">
        <v>1.4499014316755272</v>
      </c>
      <c r="AR5" s="19"/>
      <c r="AS5" s="19"/>
      <c r="AT5" s="19"/>
      <c r="AU5" s="19">
        <v>0.97839399638164148</v>
      </c>
      <c r="AV5" s="19">
        <v>0.20351406279756237</v>
      </c>
      <c r="AW5" s="19">
        <v>0.32460409326794898</v>
      </c>
      <c r="AX5" s="19">
        <v>0.79427045331887969</v>
      </c>
      <c r="AY5" s="19">
        <v>0.57643371853046022</v>
      </c>
      <c r="AZ5" s="19">
        <v>0.34974185075290637</v>
      </c>
      <c r="BA5" s="19"/>
      <c r="BB5" s="19"/>
      <c r="BC5" s="19"/>
      <c r="BD5" s="19"/>
      <c r="BE5" s="19"/>
      <c r="BF5" s="19"/>
      <c r="BG5" s="19"/>
      <c r="BH5" s="19"/>
      <c r="BI5" s="19"/>
    </row>
    <row r="6" spans="1:61" x14ac:dyDescent="0.55000000000000004">
      <c r="A6" s="19" t="s">
        <v>522</v>
      </c>
      <c r="B6" s="19" t="s">
        <v>523</v>
      </c>
      <c r="C6" s="19" t="s">
        <v>515</v>
      </c>
      <c r="D6" s="19" t="s">
        <v>9</v>
      </c>
      <c r="E6" s="19">
        <v>2370</v>
      </c>
      <c r="F6" s="19">
        <v>71.113112000000001</v>
      </c>
      <c r="G6" s="19">
        <v>29.571676</v>
      </c>
      <c r="H6" s="19">
        <v>70084.87212</v>
      </c>
      <c r="I6" s="19">
        <v>38.298042000000002</v>
      </c>
      <c r="J6" s="19">
        <v>13.615371</v>
      </c>
      <c r="K6" s="19">
        <v>15.278954000000001</v>
      </c>
      <c r="L6" s="19">
        <v>41.259236000000001</v>
      </c>
      <c r="M6" s="19">
        <v>25.957198999999999</v>
      </c>
      <c r="N6" s="19">
        <v>12.389658000000001</v>
      </c>
      <c r="O6" s="19">
        <v>6.3244189999999998</v>
      </c>
      <c r="P6" s="19">
        <v>26.885795000000002</v>
      </c>
      <c r="Q6" s="19">
        <v>456.76483300000001</v>
      </c>
      <c r="R6" s="19">
        <v>64.869495000000001</v>
      </c>
      <c r="S6" s="19">
        <v>784.71164799999997</v>
      </c>
      <c r="T6" s="19">
        <v>849.26161392083361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>
        <v>1.3952281906510811</v>
      </c>
      <c r="AQ6" s="19">
        <v>0.90917386623605645</v>
      </c>
      <c r="AR6" s="19"/>
      <c r="AS6" s="19"/>
      <c r="AT6" s="19"/>
      <c r="AU6" s="19">
        <v>0.92822954840947614</v>
      </c>
      <c r="AV6" s="19">
        <v>0.32999571295988128</v>
      </c>
      <c r="AW6" s="19">
        <v>0.37031596998063659</v>
      </c>
      <c r="AX6" s="19">
        <v>0.96546146394406407</v>
      </c>
      <c r="AY6" s="19">
        <v>0.46082542844650864</v>
      </c>
      <c r="AZ6" s="19">
        <v>0.23523273163393529</v>
      </c>
      <c r="BA6" s="19"/>
      <c r="BB6" s="19"/>
      <c r="BC6" s="19"/>
      <c r="BD6" s="19"/>
      <c r="BE6" s="19"/>
      <c r="BF6" s="19"/>
      <c r="BG6" s="19"/>
      <c r="BH6" s="19"/>
      <c r="BI6" s="19"/>
    </row>
    <row r="7" spans="1:61" x14ac:dyDescent="0.55000000000000004">
      <c r="A7" s="19" t="s">
        <v>524</v>
      </c>
      <c r="B7" s="19" t="s">
        <v>525</v>
      </c>
      <c r="C7" s="19" t="s">
        <v>515</v>
      </c>
      <c r="D7" s="19" t="s">
        <v>9</v>
      </c>
      <c r="E7" s="19">
        <v>2456</v>
      </c>
      <c r="F7" s="19">
        <v>70.361230000000006</v>
      </c>
      <c r="G7" s="19">
        <v>43.185122999999997</v>
      </c>
      <c r="H7" s="19">
        <v>106062.662088</v>
      </c>
      <c r="I7" s="19">
        <v>40.578564999999998</v>
      </c>
      <c r="J7" s="19">
        <v>18.492622000000001</v>
      </c>
      <c r="K7" s="19">
        <v>17.320506000000002</v>
      </c>
      <c r="L7" s="19">
        <v>45.664752999999997</v>
      </c>
      <c r="M7" s="19">
        <v>35.121327999999998</v>
      </c>
      <c r="N7" s="19">
        <v>14.815275</v>
      </c>
      <c r="O7" s="19">
        <v>6.1876410000000002</v>
      </c>
      <c r="P7" s="19">
        <v>36.778143</v>
      </c>
      <c r="Q7" s="19">
        <v>518.97076900000002</v>
      </c>
      <c r="R7" s="19">
        <v>98.795801999999995</v>
      </c>
      <c r="S7" s="19">
        <v>1463.3528510000001</v>
      </c>
      <c r="T7" s="19">
        <v>1466.2823942309874</v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>
        <v>1.0574186161285219</v>
      </c>
      <c r="AQ7" s="19">
        <v>0.85163918602246436</v>
      </c>
      <c r="AR7" s="19"/>
      <c r="AS7" s="19"/>
      <c r="AT7" s="19"/>
      <c r="AU7" s="19">
        <v>0.88861895300298677</v>
      </c>
      <c r="AV7" s="19">
        <v>0.40496489710565176</v>
      </c>
      <c r="AW7" s="19">
        <v>0.37929704776898721</v>
      </c>
      <c r="AX7" s="19">
        <v>0.95495109690557234</v>
      </c>
      <c r="AY7" s="19">
        <v>0.40282825046386928</v>
      </c>
      <c r="AZ7" s="19">
        <v>0.1682423443728521</v>
      </c>
      <c r="BA7" s="19"/>
      <c r="BB7" s="19"/>
      <c r="BC7" s="19"/>
      <c r="BD7" s="19"/>
      <c r="BE7" s="19"/>
      <c r="BF7" s="19"/>
      <c r="BG7" s="19"/>
      <c r="BH7" s="19"/>
      <c r="BI7" s="19"/>
    </row>
    <row r="8" spans="1:61" x14ac:dyDescent="0.55000000000000004">
      <c r="A8" s="19" t="s">
        <v>526</v>
      </c>
      <c r="B8" s="19" t="s">
        <v>527</v>
      </c>
      <c r="C8" s="19" t="s">
        <v>515</v>
      </c>
      <c r="D8" s="19" t="s">
        <v>9</v>
      </c>
      <c r="E8" s="19">
        <v>2300</v>
      </c>
      <c r="F8" s="19">
        <v>72.106394000000009</v>
      </c>
      <c r="G8" s="19">
        <v>36.788462000000003</v>
      </c>
      <c r="H8" s="19">
        <v>84613.462599999999</v>
      </c>
      <c r="I8" s="19">
        <v>65.809774000000004</v>
      </c>
      <c r="J8" s="19">
        <v>33.221038999999998</v>
      </c>
      <c r="K8" s="19">
        <v>30.882822000000001</v>
      </c>
      <c r="L8" s="19">
        <v>71.559268000000003</v>
      </c>
      <c r="M8" s="19">
        <v>37.056972000000002</v>
      </c>
      <c r="N8" s="19">
        <v>20.399201000000001</v>
      </c>
      <c r="O8" s="19">
        <v>14.651996</v>
      </c>
      <c r="P8" s="19">
        <v>40.062493000000003</v>
      </c>
      <c r="Q8" s="19">
        <v>475.43809800000002</v>
      </c>
      <c r="R8" s="19">
        <v>212.99156099999999</v>
      </c>
      <c r="S8" s="19">
        <v>1537.33889</v>
      </c>
      <c r="T8" s="19">
        <v>1568.1566453226765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>
        <v>1.9451551956697728</v>
      </c>
      <c r="AQ8" s="19">
        <v>1.0889961368866141</v>
      </c>
      <c r="AR8" s="19"/>
      <c r="AS8" s="19"/>
      <c r="AT8" s="19"/>
      <c r="AU8" s="19">
        <v>0.91965409707656598</v>
      </c>
      <c r="AV8" s="19">
        <v>0.46424509261330055</v>
      </c>
      <c r="AW8" s="19">
        <v>0.43156984221806183</v>
      </c>
      <c r="AX8" s="19">
        <v>0.92497918189963857</v>
      </c>
      <c r="AY8" s="19">
        <v>0.50918451330525039</v>
      </c>
      <c r="AZ8" s="19">
        <v>0.36572851320061384</v>
      </c>
      <c r="BA8" s="19"/>
      <c r="BB8" s="19"/>
      <c r="BC8" s="19"/>
      <c r="BD8" s="19"/>
      <c r="BE8" s="19"/>
      <c r="BF8" s="19"/>
      <c r="BG8" s="19"/>
      <c r="BH8" s="19"/>
      <c r="BI8" s="19"/>
    </row>
    <row r="9" spans="1:61" x14ac:dyDescent="0.55000000000000004">
      <c r="A9" s="19" t="s">
        <v>528</v>
      </c>
      <c r="B9" s="19" t="s">
        <v>529</v>
      </c>
      <c r="C9" s="19" t="s">
        <v>515</v>
      </c>
      <c r="D9" s="19" t="s">
        <v>9</v>
      </c>
      <c r="E9" s="19">
        <v>2052</v>
      </c>
      <c r="F9" s="19">
        <v>70.519166999999996</v>
      </c>
      <c r="G9" s="19">
        <v>38.610641000000001</v>
      </c>
      <c r="H9" s="19">
        <v>79229.035331999999</v>
      </c>
      <c r="I9" s="19">
        <v>31.865658</v>
      </c>
      <c r="J9" s="19">
        <v>7.7336159999999996</v>
      </c>
      <c r="K9" s="19">
        <v>26.211546999999999</v>
      </c>
      <c r="L9" s="19">
        <v>36.374256000000003</v>
      </c>
      <c r="M9" s="19">
        <v>27.683575999999999</v>
      </c>
      <c r="N9" s="19">
        <v>13.471014</v>
      </c>
      <c r="O9" s="19">
        <v>13.012339000000001</v>
      </c>
      <c r="P9" s="19">
        <v>31.733847000000001</v>
      </c>
      <c r="Q9" s="19">
        <v>669.05111099999999</v>
      </c>
      <c r="R9" s="19">
        <v>95.222403999999997</v>
      </c>
      <c r="S9" s="19">
        <v>1088.1460569999999</v>
      </c>
      <c r="T9" s="19">
        <v>1088.421935050611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>
        <v>0.94207853218494875</v>
      </c>
      <c r="AQ9" s="19">
        <v>0.82189381419490026</v>
      </c>
      <c r="AR9" s="19"/>
      <c r="AS9" s="19"/>
      <c r="AT9" s="19"/>
      <c r="AU9" s="19">
        <v>0.87604975343000824</v>
      </c>
      <c r="AV9" s="19">
        <v>0.21261234868968865</v>
      </c>
      <c r="AW9" s="19">
        <v>0.72060709640356624</v>
      </c>
      <c r="AX9" s="19">
        <v>0.87236747564831951</v>
      </c>
      <c r="AY9" s="19">
        <v>0.42449987232874731</v>
      </c>
      <c r="AZ9" s="19">
        <v>0.4100460621745608</v>
      </c>
      <c r="BA9" s="19"/>
      <c r="BB9" s="19"/>
      <c r="BC9" s="19"/>
      <c r="BD9" s="19"/>
      <c r="BE9" s="19"/>
      <c r="BF9" s="19"/>
      <c r="BG9" s="19"/>
      <c r="BH9" s="19"/>
      <c r="BI9" s="19"/>
    </row>
    <row r="10" spans="1:61" x14ac:dyDescent="0.55000000000000004">
      <c r="A10" s="19" t="s">
        <v>530</v>
      </c>
      <c r="B10" s="19" t="s">
        <v>531</v>
      </c>
      <c r="C10" s="19" t="s">
        <v>515</v>
      </c>
      <c r="D10" s="19" t="s">
        <v>9</v>
      </c>
      <c r="E10" s="19">
        <v>1977</v>
      </c>
      <c r="F10" s="19">
        <v>71.237442000000001</v>
      </c>
      <c r="G10" s="19">
        <v>34.404772000000001</v>
      </c>
      <c r="H10" s="19">
        <v>68018.234244000007</v>
      </c>
      <c r="I10" s="19">
        <v>48.471581</v>
      </c>
      <c r="J10" s="19">
        <v>27.457286</v>
      </c>
      <c r="K10" s="19">
        <v>34.506129000000001</v>
      </c>
      <c r="L10" s="19">
        <v>53.13203</v>
      </c>
      <c r="M10" s="19">
        <v>35.884729999999998</v>
      </c>
      <c r="N10" s="19">
        <v>18.272251000000001</v>
      </c>
      <c r="O10" s="19">
        <v>8.779579</v>
      </c>
      <c r="P10" s="19">
        <v>38.645587999999996</v>
      </c>
      <c r="Q10" s="19">
        <v>480.59722699999998</v>
      </c>
      <c r="R10" s="19">
        <v>81.684580999999994</v>
      </c>
      <c r="S10" s="19">
        <v>1484.7227720000001</v>
      </c>
      <c r="T10" s="19">
        <v>1531.0311990560895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>
        <v>1.5443215260952754</v>
      </c>
      <c r="AQ10" s="19">
        <v>1.1232624358039633</v>
      </c>
      <c r="AR10" s="19"/>
      <c r="AS10" s="19"/>
      <c r="AT10" s="19"/>
      <c r="AU10" s="19">
        <v>0.91228550838354938</v>
      </c>
      <c r="AV10" s="19">
        <v>0.51677464610330148</v>
      </c>
      <c r="AW10" s="19">
        <v>0.64944119394647637</v>
      </c>
      <c r="AX10" s="19">
        <v>0.92855955510367705</v>
      </c>
      <c r="AY10" s="19">
        <v>0.47281596543439841</v>
      </c>
      <c r="AZ10" s="19">
        <v>0.22718192306971757</v>
      </c>
      <c r="BA10" s="19"/>
      <c r="BB10" s="19"/>
      <c r="BC10" s="19"/>
      <c r="BD10" s="19"/>
      <c r="BE10" s="19"/>
      <c r="BF10" s="19"/>
      <c r="BG10" s="19"/>
      <c r="BH10" s="19"/>
      <c r="BI10" s="19"/>
    </row>
    <row r="11" spans="1:61" x14ac:dyDescent="0.55000000000000004">
      <c r="A11" s="19" t="s">
        <v>532</v>
      </c>
      <c r="B11" s="19" t="s">
        <v>533</v>
      </c>
      <c r="C11" s="19" t="s">
        <v>515</v>
      </c>
      <c r="D11" s="19" t="s">
        <v>9</v>
      </c>
      <c r="E11" s="19">
        <v>1756</v>
      </c>
      <c r="F11" s="19">
        <v>70.627556999999996</v>
      </c>
      <c r="G11" s="19">
        <v>31.740237</v>
      </c>
      <c r="H11" s="19">
        <v>55735.856172</v>
      </c>
      <c r="I11" s="19">
        <v>68.911152999999999</v>
      </c>
      <c r="J11" s="19">
        <v>9.7658159999999992</v>
      </c>
      <c r="K11" s="19">
        <v>10.201510000000001</v>
      </c>
      <c r="L11" s="19">
        <v>69.143386000000007</v>
      </c>
      <c r="M11" s="19">
        <v>48.442675000000001</v>
      </c>
      <c r="N11" s="19">
        <v>12.218173999999999</v>
      </c>
      <c r="O11" s="19">
        <v>5.4834880000000004</v>
      </c>
      <c r="P11" s="19">
        <v>48.469406999999997</v>
      </c>
      <c r="Q11" s="19">
        <v>757.22011199999997</v>
      </c>
      <c r="R11" s="19">
        <v>37.471792000000001</v>
      </c>
      <c r="S11" s="19">
        <v>1790.1174040000001</v>
      </c>
      <c r="T11" s="19">
        <v>1914.3850024490475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>
        <v>2.1784142947640879</v>
      </c>
      <c r="AQ11" s="19">
        <v>1.5270650625576614</v>
      </c>
      <c r="AR11" s="19"/>
      <c r="AS11" s="19"/>
      <c r="AT11" s="19"/>
      <c r="AU11" s="19">
        <v>0.99664128395447671</v>
      </c>
      <c r="AV11" s="19">
        <v>0.14124006018449831</v>
      </c>
      <c r="AW11" s="19">
        <v>0.14754137149141061</v>
      </c>
      <c r="AX11" s="19">
        <v>0.99944847685056271</v>
      </c>
      <c r="AY11" s="19">
        <v>0.25208012138460867</v>
      </c>
      <c r="AZ11" s="19">
        <v>0.11313297065920366</v>
      </c>
      <c r="BA11" s="19"/>
      <c r="BB11" s="19"/>
      <c r="BC11" s="19"/>
      <c r="BD11" s="19"/>
      <c r="BE11" s="19"/>
      <c r="BF11" s="19"/>
      <c r="BG11" s="19"/>
      <c r="BH11" s="19"/>
      <c r="BI11" s="19"/>
    </row>
    <row r="12" spans="1:61" x14ac:dyDescent="0.55000000000000004">
      <c r="A12" s="19" t="s">
        <v>534</v>
      </c>
      <c r="B12" s="19" t="s">
        <v>535</v>
      </c>
      <c r="C12" s="19" t="s">
        <v>515</v>
      </c>
      <c r="D12" s="19" t="s">
        <v>9</v>
      </c>
      <c r="E12" s="19">
        <v>1726</v>
      </c>
      <c r="F12" s="19">
        <v>67.443090000000012</v>
      </c>
      <c r="G12" s="19">
        <v>35.277006999999998</v>
      </c>
      <c r="H12" s="19">
        <v>60888.114081999993</v>
      </c>
      <c r="I12" s="19">
        <v>57.982906999999997</v>
      </c>
      <c r="J12" s="19">
        <v>14.172292000000001</v>
      </c>
      <c r="K12" s="19">
        <v>18.608442</v>
      </c>
      <c r="L12" s="19">
        <v>60.156844</v>
      </c>
      <c r="M12" s="19">
        <v>32.011803</v>
      </c>
      <c r="N12" s="19">
        <v>14.840908000000001</v>
      </c>
      <c r="O12" s="19">
        <v>9.9790519999999994</v>
      </c>
      <c r="P12" s="19">
        <v>32.686602000000001</v>
      </c>
      <c r="Q12" s="19">
        <v>424.37080099999997</v>
      </c>
      <c r="R12" s="19">
        <v>429.74644999999998</v>
      </c>
      <c r="S12" s="19">
        <v>1135.1210349999999</v>
      </c>
      <c r="T12" s="19">
        <v>1149.5753264384819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>
        <v>1.705270631377543</v>
      </c>
      <c r="AQ12" s="19">
        <v>0.92656959248271831</v>
      </c>
      <c r="AR12" s="19"/>
      <c r="AS12" s="19"/>
      <c r="AT12" s="19"/>
      <c r="AU12" s="19">
        <v>0.96386218332863338</v>
      </c>
      <c r="AV12" s="19">
        <v>0.23558902125916048</v>
      </c>
      <c r="AW12" s="19">
        <v>0.30933208530686884</v>
      </c>
      <c r="AX12" s="19">
        <v>0.97935548638552272</v>
      </c>
      <c r="AY12" s="19">
        <v>0.45403642752464757</v>
      </c>
      <c r="AZ12" s="19">
        <v>0.30529487280445972</v>
      </c>
      <c r="BA12" s="19"/>
      <c r="BB12" s="19"/>
      <c r="BC12" s="19"/>
      <c r="BD12" s="19"/>
      <c r="BE12" s="19"/>
      <c r="BF12" s="19"/>
      <c r="BG12" s="19"/>
      <c r="BH12" s="19"/>
      <c r="BI12" s="19"/>
    </row>
    <row r="13" spans="1:61" x14ac:dyDescent="0.55000000000000004">
      <c r="A13" s="19" t="s">
        <v>536</v>
      </c>
      <c r="B13" s="19" t="s">
        <v>537</v>
      </c>
      <c r="C13" s="19" t="s">
        <v>515</v>
      </c>
      <c r="D13" s="19" t="s">
        <v>9</v>
      </c>
      <c r="E13" s="19">
        <v>1826</v>
      </c>
      <c r="F13" s="19">
        <v>72.575815000000006</v>
      </c>
      <c r="G13" s="19">
        <v>34.118682999999997</v>
      </c>
      <c r="H13" s="19">
        <v>62300.715157999992</v>
      </c>
      <c r="I13" s="19">
        <v>69.366136999999995</v>
      </c>
      <c r="J13" s="19">
        <v>39.337601999999997</v>
      </c>
      <c r="K13" s="19">
        <v>44.685938999999998</v>
      </c>
      <c r="L13" s="19">
        <v>88.847269999999995</v>
      </c>
      <c r="M13" s="19">
        <v>32.468674999999998</v>
      </c>
      <c r="N13" s="19">
        <v>21.419329000000001</v>
      </c>
      <c r="O13" s="19">
        <v>20.354611999999999</v>
      </c>
      <c r="P13" s="19">
        <v>42.086083000000002</v>
      </c>
      <c r="Q13" s="19">
        <v>321.55407700000001</v>
      </c>
      <c r="R13" s="19">
        <v>922.39014999999995</v>
      </c>
      <c r="S13" s="19">
        <v>1934.1397019999999</v>
      </c>
      <c r="T13" s="19">
        <v>1936.8694402545698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>
        <v>2.6040650513972068</v>
      </c>
      <c r="AQ13" s="19">
        <v>1.2335201508217655</v>
      </c>
      <c r="AR13" s="19"/>
      <c r="AS13" s="19"/>
      <c r="AT13" s="19"/>
      <c r="AU13" s="19">
        <v>0.78073459094466269</v>
      </c>
      <c r="AV13" s="19">
        <v>0.44275532607811136</v>
      </c>
      <c r="AW13" s="19">
        <v>0.50295230230484289</v>
      </c>
      <c r="AX13" s="19">
        <v>0.77148246369233264</v>
      </c>
      <c r="AY13" s="19">
        <v>0.50894090096243927</v>
      </c>
      <c r="AZ13" s="19">
        <v>0.48364234799422884</v>
      </c>
      <c r="BA13" s="19"/>
      <c r="BB13" s="19"/>
      <c r="BC13" s="19"/>
      <c r="BD13" s="19"/>
      <c r="BE13" s="19"/>
      <c r="BF13" s="19"/>
      <c r="BG13" s="19"/>
      <c r="BH13" s="19"/>
      <c r="BI13" s="19"/>
    </row>
    <row r="14" spans="1:61" x14ac:dyDescent="0.55000000000000004">
      <c r="A14" s="19" t="s">
        <v>538</v>
      </c>
      <c r="B14" s="19" t="s">
        <v>539</v>
      </c>
      <c r="C14" s="19" t="s">
        <v>515</v>
      </c>
      <c r="D14" s="19" t="s">
        <v>9</v>
      </c>
      <c r="E14" s="19">
        <v>2454</v>
      </c>
      <c r="F14" s="19">
        <v>72.894565999999998</v>
      </c>
      <c r="G14" s="19">
        <v>36.284649999999999</v>
      </c>
      <c r="H14" s="19">
        <v>89042.531099999993</v>
      </c>
      <c r="I14" s="19">
        <v>80.890159999999995</v>
      </c>
      <c r="J14" s="19">
        <v>34.051049999999996</v>
      </c>
      <c r="K14" s="19">
        <v>31.364647999999999</v>
      </c>
      <c r="L14" s="19">
        <v>91.923623000000006</v>
      </c>
      <c r="M14" s="19">
        <v>37.250709000000001</v>
      </c>
      <c r="N14" s="19">
        <v>14.129533</v>
      </c>
      <c r="O14" s="19">
        <v>13.599311999999999</v>
      </c>
      <c r="P14" s="19">
        <v>40.095041999999999</v>
      </c>
      <c r="Q14" s="19">
        <v>612.32558100000006</v>
      </c>
      <c r="R14" s="19">
        <v>2267.348821</v>
      </c>
      <c r="S14" s="19">
        <v>1375.651314</v>
      </c>
      <c r="T14" s="19">
        <v>2294.4634882253872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>
        <v>2.5334024994040183</v>
      </c>
      <c r="AQ14" s="19">
        <v>1.1050138832812222</v>
      </c>
      <c r="AR14" s="19"/>
      <c r="AS14" s="19"/>
      <c r="AT14" s="19"/>
      <c r="AU14" s="19">
        <v>0.87997140843763288</v>
      </c>
      <c r="AV14" s="19">
        <v>0.37042763207886176</v>
      </c>
      <c r="AW14" s="19">
        <v>0.34120334878445768</v>
      </c>
      <c r="AX14" s="19">
        <v>0.92906023143709393</v>
      </c>
      <c r="AY14" s="19">
        <v>0.35240100259777757</v>
      </c>
      <c r="AZ14" s="19">
        <v>0.33917689872977314</v>
      </c>
      <c r="BA14" s="19"/>
      <c r="BB14" s="19"/>
      <c r="BC14" s="19"/>
      <c r="BD14" s="19"/>
      <c r="BE14" s="19"/>
      <c r="BF14" s="19"/>
      <c r="BG14" s="19"/>
      <c r="BH14" s="19"/>
      <c r="BI14" s="19"/>
    </row>
    <row r="15" spans="1:61" x14ac:dyDescent="0.55000000000000004">
      <c r="A15" s="19" t="s">
        <v>540</v>
      </c>
      <c r="B15" s="19" t="s">
        <v>541</v>
      </c>
      <c r="C15" s="19" t="s">
        <v>515</v>
      </c>
      <c r="D15" s="19" t="s">
        <v>9</v>
      </c>
      <c r="E15" s="19">
        <v>2092</v>
      </c>
      <c r="F15" s="19">
        <v>70.455213000000001</v>
      </c>
      <c r="G15" s="19">
        <v>27.863616</v>
      </c>
      <c r="H15" s="19">
        <v>58290.684672000003</v>
      </c>
      <c r="I15" s="19">
        <v>40.870660000000001</v>
      </c>
      <c r="J15" s="19">
        <v>9.1655149999999992</v>
      </c>
      <c r="K15" s="19">
        <v>17.445944999999998</v>
      </c>
      <c r="L15" s="19">
        <v>44.943060000000003</v>
      </c>
      <c r="M15" s="19">
        <v>31.265032000000001</v>
      </c>
      <c r="N15" s="19">
        <v>4.4600489999999997</v>
      </c>
      <c r="O15" s="19">
        <v>3.5535060000000001</v>
      </c>
      <c r="P15" s="19">
        <v>31.346941999999999</v>
      </c>
      <c r="Q15" s="19">
        <v>547.58255299999996</v>
      </c>
      <c r="R15" s="19">
        <v>72.746334000000004</v>
      </c>
      <c r="S15" s="19">
        <v>1060.6795259999999</v>
      </c>
      <c r="T15" s="19">
        <v>1063.7546753067927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>
        <v>1.6129658117596799</v>
      </c>
      <c r="AQ15" s="19">
        <v>1.1250134225220445</v>
      </c>
      <c r="AR15" s="19"/>
      <c r="AS15" s="19"/>
      <c r="AT15" s="19"/>
      <c r="AU15" s="19">
        <v>0.90938756729070069</v>
      </c>
      <c r="AV15" s="19">
        <v>0.20393615833011813</v>
      </c>
      <c r="AW15" s="19">
        <v>0.38817884229511734</v>
      </c>
      <c r="AX15" s="19">
        <v>0.99738698594587005</v>
      </c>
      <c r="AY15" s="19">
        <v>0.14228019434878209</v>
      </c>
      <c r="AZ15" s="19">
        <v>0.11336053130796618</v>
      </c>
      <c r="BA15" s="19"/>
      <c r="BB15" s="19"/>
      <c r="BC15" s="19"/>
      <c r="BD15" s="19"/>
      <c r="BE15" s="19"/>
      <c r="BF15" s="19"/>
      <c r="BG15" s="19"/>
      <c r="BH15" s="19"/>
      <c r="BI15" s="19"/>
    </row>
    <row r="16" spans="1:61" x14ac:dyDescent="0.55000000000000004">
      <c r="A16" s="19" t="s">
        <v>542</v>
      </c>
      <c r="B16" s="19" t="s">
        <v>543</v>
      </c>
      <c r="C16" s="19" t="s">
        <v>515</v>
      </c>
      <c r="D16" s="19" t="s">
        <v>9</v>
      </c>
      <c r="E16" s="19">
        <v>1809</v>
      </c>
      <c r="F16" s="19">
        <v>69.001084679999991</v>
      </c>
      <c r="G16" s="19">
        <v>35.074154460000003</v>
      </c>
      <c r="H16" s="19">
        <v>63449.145418140004</v>
      </c>
      <c r="I16" s="19">
        <v>48.56597798</v>
      </c>
      <c r="J16" s="19">
        <v>8.6798615899999998</v>
      </c>
      <c r="K16" s="19">
        <v>14.23363383</v>
      </c>
      <c r="L16" s="19">
        <v>49.492953159999999</v>
      </c>
      <c r="M16" s="19">
        <v>36.597008809999998</v>
      </c>
      <c r="N16" s="19">
        <v>12.583955850000001</v>
      </c>
      <c r="O16" s="19">
        <v>8.6532186899999992</v>
      </c>
      <c r="P16" s="19">
        <v>37.578304430000003</v>
      </c>
      <c r="Q16" s="19">
        <v>445.78420560000001</v>
      </c>
      <c r="R16" s="19">
        <v>161.1253212</v>
      </c>
      <c r="S16" s="19">
        <v>1103.0476009399999</v>
      </c>
      <c r="T16" s="19">
        <v>1110.7344020554531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>
        <v>1.4110946912902429</v>
      </c>
      <c r="AQ16" s="19">
        <v>1.0713958756398771</v>
      </c>
      <c r="AR16" s="19"/>
      <c r="AS16" s="19"/>
      <c r="AT16" s="19"/>
      <c r="AU16" s="19">
        <v>0.9812705623565583</v>
      </c>
      <c r="AV16" s="19">
        <v>0.17537570574824837</v>
      </c>
      <c r="AW16" s="19">
        <v>0.28758909948221811</v>
      </c>
      <c r="AX16" s="19">
        <v>0.97388664457099339</v>
      </c>
      <c r="AY16" s="19">
        <v>0.33487290182134488</v>
      </c>
      <c r="AZ16" s="19">
        <v>0.23027166396288623</v>
      </c>
      <c r="BA16" s="19"/>
      <c r="BB16" s="19"/>
      <c r="BC16" s="19"/>
      <c r="BD16" s="19"/>
      <c r="BE16" s="19"/>
      <c r="BF16" s="19"/>
      <c r="BG16" s="19"/>
      <c r="BH16" s="19"/>
      <c r="BI16" s="19"/>
    </row>
    <row r="17" spans="1:61" x14ac:dyDescent="0.55000000000000004">
      <c r="A17" s="19" t="s">
        <v>544</v>
      </c>
      <c r="B17" s="19" t="s">
        <v>545</v>
      </c>
      <c r="C17" s="19" t="s">
        <v>515</v>
      </c>
      <c r="D17" s="19" t="s">
        <v>9</v>
      </c>
      <c r="E17" s="19">
        <v>2137</v>
      </c>
      <c r="F17" s="19">
        <v>68.299540400000012</v>
      </c>
      <c r="G17" s="19">
        <v>58.584114720000002</v>
      </c>
      <c r="H17" s="19">
        <v>125194.25315664</v>
      </c>
      <c r="I17" s="19">
        <v>46.032520120000001</v>
      </c>
      <c r="J17" s="19">
        <v>7.5270201800000001</v>
      </c>
      <c r="K17" s="19">
        <v>16.465241679999998</v>
      </c>
      <c r="L17" s="19">
        <v>46.736684609999998</v>
      </c>
      <c r="M17" s="19">
        <v>35.471689159999997</v>
      </c>
      <c r="N17" s="19">
        <v>11.45484926</v>
      </c>
      <c r="O17" s="19">
        <v>11.70016676</v>
      </c>
      <c r="P17" s="19">
        <v>37.483624910000003</v>
      </c>
      <c r="Q17" s="19">
        <v>431.06520029000001</v>
      </c>
      <c r="R17" s="19">
        <v>144.67884233999999</v>
      </c>
      <c r="S17" s="19">
        <v>815.70597081000005</v>
      </c>
      <c r="T17" s="19">
        <v>855.84770711746216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>
        <v>0.79777060442708347</v>
      </c>
      <c r="AQ17" s="19">
        <v>0.63982574609433307</v>
      </c>
      <c r="AR17" s="19"/>
      <c r="AS17" s="19"/>
      <c r="AT17" s="19"/>
      <c r="AU17" s="19">
        <v>0.98493336667168452</v>
      </c>
      <c r="AV17" s="19">
        <v>0.16105165017181136</v>
      </c>
      <c r="AW17" s="19">
        <v>0.35229802493258194</v>
      </c>
      <c r="AX17" s="19">
        <v>0.94632494176241599</v>
      </c>
      <c r="AY17" s="19">
        <v>0.30559609129329535</v>
      </c>
      <c r="AZ17" s="19">
        <v>0.31214074914293016</v>
      </c>
      <c r="BA17" s="19"/>
      <c r="BB17" s="19"/>
      <c r="BC17" s="19"/>
      <c r="BD17" s="19"/>
      <c r="BE17" s="19"/>
      <c r="BF17" s="19"/>
      <c r="BG17" s="19"/>
      <c r="BH17" s="19"/>
      <c r="BI17" s="19"/>
    </row>
    <row r="18" spans="1:61" x14ac:dyDescent="0.55000000000000004">
      <c r="A18" s="19" t="s">
        <v>546</v>
      </c>
      <c r="B18" s="19" t="s">
        <v>547</v>
      </c>
      <c r="C18" s="19" t="s">
        <v>515</v>
      </c>
      <c r="D18" s="19" t="s">
        <v>9</v>
      </c>
      <c r="E18" s="19">
        <v>2454</v>
      </c>
      <c r="F18" s="19">
        <v>68.487680999999995</v>
      </c>
      <c r="G18" s="19">
        <v>88.901612999999998</v>
      </c>
      <c r="H18" s="19">
        <v>218164.55830199999</v>
      </c>
      <c r="I18" s="19">
        <v>45.767367</v>
      </c>
      <c r="J18" s="19">
        <v>10.365938</v>
      </c>
      <c r="K18" s="19">
        <v>27.128571000000001</v>
      </c>
      <c r="L18" s="19">
        <v>52.905420999999997</v>
      </c>
      <c r="M18" s="19">
        <v>27.570882999999998</v>
      </c>
      <c r="N18" s="19">
        <v>10.231978</v>
      </c>
      <c r="O18" s="19">
        <v>8.7320030000000006</v>
      </c>
      <c r="P18" s="19">
        <v>29.978959</v>
      </c>
      <c r="Q18" s="19">
        <v>435.30717099999998</v>
      </c>
      <c r="R18" s="19">
        <v>393.73636699999997</v>
      </c>
      <c r="S18" s="19">
        <v>1166.2157979999999</v>
      </c>
      <c r="T18" s="19">
        <v>1183.6711341175526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>
        <v>0.59510079980213626</v>
      </c>
      <c r="AQ18" s="19">
        <v>0.33721501768477474</v>
      </c>
      <c r="AR18" s="19"/>
      <c r="AS18" s="19"/>
      <c r="AT18" s="19"/>
      <c r="AU18" s="19">
        <v>0.86507896799460315</v>
      </c>
      <c r="AV18" s="19">
        <v>0.19593338081555009</v>
      </c>
      <c r="AW18" s="19">
        <v>0.51277488180275521</v>
      </c>
      <c r="AX18" s="19">
        <v>0.91967446234540695</v>
      </c>
      <c r="AY18" s="19">
        <v>0.34130531350338084</v>
      </c>
      <c r="AZ18" s="19">
        <v>0.29127105447524049</v>
      </c>
      <c r="BA18" s="19"/>
      <c r="BB18" s="19"/>
      <c r="BC18" s="19"/>
      <c r="BD18" s="19"/>
      <c r="BE18" s="19"/>
      <c r="BF18" s="19"/>
      <c r="BG18" s="19"/>
      <c r="BH18" s="19"/>
      <c r="BI18" s="19"/>
    </row>
    <row r="19" spans="1:61" x14ac:dyDescent="0.55000000000000004">
      <c r="A19" s="19" t="s">
        <v>661</v>
      </c>
      <c r="B19" s="19" t="s">
        <v>662</v>
      </c>
      <c r="C19" s="19" t="s">
        <v>515</v>
      </c>
      <c r="D19" s="19" t="s">
        <v>9</v>
      </c>
      <c r="E19" s="19">
        <v>2433</v>
      </c>
      <c r="F19" s="19">
        <v>73.626878552447295</v>
      </c>
      <c r="G19" s="19">
        <v>49.568853482004826</v>
      </c>
      <c r="H19" s="19">
        <v>120601.02052171774</v>
      </c>
      <c r="I19" s="19">
        <v>51.222696286366997</v>
      </c>
      <c r="J19" s="19">
        <v>34.616646963640179</v>
      </c>
      <c r="K19" s="19">
        <v>18.589350363656454</v>
      </c>
      <c r="L19" s="19">
        <v>61.529941811982354</v>
      </c>
      <c r="M19" s="19">
        <v>38.206104932294174</v>
      </c>
      <c r="N19" s="19">
        <v>13.565372109441679</v>
      </c>
      <c r="O19" s="19">
        <v>19.63038457364436</v>
      </c>
      <c r="P19" s="19">
        <v>43.501568030567078</v>
      </c>
      <c r="Q19" s="19">
        <v>1269.068980954039</v>
      </c>
      <c r="R19" s="19">
        <v>440.15775743050403</v>
      </c>
      <c r="S19" s="19">
        <v>811.57645367014595</v>
      </c>
      <c r="T19" s="19">
        <v>1443.5047381316822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>
        <v>1.2413025012636172</v>
      </c>
      <c r="AQ19" s="19">
        <v>0.87759883424295104</v>
      </c>
      <c r="AR19" s="19"/>
      <c r="AS19" s="19"/>
      <c r="AT19" s="19"/>
      <c r="AU19" s="19">
        <v>0.83248406837257694</v>
      </c>
      <c r="AV19" s="19">
        <v>0.56259840240737757</v>
      </c>
      <c r="AW19" s="19">
        <v>0.3021187704103494</v>
      </c>
      <c r="AX19" s="19">
        <v>0.87826960410824817</v>
      </c>
      <c r="AY19" s="19">
        <v>0.31183639403319324</v>
      </c>
      <c r="AZ19" s="19">
        <v>0.45125694227506358</v>
      </c>
      <c r="BA19" s="19"/>
      <c r="BB19" s="19"/>
      <c r="BC19" s="19"/>
      <c r="BD19" s="19"/>
      <c r="BE19" s="19"/>
      <c r="BF19" s="19"/>
      <c r="BG19" s="19"/>
      <c r="BH19" s="19"/>
      <c r="BI19" s="19"/>
    </row>
    <row r="20" spans="1:61" x14ac:dyDescent="0.55000000000000004">
      <c r="A20" s="19" t="s">
        <v>663</v>
      </c>
      <c r="B20" s="19" t="s">
        <v>664</v>
      </c>
      <c r="C20" s="19" t="s">
        <v>515</v>
      </c>
      <c r="D20" s="19" t="s">
        <v>9</v>
      </c>
      <c r="E20" s="19">
        <v>2614</v>
      </c>
      <c r="F20" s="19">
        <v>71.350665766807097</v>
      </c>
      <c r="G20" s="19">
        <v>48.083105191701293</v>
      </c>
      <c r="H20" s="19">
        <v>125689.23697110718</v>
      </c>
      <c r="I20" s="19">
        <v>34.210093361305368</v>
      </c>
      <c r="J20" s="19">
        <v>35.909884184496235</v>
      </c>
      <c r="K20" s="19">
        <v>28.74695004268284</v>
      </c>
      <c r="L20" s="19">
        <v>48.313014389824644</v>
      </c>
      <c r="M20" s="19">
        <v>33.180892007098088</v>
      </c>
      <c r="N20" s="19">
        <v>17.852463951291448</v>
      </c>
      <c r="O20" s="19">
        <v>13.299995210091438</v>
      </c>
      <c r="P20" s="19">
        <v>37.531773877417024</v>
      </c>
      <c r="Q20" s="19">
        <v>350.03290846360915</v>
      </c>
      <c r="R20" s="19">
        <v>126.01891709247435</v>
      </c>
      <c r="S20" s="19">
        <v>1517.9320711083128</v>
      </c>
      <c r="T20" s="19">
        <v>1521.0024313574197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>
        <v>1.0047814964779569</v>
      </c>
      <c r="AQ20" s="19">
        <v>0.78056052594320935</v>
      </c>
      <c r="AR20" s="19"/>
      <c r="AS20" s="19"/>
      <c r="AT20" s="19"/>
      <c r="AU20" s="19">
        <v>0.7080927115264094</v>
      </c>
      <c r="AV20" s="19">
        <v>0.74327558812102046</v>
      </c>
      <c r="AW20" s="19">
        <v>0.59501462299022534</v>
      </c>
      <c r="AX20" s="19">
        <v>0.88407470735251137</v>
      </c>
      <c r="AY20" s="19">
        <v>0.47566267476724106</v>
      </c>
      <c r="AZ20" s="19">
        <v>0.35436628317997204</v>
      </c>
      <c r="BA20" s="19"/>
      <c r="BB20" s="19"/>
      <c r="BC20" s="19"/>
      <c r="BD20" s="19"/>
      <c r="BE20" s="19"/>
      <c r="BF20" s="19"/>
      <c r="BG20" s="19"/>
      <c r="BH20" s="19"/>
      <c r="BI20" s="19"/>
    </row>
    <row r="21" spans="1:61" x14ac:dyDescent="0.55000000000000004">
      <c r="A21" s="19" t="s">
        <v>665</v>
      </c>
      <c r="B21" s="19" t="s">
        <v>666</v>
      </c>
      <c r="C21" s="19" t="s">
        <v>515</v>
      </c>
      <c r="D21" s="19" t="s">
        <v>9</v>
      </c>
      <c r="E21" s="19">
        <v>2473</v>
      </c>
      <c r="F21" s="19">
        <v>69.448872240204494</v>
      </c>
      <c r="G21" s="19">
        <v>36.984055316250085</v>
      </c>
      <c r="H21" s="19">
        <v>91461.568797086467</v>
      </c>
      <c r="I21" s="19">
        <v>30.563772908488545</v>
      </c>
      <c r="J21" s="19">
        <v>15.581246353353158</v>
      </c>
      <c r="K21" s="19">
        <v>29.988195476011629</v>
      </c>
      <c r="L21" s="19">
        <v>41.371171613690457</v>
      </c>
      <c r="M21" s="19">
        <v>28.658752640626375</v>
      </c>
      <c r="N21" s="19">
        <v>12.685983641598256</v>
      </c>
      <c r="O21" s="19">
        <v>13.408576763939074</v>
      </c>
      <c r="P21" s="19">
        <v>30.061566055867051</v>
      </c>
      <c r="Q21" s="19">
        <v>608.54628249124289</v>
      </c>
      <c r="R21" s="19">
        <v>134.29897306626481</v>
      </c>
      <c r="S21" s="19">
        <v>1210.562908793429</v>
      </c>
      <c r="T21" s="19">
        <v>1339.357467418293</v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>
        <v>1.1186218293241832</v>
      </c>
      <c r="AQ21" s="19">
        <v>0.8128250349728029</v>
      </c>
      <c r="AR21" s="19"/>
      <c r="AS21" s="19"/>
      <c r="AT21" s="19"/>
      <c r="AU21" s="19">
        <v>0.7387698176373243</v>
      </c>
      <c r="AV21" s="19">
        <v>0.37662086292468078</v>
      </c>
      <c r="AW21" s="19">
        <v>0.72485729328699988</v>
      </c>
      <c r="AX21" s="19">
        <v>0.95333531817225825</v>
      </c>
      <c r="AY21" s="19">
        <v>0.42200009201191829</v>
      </c>
      <c r="AZ21" s="19">
        <v>0.44603720042463163</v>
      </c>
      <c r="BA21" s="19"/>
      <c r="BB21" s="19"/>
      <c r="BC21" s="19"/>
      <c r="BD21" s="19"/>
      <c r="BE21" s="19"/>
      <c r="BF21" s="19"/>
      <c r="BG21" s="19"/>
      <c r="BH21" s="19"/>
      <c r="BI21" s="19"/>
    </row>
    <row r="22" spans="1:61" x14ac:dyDescent="0.55000000000000004">
      <c r="A22" s="19" t="s">
        <v>667</v>
      </c>
      <c r="B22" s="19" t="s">
        <v>668</v>
      </c>
      <c r="C22" s="19" t="s">
        <v>515</v>
      </c>
      <c r="D22" s="19" t="s">
        <v>9</v>
      </c>
      <c r="E22" s="19">
        <v>2216</v>
      </c>
      <c r="F22" s="19">
        <v>71.298918402541574</v>
      </c>
      <c r="G22" s="19">
        <v>47.525954345009275</v>
      </c>
      <c r="H22" s="19">
        <v>105317.51482854056</v>
      </c>
      <c r="I22" s="19">
        <v>47.348564610436561</v>
      </c>
      <c r="J22" s="19">
        <v>14.865796346145601</v>
      </c>
      <c r="K22" s="19">
        <v>16.766841416547798</v>
      </c>
      <c r="L22" s="19">
        <v>47.605451827677825</v>
      </c>
      <c r="M22" s="19">
        <v>32.629880021279106</v>
      </c>
      <c r="N22" s="19">
        <v>13.097716979969576</v>
      </c>
      <c r="O22" s="19">
        <v>14.499099799788089</v>
      </c>
      <c r="P22" s="19">
        <v>35.909955615288936</v>
      </c>
      <c r="Q22" s="19">
        <v>616.53685270210099</v>
      </c>
      <c r="R22" s="19">
        <v>140.84763168884004</v>
      </c>
      <c r="S22" s="19">
        <v>1018.0485006583224</v>
      </c>
      <c r="T22" s="19">
        <v>1168.8454831187912</v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>
        <v>1.0016727172292312</v>
      </c>
      <c r="AQ22" s="19">
        <v>0.75558620779300267</v>
      </c>
      <c r="AR22" s="19"/>
      <c r="AS22" s="19"/>
      <c r="AT22" s="19"/>
      <c r="AU22" s="19">
        <v>0.99460382776806433</v>
      </c>
      <c r="AV22" s="19">
        <v>0.31227088023356647</v>
      </c>
      <c r="AW22" s="19">
        <v>0.35220422814681807</v>
      </c>
      <c r="AX22" s="19">
        <v>0.90865832224495113</v>
      </c>
      <c r="AY22" s="19">
        <v>0.36473776576858602</v>
      </c>
      <c r="AZ22" s="19">
        <v>0.40376267671060523</v>
      </c>
      <c r="BA22" s="19"/>
      <c r="BB22" s="19"/>
      <c r="BC22" s="19"/>
      <c r="BD22" s="19"/>
      <c r="BE22" s="19"/>
      <c r="BF22" s="19"/>
      <c r="BG22" s="19"/>
      <c r="BH22" s="19"/>
      <c r="BI22" s="19"/>
    </row>
    <row r="23" spans="1:61" x14ac:dyDescent="0.55000000000000004">
      <c r="A23" s="19" t="s">
        <v>686</v>
      </c>
      <c r="B23" s="19" t="s">
        <v>687</v>
      </c>
      <c r="C23" s="19" t="s">
        <v>515</v>
      </c>
      <c r="D23" s="19" t="s">
        <v>9</v>
      </c>
      <c r="E23" s="19">
        <v>1988</v>
      </c>
      <c r="F23" s="19">
        <v>71.777797961921365</v>
      </c>
      <c r="G23" s="19">
        <v>43.17396748004699</v>
      </c>
      <c r="H23" s="19">
        <v>85829.84735033341</v>
      </c>
      <c r="I23" s="19">
        <v>57.040085454345288</v>
      </c>
      <c r="J23" s="19">
        <v>51.870691273027049</v>
      </c>
      <c r="K23" s="19">
        <v>27.358743821285032</v>
      </c>
      <c r="L23" s="19">
        <v>80.39472464157457</v>
      </c>
      <c r="M23" s="19">
        <v>33.445278267607314</v>
      </c>
      <c r="N23" s="19">
        <v>27.33133991780587</v>
      </c>
      <c r="O23" s="19">
        <v>18.930808231096634</v>
      </c>
      <c r="P23" s="19">
        <v>44.603857087555689</v>
      </c>
      <c r="Q23" s="19">
        <v>428.74840393176106</v>
      </c>
      <c r="R23" s="19">
        <v>110.6231564350943</v>
      </c>
      <c r="S23" s="19">
        <v>1355.9683666365286</v>
      </c>
      <c r="T23" s="19">
        <v>1385.1757763066541</v>
      </c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>
        <v>1.862111113108363</v>
      </c>
      <c r="AQ23" s="19">
        <v>1.0331192542860355</v>
      </c>
      <c r="AR23" s="19"/>
      <c r="AS23" s="19"/>
      <c r="AT23" s="19"/>
      <c r="AU23" s="19">
        <v>0.70950035227620045</v>
      </c>
      <c r="AV23" s="19">
        <v>0.6452001857619788</v>
      </c>
      <c r="AW23" s="19">
        <v>0.34030521210513592</v>
      </c>
      <c r="AX23" s="19">
        <v>0.74982928498662116</v>
      </c>
      <c r="AY23" s="19">
        <v>0.61275731971240699</v>
      </c>
      <c r="AZ23" s="19">
        <v>0.42442087898219588</v>
      </c>
      <c r="BA23" s="19"/>
      <c r="BB23" s="19"/>
      <c r="BC23" s="19"/>
      <c r="BD23" s="19"/>
      <c r="BE23" s="19"/>
      <c r="BF23" s="19"/>
      <c r="BG23" s="19"/>
      <c r="BH23" s="19"/>
      <c r="BI23" s="19"/>
    </row>
    <row r="24" spans="1:61" x14ac:dyDescent="0.55000000000000004">
      <c r="A24" s="19" t="s">
        <v>771</v>
      </c>
      <c r="B24" s="19" t="s">
        <v>772</v>
      </c>
      <c r="C24" s="19" t="s">
        <v>515</v>
      </c>
      <c r="D24" s="19" t="s">
        <v>9</v>
      </c>
      <c r="E24" s="19">
        <v>2227</v>
      </c>
      <c r="F24" s="19">
        <v>68.587348838645752</v>
      </c>
      <c r="G24" s="19">
        <v>41.698530807418891</v>
      </c>
      <c r="H24" s="19">
        <v>92862.628108121877</v>
      </c>
      <c r="I24" s="19">
        <v>42.683166110801125</v>
      </c>
      <c r="J24" s="19">
        <v>16.716534271282512</v>
      </c>
      <c r="K24" s="19">
        <v>23.137786410504987</v>
      </c>
      <c r="L24" s="19">
        <v>46.385028590332631</v>
      </c>
      <c r="M24" s="19">
        <v>38.409061696942786</v>
      </c>
      <c r="N24" s="19">
        <v>7.5224061331545951</v>
      </c>
      <c r="O24" s="19">
        <v>13.284104997821997</v>
      </c>
      <c r="P24" s="19">
        <v>39.215405366256157</v>
      </c>
      <c r="Q24" s="19">
        <v>506.34682439558742</v>
      </c>
      <c r="R24" s="19">
        <v>58.716694973867291</v>
      </c>
      <c r="S24" s="19">
        <v>752.79192278005212</v>
      </c>
      <c r="T24" s="19">
        <v>876.82305365186551</v>
      </c>
      <c r="U24" s="19">
        <v>53.49136202433597</v>
      </c>
      <c r="V24" s="19">
        <v>12.18719163052306</v>
      </c>
      <c r="W24" s="19">
        <v>68.517458427790984</v>
      </c>
      <c r="X24" s="19">
        <v>75.89664285000822</v>
      </c>
      <c r="Y24" s="19">
        <v>44.096198403658505</v>
      </c>
      <c r="Z24" s="19">
        <v>21.039282988971671</v>
      </c>
      <c r="AA24" s="19">
        <v>14.304140858970289</v>
      </c>
      <c r="AB24" s="19">
        <v>47.796145220283535</v>
      </c>
      <c r="AC24" s="19">
        <v>50.576470262788888</v>
      </c>
      <c r="AD24" s="19">
        <v>18.77358718309052</v>
      </c>
      <c r="AE24" s="19">
        <v>22.357494427463969</v>
      </c>
      <c r="AF24" s="19">
        <v>53.98793490625296</v>
      </c>
      <c r="AG24" s="19">
        <v>1300.3265264844486</v>
      </c>
      <c r="AH24" s="19">
        <v>1712.2178718818909</v>
      </c>
      <c r="AI24" s="19">
        <v>2643.1784246401385</v>
      </c>
      <c r="AJ24" s="19">
        <v>2945.6562267508916</v>
      </c>
      <c r="AK24" s="19">
        <v>2332.011687386248</v>
      </c>
      <c r="AL24" s="19">
        <v>708.69974612664953</v>
      </c>
      <c r="AM24" s="19">
        <v>1746.9385260683216</v>
      </c>
      <c r="AN24" s="19">
        <v>2816.600616192432</v>
      </c>
      <c r="AO24" s="19"/>
      <c r="AP24" s="19">
        <v>1.1123899977329641</v>
      </c>
      <c r="AQ24" s="19">
        <v>0.94045052923732886</v>
      </c>
      <c r="AR24" s="19">
        <v>1.8201275052238746</v>
      </c>
      <c r="AS24" s="19">
        <v>1.1462309173679512</v>
      </c>
      <c r="AT24" s="19">
        <v>1.2947203141422807</v>
      </c>
      <c r="AU24" s="19">
        <v>0.92019273045564032</v>
      </c>
      <c r="AV24" s="19">
        <v>0.36038641732704463</v>
      </c>
      <c r="AW24" s="19">
        <v>0.49882013903355155</v>
      </c>
      <c r="AX24" s="19">
        <v>0.97943808914424202</v>
      </c>
      <c r="AY24" s="19">
        <v>0.1918227304524418</v>
      </c>
      <c r="AZ24" s="19">
        <v>0.33874710394432456</v>
      </c>
      <c r="BA24" s="19">
        <v>0.70479220181120539</v>
      </c>
      <c r="BB24" s="19">
        <v>0.16057616217107473</v>
      </c>
      <c r="BC24" s="19">
        <v>0.90277324338573905</v>
      </c>
      <c r="BD24" s="19">
        <v>0.92258901215625944</v>
      </c>
      <c r="BE24" s="19">
        <v>0.44018786226390294</v>
      </c>
      <c r="BF24" s="19">
        <v>0.29927394339114938</v>
      </c>
      <c r="BG24" s="19">
        <v>0.93681061056719639</v>
      </c>
      <c r="BH24" s="19">
        <v>0.34773671591050498</v>
      </c>
      <c r="BI24" s="19">
        <v>0.41412020049084136</v>
      </c>
    </row>
    <row r="25" spans="1:61" x14ac:dyDescent="0.55000000000000004">
      <c r="A25" s="19" t="s">
        <v>773</v>
      </c>
      <c r="B25" s="19" t="s">
        <v>774</v>
      </c>
      <c r="C25" s="19" t="s">
        <v>515</v>
      </c>
      <c r="D25" s="19" t="s">
        <v>9</v>
      </c>
      <c r="E25" s="19">
        <v>2210</v>
      </c>
      <c r="F25" s="19">
        <v>65.704784351881045</v>
      </c>
      <c r="G25" s="19">
        <v>36.481235153772616</v>
      </c>
      <c r="H25" s="19">
        <v>80623.52968983748</v>
      </c>
      <c r="I25" s="19">
        <v>36.699795890442019</v>
      </c>
      <c r="J25" s="19">
        <v>7.6022990922080407</v>
      </c>
      <c r="K25" s="19">
        <v>28.767643485383854</v>
      </c>
      <c r="L25" s="19">
        <v>41.17252787841332</v>
      </c>
      <c r="M25" s="19">
        <v>36.528675755232115</v>
      </c>
      <c r="N25" s="19">
        <v>10.347079704350925</v>
      </c>
      <c r="O25" s="19">
        <v>15.183486253167745</v>
      </c>
      <c r="P25" s="19">
        <v>39.811558742745454</v>
      </c>
      <c r="Q25" s="19">
        <v>717.9968495002563</v>
      </c>
      <c r="R25" s="19">
        <v>29.302929158902717</v>
      </c>
      <c r="S25" s="19">
        <v>1157.8369226062828</v>
      </c>
      <c r="T25" s="19">
        <v>1260.8725670721972</v>
      </c>
      <c r="U25" s="19">
        <v>35.968581167610196</v>
      </c>
      <c r="V25" s="19">
        <v>11.443500274321476</v>
      </c>
      <c r="W25" s="19">
        <v>53.511358934468305</v>
      </c>
      <c r="X25" s="19">
        <v>59.82708211142532</v>
      </c>
      <c r="Y25" s="19">
        <v>37.719567835518149</v>
      </c>
      <c r="Z25" s="19">
        <v>29.982817819113233</v>
      </c>
      <c r="AA25" s="19">
        <v>11.858305165831435</v>
      </c>
      <c r="AB25" s="19">
        <v>47.741557919139701</v>
      </c>
      <c r="AC25" s="19">
        <v>49.533252693207785</v>
      </c>
      <c r="AD25" s="19">
        <v>18.066509959467599</v>
      </c>
      <c r="AE25" s="19">
        <v>29.668445605266008</v>
      </c>
      <c r="AF25" s="19">
        <v>56.484778705128058</v>
      </c>
      <c r="AG25" s="19">
        <v>1149.4643350577819</v>
      </c>
      <c r="AH25" s="19">
        <v>433.42204474762849</v>
      </c>
      <c r="AI25" s="19">
        <v>1940.9123172044385</v>
      </c>
      <c r="AJ25" s="19">
        <v>2100.2760258522339</v>
      </c>
      <c r="AK25" s="19">
        <v>1126.4787930046364</v>
      </c>
      <c r="AL25" s="19">
        <v>460.38376228806595</v>
      </c>
      <c r="AM25" s="19">
        <v>1811.4470628261531</v>
      </c>
      <c r="AN25" s="19">
        <v>1982.7788827026657</v>
      </c>
      <c r="AO25" s="19"/>
      <c r="AP25" s="19">
        <v>1.1285946790141936</v>
      </c>
      <c r="AQ25" s="19">
        <v>1.0912886741618024</v>
      </c>
      <c r="AR25" s="19">
        <v>1.6399412426483715</v>
      </c>
      <c r="AS25" s="19">
        <v>1.3086606776854874</v>
      </c>
      <c r="AT25" s="19">
        <v>1.5483241854898333</v>
      </c>
      <c r="AU25" s="19">
        <v>0.89136610700271468</v>
      </c>
      <c r="AV25" s="19">
        <v>0.18464494370271378</v>
      </c>
      <c r="AW25" s="19">
        <v>0.69870967287550678</v>
      </c>
      <c r="AX25" s="19">
        <v>0.91753945107433021</v>
      </c>
      <c r="AY25" s="19">
        <v>0.2599013962555885</v>
      </c>
      <c r="AZ25" s="19">
        <v>0.38138386771742544</v>
      </c>
      <c r="BA25" s="19">
        <v>0.60120901602087651</v>
      </c>
      <c r="BB25" s="19">
        <v>0.19127625601075543</v>
      </c>
      <c r="BC25" s="19">
        <v>0.89443370871415295</v>
      </c>
      <c r="BD25" s="19">
        <v>0.79007827728211366</v>
      </c>
      <c r="BE25" s="19">
        <v>0.62802344803861232</v>
      </c>
      <c r="BF25" s="19">
        <v>0.24838538335753416</v>
      </c>
      <c r="BG25" s="19">
        <v>0.87693098616514242</v>
      </c>
      <c r="BH25" s="19">
        <v>0.31984740621507302</v>
      </c>
      <c r="BI25" s="19">
        <v>0.5252467352336907</v>
      </c>
    </row>
    <row r="26" spans="1:61" x14ac:dyDescent="0.55000000000000004">
      <c r="A26" s="19" t="s">
        <v>775</v>
      </c>
      <c r="B26" s="19" t="s">
        <v>776</v>
      </c>
      <c r="C26" s="19" t="s">
        <v>515</v>
      </c>
      <c r="D26" s="19" t="s">
        <v>9</v>
      </c>
      <c r="E26" s="19">
        <v>2297</v>
      </c>
      <c r="F26" s="19">
        <v>68.192711321472288</v>
      </c>
      <c r="G26" s="19">
        <v>36.669517631790349</v>
      </c>
      <c r="H26" s="19">
        <v>84229.882000222438</v>
      </c>
      <c r="I26" s="19">
        <v>57.959694317387978</v>
      </c>
      <c r="J26" s="19">
        <v>22.08553754194191</v>
      </c>
      <c r="K26" s="19">
        <v>18.850515552153045</v>
      </c>
      <c r="L26" s="19">
        <v>60.193499154682776</v>
      </c>
      <c r="M26" s="19">
        <v>43.583548978221444</v>
      </c>
      <c r="N26" s="19">
        <v>19.46579237885225</v>
      </c>
      <c r="O26" s="19">
        <v>9.6807599401139495</v>
      </c>
      <c r="P26" s="19">
        <v>47.722543113688431</v>
      </c>
      <c r="Q26" s="19">
        <v>357.68799523556015</v>
      </c>
      <c r="R26" s="19">
        <v>17.111824290955592</v>
      </c>
      <c r="S26" s="19">
        <v>1190.7988929446644</v>
      </c>
      <c r="T26" s="19">
        <v>1242.3890930032878</v>
      </c>
      <c r="U26" s="19">
        <v>37.38130194817446</v>
      </c>
      <c r="V26" s="19">
        <v>17.915151038841291</v>
      </c>
      <c r="W26" s="19">
        <v>47.676494116867268</v>
      </c>
      <c r="X26" s="19">
        <v>62.420542810312575</v>
      </c>
      <c r="Y26" s="19">
        <v>31.674111763604017</v>
      </c>
      <c r="Z26" s="19">
        <v>19.45928601723941</v>
      </c>
      <c r="AA26" s="19">
        <v>14.132560828846181</v>
      </c>
      <c r="AB26" s="19">
        <v>35.821695068699746</v>
      </c>
      <c r="AC26" s="19">
        <v>42.499019401082855</v>
      </c>
      <c r="AD26" s="19">
        <v>21.472962394898005</v>
      </c>
      <c r="AE26" s="19">
        <v>25.162795213823454</v>
      </c>
      <c r="AF26" s="19">
        <v>45.429047538059706</v>
      </c>
      <c r="AG26" s="19">
        <v>798.85699949962213</v>
      </c>
      <c r="AH26" s="19">
        <v>1349.4313855321532</v>
      </c>
      <c r="AI26" s="19">
        <v>1689.7516211971119</v>
      </c>
      <c r="AJ26" s="19">
        <v>1818.7533820506414</v>
      </c>
      <c r="AK26" s="19">
        <v>1607.7521624251872</v>
      </c>
      <c r="AL26" s="19">
        <v>1099.1408946687802</v>
      </c>
      <c r="AM26" s="19">
        <v>1974.5120658715311</v>
      </c>
      <c r="AN26" s="19">
        <v>2368.1004657762787</v>
      </c>
      <c r="AO26" s="19"/>
      <c r="AP26" s="19">
        <v>1.6415132524813607</v>
      </c>
      <c r="AQ26" s="19">
        <v>1.3014227128069922</v>
      </c>
      <c r="AR26" s="19">
        <v>1.7022460845298271</v>
      </c>
      <c r="AS26" s="19">
        <v>0.97687936417370302</v>
      </c>
      <c r="AT26" s="19">
        <v>1.2388776965714801</v>
      </c>
      <c r="AU26" s="19">
        <v>0.96288959989592138</v>
      </c>
      <c r="AV26" s="19">
        <v>0.36690901595847425</v>
      </c>
      <c r="AW26" s="19">
        <v>0.31316530550436628</v>
      </c>
      <c r="AX26" s="19">
        <v>0.91326962342290208</v>
      </c>
      <c r="AY26" s="19">
        <v>0.4078951185078149</v>
      </c>
      <c r="AZ26" s="19">
        <v>0.20285507243508952</v>
      </c>
      <c r="BA26" s="19">
        <v>0.59886217365605232</v>
      </c>
      <c r="BB26" s="19">
        <v>0.2870072933085982</v>
      </c>
      <c r="BC26" s="19">
        <v>0.76379492984784769</v>
      </c>
      <c r="BD26" s="19">
        <v>0.88421588377821347</v>
      </c>
      <c r="BE26" s="19">
        <v>0.54322627614131336</v>
      </c>
      <c r="BF26" s="19">
        <v>0.39452518373969742</v>
      </c>
      <c r="BG26" s="19">
        <v>0.93550320123876418</v>
      </c>
      <c r="BH26" s="19">
        <v>0.47267031907081725</v>
      </c>
      <c r="BI26" s="19">
        <v>0.55389220284097918</v>
      </c>
    </row>
    <row r="27" spans="1:61" x14ac:dyDescent="0.55000000000000004">
      <c r="A27" s="19" t="s">
        <v>777</v>
      </c>
      <c r="B27" s="19" t="s">
        <v>778</v>
      </c>
      <c r="C27" s="19" t="s">
        <v>515</v>
      </c>
      <c r="D27" s="19" t="s">
        <v>9</v>
      </c>
      <c r="E27" s="19">
        <v>2314</v>
      </c>
      <c r="F27" s="19">
        <v>70.481757957754837</v>
      </c>
      <c r="G27" s="19">
        <v>42.003914250243731</v>
      </c>
      <c r="H27" s="19">
        <v>97197.057575063998</v>
      </c>
      <c r="I27" s="19">
        <v>43.429213388999941</v>
      </c>
      <c r="J27" s="19">
        <v>8.191059248180995</v>
      </c>
      <c r="K27" s="19">
        <v>22.093672504059484</v>
      </c>
      <c r="L27" s="19">
        <v>44.802107429123282</v>
      </c>
      <c r="M27" s="19">
        <v>34.926920968480225</v>
      </c>
      <c r="N27" s="19">
        <v>11.913490583886093</v>
      </c>
      <c r="O27" s="19">
        <v>12.721337476170131</v>
      </c>
      <c r="P27" s="19">
        <v>36.593319895635425</v>
      </c>
      <c r="Q27" s="19">
        <v>373.24323210957107</v>
      </c>
      <c r="R27" s="19">
        <v>106.3098866725021</v>
      </c>
      <c r="S27" s="19">
        <v>1150.1832129485547</v>
      </c>
      <c r="T27" s="19">
        <v>1157.7166516091188</v>
      </c>
      <c r="U27" s="19">
        <v>48.576502373932144</v>
      </c>
      <c r="V27" s="19">
        <v>9.4089972418705639</v>
      </c>
      <c r="W27" s="19">
        <v>54.837505215873904</v>
      </c>
      <c r="X27" s="19">
        <v>67.855385634000584</v>
      </c>
      <c r="Y27" s="19">
        <v>45.525206822801906</v>
      </c>
      <c r="Z27" s="19">
        <v>23.924369686869859</v>
      </c>
      <c r="AA27" s="19">
        <v>9.6829372498162289</v>
      </c>
      <c r="AB27" s="19">
        <v>46.107538271601911</v>
      </c>
      <c r="AC27" s="19">
        <v>36.761889317464743</v>
      </c>
      <c r="AD27" s="19">
        <v>17.459769554822131</v>
      </c>
      <c r="AE27" s="19">
        <v>21.924386669568698</v>
      </c>
      <c r="AF27" s="19">
        <v>41.748779888217776</v>
      </c>
      <c r="AG27" s="19">
        <v>1433.848534453454</v>
      </c>
      <c r="AH27" s="19">
        <v>671.19780799541377</v>
      </c>
      <c r="AI27" s="19">
        <v>2730.0858903331718</v>
      </c>
      <c r="AJ27" s="19">
        <v>3072.6979739472531</v>
      </c>
      <c r="AK27" s="19">
        <v>1428.8400202912492</v>
      </c>
      <c r="AL27" s="19">
        <v>496.40081884102841</v>
      </c>
      <c r="AM27" s="19">
        <v>841.07575922494175</v>
      </c>
      <c r="AN27" s="19">
        <v>1570.2584709099453</v>
      </c>
      <c r="AO27" s="19"/>
      <c r="AP27" s="19">
        <v>1.0666174386084344</v>
      </c>
      <c r="AQ27" s="19">
        <v>0.87118832967865822</v>
      </c>
      <c r="AR27" s="19">
        <v>1.6154538653170125</v>
      </c>
      <c r="AS27" s="19">
        <v>1.0976962289016758</v>
      </c>
      <c r="AT27" s="19">
        <v>0.99392593841359733</v>
      </c>
      <c r="AU27" s="19">
        <v>0.96935648524357354</v>
      </c>
      <c r="AV27" s="19">
        <v>0.18282754357346273</v>
      </c>
      <c r="AW27" s="19">
        <v>0.49313913500635137</v>
      </c>
      <c r="AX27" s="19">
        <v>0.95446166316945857</v>
      </c>
      <c r="AY27" s="19">
        <v>0.32556462813058523</v>
      </c>
      <c r="AZ27" s="19">
        <v>0.34764097689008633</v>
      </c>
      <c r="BA27" s="19">
        <v>0.7158827839538755</v>
      </c>
      <c r="BB27" s="19">
        <v>0.13866249751524451</v>
      </c>
      <c r="BC27" s="19">
        <v>0.80815258366752607</v>
      </c>
      <c r="BD27" s="19">
        <v>0.98737014660445077</v>
      </c>
      <c r="BE27" s="19">
        <v>0.51888195691430172</v>
      </c>
      <c r="BF27" s="19">
        <v>0.21000768231818712</v>
      </c>
      <c r="BG27" s="19">
        <v>0.88055002842944352</v>
      </c>
      <c r="BH27" s="19">
        <v>0.41821029504504342</v>
      </c>
      <c r="BI27" s="19">
        <v>0.52515035716663272</v>
      </c>
    </row>
    <row r="28" spans="1:61" x14ac:dyDescent="0.55000000000000004">
      <c r="A28" s="19" t="s">
        <v>779</v>
      </c>
      <c r="B28" s="19" t="s">
        <v>780</v>
      </c>
      <c r="C28" s="19" t="s">
        <v>515</v>
      </c>
      <c r="D28" s="19" t="s">
        <v>9</v>
      </c>
      <c r="E28" s="19">
        <v>2223</v>
      </c>
      <c r="F28" s="19">
        <v>69.91818043570936</v>
      </c>
      <c r="G28" s="19">
        <v>40.024056942984558</v>
      </c>
      <c r="H28" s="19">
        <v>88973.47858425467</v>
      </c>
      <c r="I28" s="19">
        <v>56.976920248101649</v>
      </c>
      <c r="J28" s="19">
        <v>40.939600406439482</v>
      </c>
      <c r="K28" s="19">
        <v>29.601270136925873</v>
      </c>
      <c r="L28" s="19">
        <v>70.458773227593682</v>
      </c>
      <c r="M28" s="19">
        <v>38.801295373440936</v>
      </c>
      <c r="N28" s="19">
        <v>22.676701518439749</v>
      </c>
      <c r="O28" s="19">
        <v>20.594314944668131</v>
      </c>
      <c r="P28" s="19">
        <v>45.472713562206778</v>
      </c>
      <c r="Q28" s="19">
        <v>539.64780837575427</v>
      </c>
      <c r="R28" s="19">
        <v>120.08053916140335</v>
      </c>
      <c r="S28" s="19">
        <v>1553.8468377211836</v>
      </c>
      <c r="T28" s="19">
        <v>1581.1967710224603</v>
      </c>
      <c r="U28" s="19">
        <v>74.414096772478075</v>
      </c>
      <c r="V28" s="19">
        <v>13.656349660368265</v>
      </c>
      <c r="W28" s="19">
        <v>94.465218859070006</v>
      </c>
      <c r="X28" s="19">
        <v>102.62984538606656</v>
      </c>
      <c r="Y28" s="19">
        <v>62.764495750499307</v>
      </c>
      <c r="Z28" s="19">
        <v>18.326682819133616</v>
      </c>
      <c r="AA28" s="19">
        <v>11.756648631957376</v>
      </c>
      <c r="AB28" s="19">
        <v>63.304871994727385</v>
      </c>
      <c r="AC28" s="19">
        <v>63.539923550196761</v>
      </c>
      <c r="AD28" s="19">
        <v>18.57814586208897</v>
      </c>
      <c r="AE28" s="19">
        <v>36.876274482789867</v>
      </c>
      <c r="AF28" s="19">
        <v>69.907732123138317</v>
      </c>
      <c r="AG28" s="19">
        <v>1695.6576244791167</v>
      </c>
      <c r="AH28" s="19">
        <v>196.51400963979785</v>
      </c>
      <c r="AI28" s="19">
        <v>3459.3560164121864</v>
      </c>
      <c r="AJ28" s="19">
        <v>3832.8148794721196</v>
      </c>
      <c r="AK28" s="19">
        <v>3085.7086304109866</v>
      </c>
      <c r="AL28" s="19">
        <v>507.96866083943411</v>
      </c>
      <c r="AM28" s="19">
        <v>2017.8056833926273</v>
      </c>
      <c r="AN28" s="19">
        <v>3155.2066406093468</v>
      </c>
      <c r="AO28" s="19"/>
      <c r="AP28" s="19">
        <v>1.7604105782670725</v>
      </c>
      <c r="AQ28" s="19">
        <v>1.1361345409583039</v>
      </c>
      <c r="AR28" s="19">
        <v>2.5642039619388357</v>
      </c>
      <c r="AS28" s="19">
        <v>1.581670545914599</v>
      </c>
      <c r="AT28" s="19">
        <v>1.746642830903522</v>
      </c>
      <c r="AU28" s="19">
        <v>0.80865614937768815</v>
      </c>
      <c r="AV28" s="19">
        <v>0.58104333259106977</v>
      </c>
      <c r="AW28" s="19">
        <v>0.42012184971357358</v>
      </c>
      <c r="AX28" s="19">
        <v>0.85328744061778228</v>
      </c>
      <c r="AY28" s="19">
        <v>0.49868810858225932</v>
      </c>
      <c r="AZ28" s="19">
        <v>0.45289390782661476</v>
      </c>
      <c r="BA28" s="19">
        <v>0.72507267737325098</v>
      </c>
      <c r="BB28" s="19">
        <v>0.13306411608627744</v>
      </c>
      <c r="BC28" s="19">
        <v>0.92044588495399782</v>
      </c>
      <c r="BD28" s="19">
        <v>0.99146390748135327</v>
      </c>
      <c r="BE28" s="19">
        <v>0.28949877381728267</v>
      </c>
      <c r="BF28" s="19">
        <v>0.18571475245912475</v>
      </c>
      <c r="BG28" s="19">
        <v>0.90891124086638886</v>
      </c>
      <c r="BH28" s="19">
        <v>0.26575237527895584</v>
      </c>
      <c r="BI28" s="19">
        <v>0.52749922451831943</v>
      </c>
    </row>
    <row r="29" spans="1:61" x14ac:dyDescent="0.55000000000000004">
      <c r="A29" s="19" t="s">
        <v>716</v>
      </c>
      <c r="B29" s="19" t="s">
        <v>717</v>
      </c>
      <c r="C29" s="19" t="s">
        <v>515</v>
      </c>
      <c r="D29" s="19" t="s">
        <v>9</v>
      </c>
      <c r="E29" s="19">
        <v>3321</v>
      </c>
      <c r="F29" s="19">
        <v>69.230332392338312</v>
      </c>
      <c r="G29" s="19">
        <v>31.412941607407177</v>
      </c>
      <c r="H29" s="19">
        <v>104322.37907819923</v>
      </c>
      <c r="I29" s="19">
        <v>40.965388951219609</v>
      </c>
      <c r="J29" s="19">
        <v>6.4923937847124318</v>
      </c>
      <c r="K29" s="19">
        <v>29.039681870950929</v>
      </c>
      <c r="L29" s="19">
        <v>43.800542627524251</v>
      </c>
      <c r="M29" s="19">
        <v>34.826487187837344</v>
      </c>
      <c r="N29" s="19">
        <v>7.6540909149940131</v>
      </c>
      <c r="O29" s="19">
        <v>17.048590388570325</v>
      </c>
      <c r="P29" s="19">
        <v>35.143744464413523</v>
      </c>
      <c r="Q29" s="19">
        <v>298.02559137401238</v>
      </c>
      <c r="R29" s="19">
        <v>50.492962568225352</v>
      </c>
      <c r="S29" s="19">
        <v>1447.2936656843194</v>
      </c>
      <c r="T29" s="19">
        <v>1463.3530087940003</v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>
        <v>1.3943470552657851</v>
      </c>
      <c r="AQ29" s="19">
        <v>1.1187664276600768</v>
      </c>
      <c r="AR29" s="19"/>
      <c r="AS29" s="19"/>
      <c r="AT29" s="19"/>
      <c r="AU29" s="19">
        <v>0.93527126591981913</v>
      </c>
      <c r="AV29" s="19">
        <v>0.14822633226083853</v>
      </c>
      <c r="AW29" s="19">
        <v>0.66299822168646827</v>
      </c>
      <c r="AX29" s="19">
        <v>0.99097258185173087</v>
      </c>
      <c r="AY29" s="19">
        <v>0.21779383590569093</v>
      </c>
      <c r="AZ29" s="19">
        <v>0.4851102421892946</v>
      </c>
      <c r="BA29" s="19"/>
      <c r="BB29" s="19"/>
      <c r="BC29" s="19"/>
      <c r="BD29" s="19"/>
      <c r="BE29" s="19"/>
      <c r="BF29" s="19"/>
      <c r="BG29" s="19"/>
      <c r="BH29" s="19"/>
      <c r="BI29" s="19"/>
    </row>
    <row r="30" spans="1:61" x14ac:dyDescent="0.55000000000000004">
      <c r="A30" s="19" t="s">
        <v>815</v>
      </c>
      <c r="B30" s="19" t="s">
        <v>816</v>
      </c>
      <c r="C30" s="19" t="s">
        <v>515</v>
      </c>
      <c r="D30" s="19" t="s">
        <v>9</v>
      </c>
      <c r="E30" s="19">
        <v>2449</v>
      </c>
      <c r="F30" s="19">
        <v>72.563777655710297</v>
      </c>
      <c r="G30" s="19">
        <v>68.79301063625195</v>
      </c>
      <c r="H30" s="19">
        <v>168474.08304818103</v>
      </c>
      <c r="I30" s="19">
        <v>33.142141494533661</v>
      </c>
      <c r="J30" s="19">
        <v>68.246907419651407</v>
      </c>
      <c r="K30" s="19">
        <v>18.653946166415668</v>
      </c>
      <c r="L30" s="19">
        <v>75.835480204085954</v>
      </c>
      <c r="M30" s="19">
        <v>30.956119507905743</v>
      </c>
      <c r="N30" s="19">
        <v>10.903026144383873</v>
      </c>
      <c r="O30" s="19">
        <v>12.314390741621001</v>
      </c>
      <c r="P30" s="19">
        <v>32.875014269121294</v>
      </c>
      <c r="Q30" s="19">
        <v>528.04885617770333</v>
      </c>
      <c r="R30" s="19">
        <v>523.70733914490211</v>
      </c>
      <c r="S30" s="19">
        <v>873.65100202563895</v>
      </c>
      <c r="T30" s="19">
        <v>925.76129697954741</v>
      </c>
      <c r="U30" s="19">
        <v>41.45663813183927</v>
      </c>
      <c r="V30" s="19">
        <v>13.260414254705051</v>
      </c>
      <c r="W30" s="19">
        <v>56.060054589295618</v>
      </c>
      <c r="X30" s="19">
        <v>68.807455206372808</v>
      </c>
      <c r="Y30" s="19">
        <v>38.802151452115062</v>
      </c>
      <c r="Z30" s="19">
        <v>26.358345153848745</v>
      </c>
      <c r="AA30" s="19">
        <v>16.227377458102271</v>
      </c>
      <c r="AB30" s="19">
        <v>46.897358279534082</v>
      </c>
      <c r="AC30" s="19">
        <v>30.239730629476718</v>
      </c>
      <c r="AD30" s="19">
        <v>17.841352709657148</v>
      </c>
      <c r="AE30" s="19">
        <v>20.825612695861594</v>
      </c>
      <c r="AF30" s="19">
        <v>36.02426326829459</v>
      </c>
      <c r="AG30" s="19">
        <v>1143.526147545462</v>
      </c>
      <c r="AH30" s="19">
        <v>300.12191487600182</v>
      </c>
      <c r="AI30" s="19">
        <v>2646.8941674521361</v>
      </c>
      <c r="AJ30" s="19">
        <v>2869.6038434922953</v>
      </c>
      <c r="AK30" s="19">
        <v>3318.4060635778296</v>
      </c>
      <c r="AL30" s="19">
        <v>925.62734984395024</v>
      </c>
      <c r="AM30" s="19">
        <v>1272.3112881143988</v>
      </c>
      <c r="AN30" s="19">
        <v>3515.0641150255519</v>
      </c>
      <c r="AO30" s="19"/>
      <c r="AP30" s="19">
        <v>1.1023718761935217</v>
      </c>
      <c r="AQ30" s="19">
        <v>0.47788305766919148</v>
      </c>
      <c r="AR30" s="19">
        <v>1.0002099714780217</v>
      </c>
      <c r="AS30" s="19">
        <v>0.681716904752247</v>
      </c>
      <c r="AT30" s="19">
        <v>0.52366167631150062</v>
      </c>
      <c r="AU30" s="19">
        <v>0.43702685610142666</v>
      </c>
      <c r="AV30" s="19">
        <v>0.89993374125129255</v>
      </c>
      <c r="AW30" s="19">
        <v>0.24597913952960779</v>
      </c>
      <c r="AX30" s="19">
        <v>0.94163060294036371</v>
      </c>
      <c r="AY30" s="19">
        <v>0.33165084143019891</v>
      </c>
      <c r="AZ30" s="19">
        <v>0.37458206529776655</v>
      </c>
      <c r="BA30" s="19">
        <v>0.60250212724041619</v>
      </c>
      <c r="BB30" s="19">
        <v>0.19271769628644686</v>
      </c>
      <c r="BC30" s="19">
        <v>0.8147380893706333</v>
      </c>
      <c r="BD30" s="19">
        <v>0.82738458786597047</v>
      </c>
      <c r="BE30" s="19">
        <v>0.562043281771619</v>
      </c>
      <c r="BF30" s="19">
        <v>0.34601900945844677</v>
      </c>
      <c r="BG30" s="19">
        <v>0.83942676091008606</v>
      </c>
      <c r="BH30" s="19">
        <v>0.49525933609750039</v>
      </c>
      <c r="BI30" s="19">
        <v>0.5780996141617275</v>
      </c>
    </row>
    <row r="31" spans="1:61" x14ac:dyDescent="0.55000000000000004">
      <c r="A31" s="19" t="s">
        <v>817</v>
      </c>
      <c r="B31" s="19" t="s">
        <v>818</v>
      </c>
      <c r="C31" s="19" t="s">
        <v>515</v>
      </c>
      <c r="D31" s="19" t="s">
        <v>9</v>
      </c>
      <c r="E31" s="19">
        <v>2798</v>
      </c>
      <c r="F31" s="19">
        <v>69.096987763211388</v>
      </c>
      <c r="G31" s="19">
        <v>50.329497233460238</v>
      </c>
      <c r="H31" s="19">
        <v>140821.93325922175</v>
      </c>
      <c r="I31" s="19">
        <v>32.901256002641354</v>
      </c>
      <c r="J31" s="19">
        <v>18.311845317686082</v>
      </c>
      <c r="K31" s="19">
        <v>30.176481420691903</v>
      </c>
      <c r="L31" s="19">
        <v>41.857393558480112</v>
      </c>
      <c r="M31" s="19">
        <v>31.48691810844484</v>
      </c>
      <c r="N31" s="19">
        <v>14.896918200825366</v>
      </c>
      <c r="O31" s="19">
        <v>20.377109013602798</v>
      </c>
      <c r="P31" s="19">
        <v>37.47534109778185</v>
      </c>
      <c r="Q31" s="19">
        <v>415.84662104112999</v>
      </c>
      <c r="R31" s="19">
        <v>36.236207224489853</v>
      </c>
      <c r="S31" s="19">
        <v>1252.9174300546074</v>
      </c>
      <c r="T31" s="19">
        <v>1270.0663169143613</v>
      </c>
      <c r="U31" s="19">
        <v>41.886244143011076</v>
      </c>
      <c r="V31" s="19">
        <v>26.272982258494018</v>
      </c>
      <c r="W31" s="19">
        <v>40.772244586364607</v>
      </c>
      <c r="X31" s="19">
        <v>61.226314123649118</v>
      </c>
      <c r="Y31" s="19">
        <v>24.291307398807017</v>
      </c>
      <c r="Z31" s="19">
        <v>32.496957414613931</v>
      </c>
      <c r="AA31" s="19">
        <v>23.270224678968596</v>
      </c>
      <c r="AB31" s="19">
        <v>39.292928582314261</v>
      </c>
      <c r="AC31" s="19">
        <v>37.45863903577078</v>
      </c>
      <c r="AD31" s="19">
        <v>23.917279907557749</v>
      </c>
      <c r="AE31" s="19">
        <v>34.397281878393628</v>
      </c>
      <c r="AF31" s="19">
        <v>45.447802717093019</v>
      </c>
      <c r="AG31" s="19">
        <v>1362.7951989932822</v>
      </c>
      <c r="AH31" s="19">
        <v>168.33391797270349</v>
      </c>
      <c r="AI31" s="19">
        <v>2206.2494855143623</v>
      </c>
      <c r="AJ31" s="19">
        <v>2572.8191915761458</v>
      </c>
      <c r="AK31" s="19">
        <v>4868.5348370250495</v>
      </c>
      <c r="AL31" s="19">
        <v>2301.9799258234975</v>
      </c>
      <c r="AM31" s="19">
        <v>641.29167902162362</v>
      </c>
      <c r="AN31" s="19">
        <v>4871.1536575191731</v>
      </c>
      <c r="AO31" s="19"/>
      <c r="AP31" s="19">
        <v>0.83166723013979027</v>
      </c>
      <c r="AQ31" s="19">
        <v>0.7445999494878196</v>
      </c>
      <c r="AR31" s="19">
        <v>1.2165095518368187</v>
      </c>
      <c r="AS31" s="19">
        <v>0.78071371148510882</v>
      </c>
      <c r="AT31" s="19">
        <v>0.90300529938292817</v>
      </c>
      <c r="AU31" s="19">
        <v>0.78603212492612817</v>
      </c>
      <c r="AV31" s="19">
        <v>0.43748173884984265</v>
      </c>
      <c r="AW31" s="19">
        <v>0.72093551115483367</v>
      </c>
      <c r="AX31" s="19">
        <v>0.84020364287781057</v>
      </c>
      <c r="AY31" s="19">
        <v>0.39751254463450658</v>
      </c>
      <c r="AZ31" s="19">
        <v>0.54374712588830609</v>
      </c>
      <c r="BA31" s="19">
        <v>0.6841216026563357</v>
      </c>
      <c r="BB31" s="19">
        <v>0.42911259046942829</v>
      </c>
      <c r="BC31" s="19">
        <v>0.66592681872084192</v>
      </c>
      <c r="BD31" s="19">
        <v>0.618210662204001</v>
      </c>
      <c r="BE31" s="19">
        <v>0.82704340417224098</v>
      </c>
      <c r="BF31" s="19">
        <v>0.59222423775871258</v>
      </c>
      <c r="BG31" s="19">
        <v>0.82421232262748101</v>
      </c>
      <c r="BH31" s="19">
        <v>0.52625822322896165</v>
      </c>
      <c r="BI31" s="19">
        <v>0.75685247299000302</v>
      </c>
    </row>
    <row r="32" spans="1:61" x14ac:dyDescent="0.55000000000000004">
      <c r="A32" s="19" t="s">
        <v>839</v>
      </c>
      <c r="B32" s="19" t="s">
        <v>840</v>
      </c>
      <c r="C32" s="19" t="s">
        <v>515</v>
      </c>
      <c r="D32" s="19" t="s">
        <v>9</v>
      </c>
      <c r="E32" s="19">
        <v>2566</v>
      </c>
      <c r="F32" s="19">
        <v>67.178254933377005</v>
      </c>
      <c r="G32" s="19">
        <v>31.414403817021022</v>
      </c>
      <c r="H32" s="19">
        <v>80609.360194475943</v>
      </c>
      <c r="I32" s="19">
        <v>31.088403339198276</v>
      </c>
      <c r="J32" s="19">
        <v>18.081801516214512</v>
      </c>
      <c r="K32" s="19">
        <v>21.394999027378596</v>
      </c>
      <c r="L32" s="19">
        <v>38.825140430984007</v>
      </c>
      <c r="M32" s="19">
        <v>27.670732497937522</v>
      </c>
      <c r="N32" s="19">
        <v>11.664257056364212</v>
      </c>
      <c r="O32" s="19">
        <v>11.969740906023645</v>
      </c>
      <c r="P32" s="19">
        <v>31.927849854376436</v>
      </c>
      <c r="Q32" s="19">
        <v>680.53696918730793</v>
      </c>
      <c r="R32" s="19">
        <v>54.356731987170434</v>
      </c>
      <c r="S32" s="19">
        <v>530.66995847815247</v>
      </c>
      <c r="T32" s="19">
        <v>718.85059388305092</v>
      </c>
      <c r="U32" s="19">
        <v>58.229789708768507</v>
      </c>
      <c r="V32" s="19">
        <v>27.484650963670841</v>
      </c>
      <c r="W32" s="19">
        <v>60.711897506065512</v>
      </c>
      <c r="X32" s="19">
        <v>81.269647572433129</v>
      </c>
      <c r="Y32" s="19">
        <v>36.253767421139777</v>
      </c>
      <c r="Z32" s="19">
        <v>32.514757288125864</v>
      </c>
      <c r="AA32" s="19">
        <v>15.934969840911332</v>
      </c>
      <c r="AB32" s="19">
        <v>45.648383925301388</v>
      </c>
      <c r="AC32" s="19">
        <v>43.146179255068397</v>
      </c>
      <c r="AD32" s="19">
        <v>13.537873899523209</v>
      </c>
      <c r="AE32" s="19">
        <v>23.550738181505263</v>
      </c>
      <c r="AF32" s="19">
        <v>47.074398599618007</v>
      </c>
      <c r="AG32" s="19">
        <v>1260.7921393790521</v>
      </c>
      <c r="AH32" s="19">
        <v>790.59520087432031</v>
      </c>
      <c r="AI32" s="19">
        <v>3374.0442907010743</v>
      </c>
      <c r="AJ32" s="19">
        <v>3568.3091595654791</v>
      </c>
      <c r="AK32" s="19">
        <v>5944.4544215485967</v>
      </c>
      <c r="AL32" s="19">
        <v>954.05596824024451</v>
      </c>
      <c r="AM32" s="19">
        <v>2159.4652371273178</v>
      </c>
      <c r="AN32" s="19">
        <v>6157.9378291254498</v>
      </c>
      <c r="AO32" s="19"/>
      <c r="AP32" s="19">
        <v>1.2359025069241545</v>
      </c>
      <c r="AQ32" s="19">
        <v>1.0163442871730457</v>
      </c>
      <c r="AR32" s="19">
        <v>2.5870186187776523</v>
      </c>
      <c r="AS32" s="19">
        <v>1.4531036205935597</v>
      </c>
      <c r="AT32" s="19">
        <v>1.4984972776759193</v>
      </c>
      <c r="AU32" s="19">
        <v>0.80072867719464813</v>
      </c>
      <c r="AV32" s="19">
        <v>0.46572404672577861</v>
      </c>
      <c r="AW32" s="19">
        <v>0.55106044150466316</v>
      </c>
      <c r="AX32" s="19">
        <v>0.86666445201115283</v>
      </c>
      <c r="AY32" s="19">
        <v>0.36533174358953463</v>
      </c>
      <c r="AZ32" s="19">
        <v>0.37489968665656703</v>
      </c>
      <c r="BA32" s="19">
        <v>0.71650107325579449</v>
      </c>
      <c r="BB32" s="19">
        <v>0.33819084719390002</v>
      </c>
      <c r="BC32" s="19">
        <v>0.74704270683535168</v>
      </c>
      <c r="BD32" s="19">
        <v>0.79419607669934433</v>
      </c>
      <c r="BE32" s="19">
        <v>0.7122871499970892</v>
      </c>
      <c r="BF32" s="19">
        <v>0.34908070057829815</v>
      </c>
      <c r="BG32" s="19">
        <v>0.91655295741618914</v>
      </c>
      <c r="BH32" s="19">
        <v>0.28758463840753273</v>
      </c>
      <c r="BI32" s="19">
        <v>0.50028760604700262</v>
      </c>
    </row>
    <row r="33" spans="1:61" x14ac:dyDescent="0.55000000000000004">
      <c r="A33" s="19" t="s">
        <v>843</v>
      </c>
      <c r="B33" s="19" t="s">
        <v>844</v>
      </c>
      <c r="C33" s="19" t="s">
        <v>515</v>
      </c>
      <c r="D33" s="19" t="s">
        <v>9</v>
      </c>
      <c r="E33" s="19">
        <v>1878</v>
      </c>
      <c r="F33" s="19">
        <v>68.272380376662298</v>
      </c>
      <c r="G33" s="19">
        <v>35.766059525755189</v>
      </c>
      <c r="H33" s="19">
        <v>67168.659789368248</v>
      </c>
      <c r="I33" s="19">
        <v>33.502710938516373</v>
      </c>
      <c r="J33" s="19">
        <v>8.5448758026673488</v>
      </c>
      <c r="K33" s="19">
        <v>28.806424005914565</v>
      </c>
      <c r="L33" s="19">
        <v>41.083774832303874</v>
      </c>
      <c r="M33" s="19">
        <v>31.840197385870781</v>
      </c>
      <c r="N33" s="19">
        <v>9.829999760454271</v>
      </c>
      <c r="O33" s="19">
        <v>17.174812681266403</v>
      </c>
      <c r="P33" s="19">
        <v>33.633788819341248</v>
      </c>
      <c r="Q33" s="19">
        <v>542.66678811186193</v>
      </c>
      <c r="R33" s="19">
        <v>111.13679906418814</v>
      </c>
      <c r="S33" s="19">
        <v>967.42509477981264</v>
      </c>
      <c r="T33" s="19">
        <v>975.32172061912104</v>
      </c>
      <c r="U33" s="19">
        <v>64.10255314871425</v>
      </c>
      <c r="V33" s="19">
        <v>13.556569611403447</v>
      </c>
      <c r="W33" s="19">
        <v>55.444109043465787</v>
      </c>
      <c r="X33" s="19">
        <v>69.763516053854886</v>
      </c>
      <c r="Y33" s="19">
        <v>30.341081709095373</v>
      </c>
      <c r="Z33" s="19">
        <v>26.281619134984496</v>
      </c>
      <c r="AA33" s="19">
        <v>11.227566397475385</v>
      </c>
      <c r="AB33" s="19">
        <v>39.207104032881325</v>
      </c>
      <c r="AC33" s="19">
        <v>34.307606040449556</v>
      </c>
      <c r="AD33" s="19">
        <v>23.360288764968573</v>
      </c>
      <c r="AE33" s="19">
        <v>28.096431428815897</v>
      </c>
      <c r="AF33" s="19">
        <v>45.99563078585853</v>
      </c>
      <c r="AG33" s="19">
        <v>857.82556593860954</v>
      </c>
      <c r="AH33" s="19">
        <v>729.96205704972033</v>
      </c>
      <c r="AI33" s="19">
        <v>1996.1508267862962</v>
      </c>
      <c r="AJ33" s="19">
        <v>2158.064992782728</v>
      </c>
      <c r="AK33" s="19">
        <v>1210.0309638834592</v>
      </c>
      <c r="AL33" s="19">
        <v>1234.3694009297456</v>
      </c>
      <c r="AM33" s="19">
        <v>1967.4827198298517</v>
      </c>
      <c r="AN33" s="19">
        <v>1974.3893774959383</v>
      </c>
      <c r="AO33" s="19"/>
      <c r="AP33" s="19">
        <v>1.1486804914228639</v>
      </c>
      <c r="AQ33" s="19">
        <v>0.94038284522569537</v>
      </c>
      <c r="AR33" s="19">
        <v>1.9505508009239341</v>
      </c>
      <c r="AS33" s="19">
        <v>1.096209774091782</v>
      </c>
      <c r="AT33" s="19">
        <v>1.286013371216838</v>
      </c>
      <c r="AU33" s="19">
        <v>0.81547304441395763</v>
      </c>
      <c r="AV33" s="19">
        <v>0.20798662823817676</v>
      </c>
      <c r="AW33" s="19">
        <v>0.70116302904241123</v>
      </c>
      <c r="AX33" s="19">
        <v>0.94667292932400604</v>
      </c>
      <c r="AY33" s="19">
        <v>0.29226560864892775</v>
      </c>
      <c r="AZ33" s="19">
        <v>0.51064162808175673</v>
      </c>
      <c r="BA33" s="19">
        <v>0.91885496567044334</v>
      </c>
      <c r="BB33" s="19">
        <v>0.19432176556207789</v>
      </c>
      <c r="BC33" s="19">
        <v>0.79474361642932334</v>
      </c>
      <c r="BD33" s="19">
        <v>0.77386694216562391</v>
      </c>
      <c r="BE33" s="19">
        <v>0.67032798731942111</v>
      </c>
      <c r="BF33" s="19">
        <v>0.28636561343728179</v>
      </c>
      <c r="BG33" s="19">
        <v>0.74588836927088109</v>
      </c>
      <c r="BH33" s="19">
        <v>0.50788060443668814</v>
      </c>
      <c r="BI33" s="19">
        <v>0.61085000789801569</v>
      </c>
    </row>
    <row r="34" spans="1:61" x14ac:dyDescent="0.55000000000000004">
      <c r="A34" s="19" t="s">
        <v>845</v>
      </c>
      <c r="B34" s="19" t="s">
        <v>846</v>
      </c>
      <c r="C34" s="19" t="s">
        <v>515</v>
      </c>
      <c r="D34" s="19" t="s">
        <v>9</v>
      </c>
      <c r="E34" s="19">
        <v>2421</v>
      </c>
      <c r="F34" s="19">
        <v>65.724942585453888</v>
      </c>
      <c r="G34" s="19">
        <v>54.165433040132342</v>
      </c>
      <c r="H34" s="19">
        <v>131134.5133901604</v>
      </c>
      <c r="I34" s="19">
        <v>51.964800221763426</v>
      </c>
      <c r="J34" s="19">
        <v>18.115895844673442</v>
      </c>
      <c r="K34" s="19">
        <v>20.14877093416246</v>
      </c>
      <c r="L34" s="19">
        <v>56.394988363449706</v>
      </c>
      <c r="M34" s="19">
        <v>37.16637257449031</v>
      </c>
      <c r="N34" s="19">
        <v>11.052685087045059</v>
      </c>
      <c r="O34" s="19">
        <v>18.698546207814871</v>
      </c>
      <c r="P34" s="19">
        <v>41.045425709982744</v>
      </c>
      <c r="Q34" s="19">
        <v>1095.4975879654221</v>
      </c>
      <c r="R34" s="19">
        <v>385.77982468955884</v>
      </c>
      <c r="S34" s="19">
        <v>1190.9501412631912</v>
      </c>
      <c r="T34" s="19">
        <v>1584.7985873131061</v>
      </c>
      <c r="U34" s="19">
        <v>59.191996398595975</v>
      </c>
      <c r="V34" s="19">
        <v>39.503842174793803</v>
      </c>
      <c r="W34" s="19">
        <v>47.449342069225303</v>
      </c>
      <c r="X34" s="19">
        <v>84.361551747339846</v>
      </c>
      <c r="Y34" s="19">
        <v>28.612016221921412</v>
      </c>
      <c r="Z34" s="19">
        <v>37.233098613535631</v>
      </c>
      <c r="AA34" s="19">
        <v>20.389064065899554</v>
      </c>
      <c r="AB34" s="19">
        <v>44.415740646526544</v>
      </c>
      <c r="AC34" s="19">
        <v>36.932661324669652</v>
      </c>
      <c r="AD34" s="19">
        <v>16.586097047329215</v>
      </c>
      <c r="AE34" s="19">
        <v>25.628043594134084</v>
      </c>
      <c r="AF34" s="19">
        <v>44.084490604595295</v>
      </c>
      <c r="AG34" s="19">
        <v>1653.255448514486</v>
      </c>
      <c r="AH34" s="19">
        <v>492.40504696997846</v>
      </c>
      <c r="AI34" s="19">
        <v>3063.3391103528338</v>
      </c>
      <c r="AJ34" s="19">
        <v>3463.8251457016904</v>
      </c>
      <c r="AK34" s="19">
        <v>1536.9294505390189</v>
      </c>
      <c r="AL34" s="19">
        <v>2801.2200128864461</v>
      </c>
      <c r="AM34" s="19">
        <v>1070.2622876876881</v>
      </c>
      <c r="AN34" s="19">
        <v>3077.0778296215512</v>
      </c>
      <c r="AO34" s="19"/>
      <c r="AP34" s="19">
        <v>1.0411619588024974</v>
      </c>
      <c r="AQ34" s="19">
        <v>0.75777896356097252</v>
      </c>
      <c r="AR34" s="19">
        <v>1.557479503299356</v>
      </c>
      <c r="AS34" s="19">
        <v>0.82000157948738195</v>
      </c>
      <c r="AT34" s="19">
        <v>0.81388605481898657</v>
      </c>
      <c r="AU34" s="19">
        <v>0.92144358443457819</v>
      </c>
      <c r="AV34" s="19">
        <v>0.32123237135756871</v>
      </c>
      <c r="AW34" s="19">
        <v>0.35727945902407754</v>
      </c>
      <c r="AX34" s="19">
        <v>0.90549365566577611</v>
      </c>
      <c r="AY34" s="19">
        <v>0.26927933858307901</v>
      </c>
      <c r="AZ34" s="19">
        <v>0.45555737050784584</v>
      </c>
      <c r="BA34" s="19">
        <v>0.70164660526722078</v>
      </c>
      <c r="BB34" s="19">
        <v>0.46826832077611075</v>
      </c>
      <c r="BC34" s="19">
        <v>0.56245222007454965</v>
      </c>
      <c r="BD34" s="19">
        <v>0.64418640341099354</v>
      </c>
      <c r="BE34" s="19">
        <v>0.83828611369666262</v>
      </c>
      <c r="BF34" s="19">
        <v>0.45905041251392587</v>
      </c>
      <c r="BG34" s="19">
        <v>0.83776994625905588</v>
      </c>
      <c r="BH34" s="19">
        <v>0.37623429056023405</v>
      </c>
      <c r="BI34" s="19">
        <v>0.58133922480807021</v>
      </c>
    </row>
    <row r="35" spans="1:61" x14ac:dyDescent="0.55000000000000004">
      <c r="A35" s="19" t="s">
        <v>904</v>
      </c>
      <c r="B35" s="19" t="s">
        <v>905</v>
      </c>
      <c r="C35" s="19" t="s">
        <v>515</v>
      </c>
      <c r="D35" s="19" t="s">
        <v>9</v>
      </c>
      <c r="E35" s="19">
        <v>3269</v>
      </c>
      <c r="F35" s="19">
        <v>69.256483162769442</v>
      </c>
      <c r="G35" s="19">
        <v>41.822718107249337</v>
      </c>
      <c r="H35" s="19">
        <v>136718.46549259807</v>
      </c>
      <c r="I35" s="19">
        <v>40.028963637408879</v>
      </c>
      <c r="J35" s="19">
        <v>6.4245713192004299</v>
      </c>
      <c r="K35" s="19">
        <v>23.118362746019478</v>
      </c>
      <c r="L35" s="19">
        <v>43.339090883603994</v>
      </c>
      <c r="M35" s="19">
        <v>28.068726053173275</v>
      </c>
      <c r="N35" s="19">
        <v>5.852649154734392</v>
      </c>
      <c r="O35" s="19">
        <v>14.202032054139769</v>
      </c>
      <c r="P35" s="19">
        <v>29.635662573558648</v>
      </c>
      <c r="Q35" s="19">
        <v>492.57564606311468</v>
      </c>
      <c r="R35" s="19">
        <v>64.685641238489737</v>
      </c>
      <c r="S35" s="19">
        <v>1131.8684486261391</v>
      </c>
      <c r="T35" s="19">
        <v>1158.2912277271485</v>
      </c>
      <c r="U35" s="19">
        <v>32.657563448791322</v>
      </c>
      <c r="V35" s="19">
        <v>11.547613108730197</v>
      </c>
      <c r="W35" s="19">
        <v>33.387635251315572</v>
      </c>
      <c r="X35" s="19">
        <v>39.197282152035662</v>
      </c>
      <c r="Y35" s="19">
        <v>25.068991788423773</v>
      </c>
      <c r="Z35" s="19">
        <v>18.656534092022888</v>
      </c>
      <c r="AA35" s="19">
        <v>12.289007191684497</v>
      </c>
      <c r="AB35" s="19">
        <v>30.932754820528881</v>
      </c>
      <c r="AC35" s="19">
        <v>22.870702890999389</v>
      </c>
      <c r="AD35" s="19">
        <v>11.293314159480115</v>
      </c>
      <c r="AE35" s="19">
        <v>15.440791653879646</v>
      </c>
      <c r="AF35" s="19">
        <v>27.290404185036707</v>
      </c>
      <c r="AG35" s="19">
        <v>760.69479238902272</v>
      </c>
      <c r="AH35" s="19">
        <v>268.82480981490932</v>
      </c>
      <c r="AI35" s="19">
        <v>1375.804571782722</v>
      </c>
      <c r="AJ35" s="19">
        <v>1531.4346156345912</v>
      </c>
      <c r="AK35" s="19">
        <v>540.70877295333412</v>
      </c>
      <c r="AL35" s="19">
        <v>1582.5890387340264</v>
      </c>
      <c r="AM35" s="19">
        <v>738.67747546743919</v>
      </c>
      <c r="AN35" s="19">
        <v>1606.5030450174056</v>
      </c>
      <c r="AO35" s="19"/>
      <c r="AP35" s="19">
        <v>1.0362571550817454</v>
      </c>
      <c r="AQ35" s="19">
        <v>0.70860202097724856</v>
      </c>
      <c r="AR35" s="19">
        <v>0.93722464550292839</v>
      </c>
      <c r="AS35" s="19">
        <v>0.73961607997848311</v>
      </c>
      <c r="AT35" s="19">
        <v>0.65252583811156761</v>
      </c>
      <c r="AU35" s="19">
        <v>0.92362259616646925</v>
      </c>
      <c r="AV35" s="19">
        <v>0.14823964204636714</v>
      </c>
      <c r="AW35" s="19">
        <v>0.53342980377942351</v>
      </c>
      <c r="AX35" s="19">
        <v>0.94712665807636054</v>
      </c>
      <c r="AY35" s="19">
        <v>0.19748669833878482</v>
      </c>
      <c r="AZ35" s="19">
        <v>0.47922100674783025</v>
      </c>
      <c r="BA35" s="19">
        <v>0.83315887367194141</v>
      </c>
      <c r="BB35" s="19">
        <v>0.29460239268478172</v>
      </c>
      <c r="BC35" s="19">
        <v>0.85178444571268896</v>
      </c>
      <c r="BD35" s="19">
        <v>0.8104351498556619</v>
      </c>
      <c r="BE35" s="19">
        <v>0.60313199390961658</v>
      </c>
      <c r="BF35" s="19">
        <v>0.39728136931175478</v>
      </c>
      <c r="BG35" s="19">
        <v>0.83804925481973502</v>
      </c>
      <c r="BH35" s="19">
        <v>0.41381996700775231</v>
      </c>
      <c r="BI35" s="19">
        <v>0.56579563824656776</v>
      </c>
    </row>
    <row r="36" spans="1:61" x14ac:dyDescent="0.55000000000000004">
      <c r="A36" s="19" t="s">
        <v>928</v>
      </c>
      <c r="B36" s="19" t="s">
        <v>929</v>
      </c>
      <c r="C36" s="19" t="s">
        <v>515</v>
      </c>
      <c r="D36" s="19" t="s">
        <v>9</v>
      </c>
      <c r="E36" s="19">
        <v>1973</v>
      </c>
      <c r="F36" s="19">
        <v>70.005509690358224</v>
      </c>
      <c r="G36" s="19">
        <v>41.432594433365281</v>
      </c>
      <c r="H36" s="19">
        <v>81746.508817029695</v>
      </c>
      <c r="I36" s="19">
        <v>52.240888157026703</v>
      </c>
      <c r="J36" s="19">
        <v>16.588547443478564</v>
      </c>
      <c r="K36" s="19">
        <v>17.353722181327345</v>
      </c>
      <c r="L36" s="19">
        <v>55.780543666980805</v>
      </c>
      <c r="M36" s="19">
        <v>36.015385807986227</v>
      </c>
      <c r="N36" s="19">
        <v>12.667373936003806</v>
      </c>
      <c r="O36" s="19">
        <v>9.6008716121101045</v>
      </c>
      <c r="P36" s="19">
        <v>38.056519183474634</v>
      </c>
      <c r="Q36" s="19">
        <v>651.59463285885215</v>
      </c>
      <c r="R36" s="19">
        <v>53.812414208017884</v>
      </c>
      <c r="S36" s="19">
        <v>709.63231022447906</v>
      </c>
      <c r="T36" s="19">
        <v>770.88091318830334</v>
      </c>
      <c r="U36" s="19">
        <v>38.424742667437911</v>
      </c>
      <c r="V36" s="19">
        <v>19.0939796919541</v>
      </c>
      <c r="W36" s="19">
        <v>58.57148704050919</v>
      </c>
      <c r="X36" s="19">
        <v>64.124555159757477</v>
      </c>
      <c r="Y36" s="19">
        <v>28.117209004744453</v>
      </c>
      <c r="Z36" s="19">
        <v>35.156368512102944</v>
      </c>
      <c r="AA36" s="19">
        <v>23.321754634426675</v>
      </c>
      <c r="AB36" s="19">
        <v>42.676493830897165</v>
      </c>
      <c r="AC36" s="19">
        <v>34.398839622186124</v>
      </c>
      <c r="AD36" s="19">
        <v>18.820542817434834</v>
      </c>
      <c r="AE36" s="19">
        <v>32.6452509119909</v>
      </c>
      <c r="AF36" s="19">
        <v>43.650884368513729</v>
      </c>
      <c r="AG36" s="19">
        <v>766.21240363217385</v>
      </c>
      <c r="AH36" s="19">
        <v>123.50251840786692</v>
      </c>
      <c r="AI36" s="19">
        <v>2087.1135604199635</v>
      </c>
      <c r="AJ36" s="19">
        <v>2219.6261666782211</v>
      </c>
      <c r="AK36" s="19">
        <v>761.50780967130368</v>
      </c>
      <c r="AL36" s="19">
        <v>2977.5458152091082</v>
      </c>
      <c r="AM36" s="19">
        <v>907.7198755353993</v>
      </c>
      <c r="AN36" s="19">
        <v>2980.1492285293457</v>
      </c>
      <c r="AO36" s="19"/>
      <c r="AP36" s="19">
        <v>1.3462961812997463</v>
      </c>
      <c r="AQ36" s="19">
        <v>0.91851644107587127</v>
      </c>
      <c r="AR36" s="19">
        <v>1.547683799113448</v>
      </c>
      <c r="AS36" s="19">
        <v>1.0300222425011885</v>
      </c>
      <c r="AT36" s="19">
        <v>1.0535397303858451</v>
      </c>
      <c r="AU36" s="19">
        <v>0.93654318733272957</v>
      </c>
      <c r="AV36" s="19">
        <v>0.29738949018702604</v>
      </c>
      <c r="AW36" s="19">
        <v>0.31110708215631555</v>
      </c>
      <c r="AX36" s="19">
        <v>0.94636573656019674</v>
      </c>
      <c r="AY36" s="19">
        <v>0.33285687203637865</v>
      </c>
      <c r="AZ36" s="19">
        <v>0.25227928928085236</v>
      </c>
      <c r="BA36" s="19">
        <v>0.5992204167609112</v>
      </c>
      <c r="BB36" s="19">
        <v>0.29776393215335506</v>
      </c>
      <c r="BC36" s="19">
        <v>0.91340184574515049</v>
      </c>
      <c r="BD36" s="19">
        <v>0.6588453380485535</v>
      </c>
      <c r="BE36" s="19">
        <v>0.82378764880282274</v>
      </c>
      <c r="BF36" s="19">
        <v>0.54647775721308345</v>
      </c>
      <c r="BG36" s="19">
        <v>0.78804450631013345</v>
      </c>
      <c r="BH36" s="19">
        <v>0.43116063029894702</v>
      </c>
      <c r="BI36" s="19">
        <v>0.747871466621157</v>
      </c>
    </row>
    <row r="37" spans="1:61" x14ac:dyDescent="0.55000000000000004">
      <c r="A37" s="19" t="s">
        <v>966</v>
      </c>
      <c r="B37" s="19" t="s">
        <v>967</v>
      </c>
      <c r="C37" s="19" t="s">
        <v>515</v>
      </c>
      <c r="D37" s="19" t="s">
        <v>9</v>
      </c>
      <c r="E37" s="19">
        <v>3250</v>
      </c>
      <c r="F37" s="19">
        <v>69.615045069089021</v>
      </c>
      <c r="G37" s="19">
        <v>56.049164985760065</v>
      </c>
      <c r="H37" s="19">
        <v>182159.7862037202</v>
      </c>
      <c r="I37" s="19">
        <v>38.865976709259783</v>
      </c>
      <c r="J37" s="19">
        <v>7.595979952740187</v>
      </c>
      <c r="K37" s="19">
        <v>21.577438953655694</v>
      </c>
      <c r="L37" s="19">
        <v>40.669714065221626</v>
      </c>
      <c r="M37" s="19">
        <v>28.090496677232341</v>
      </c>
      <c r="N37" s="19">
        <v>8.6552229477910121</v>
      </c>
      <c r="O37" s="19">
        <v>11.009988216828946</v>
      </c>
      <c r="P37" s="19">
        <v>29.283912414237598</v>
      </c>
      <c r="Q37" s="19">
        <v>283.75510231061435</v>
      </c>
      <c r="R37" s="19">
        <v>54.380320363766771</v>
      </c>
      <c r="S37" s="19">
        <v>998.07968738064869</v>
      </c>
      <c r="T37" s="19">
        <v>1025.3155420525152</v>
      </c>
      <c r="U37" s="19">
        <v>36.560440426780382</v>
      </c>
      <c r="V37" s="19">
        <v>17.417081543196492</v>
      </c>
      <c r="W37" s="19">
        <v>35.104528112946895</v>
      </c>
      <c r="X37" s="19">
        <v>46.198321116065685</v>
      </c>
      <c r="Y37" s="19">
        <v>21.130873225155071</v>
      </c>
      <c r="Z37" s="19">
        <v>21.794161237189076</v>
      </c>
      <c r="AA37" s="19">
        <v>15.034033077261498</v>
      </c>
      <c r="AB37" s="19">
        <v>30.35627332031558</v>
      </c>
      <c r="AC37" s="19">
        <v>22.089006652603061</v>
      </c>
      <c r="AD37" s="19">
        <v>12.248522205486442</v>
      </c>
      <c r="AE37" s="19">
        <v>22.041442866372321</v>
      </c>
      <c r="AF37" s="19">
        <v>29.321384045169864</v>
      </c>
      <c r="AG37" s="19">
        <v>952.2730930015199</v>
      </c>
      <c r="AH37" s="19">
        <v>247.55169968173121</v>
      </c>
      <c r="AI37" s="19">
        <v>1587.0519747911876</v>
      </c>
      <c r="AJ37" s="19">
        <v>1835.3699314321432</v>
      </c>
      <c r="AK37" s="19">
        <v>1034.4293741523206</v>
      </c>
      <c r="AL37" s="19">
        <v>2096.3209509246549</v>
      </c>
      <c r="AM37" s="19">
        <v>640.43953529785335</v>
      </c>
      <c r="AN37" s="19">
        <v>2278.3810450834685</v>
      </c>
      <c r="AO37" s="19"/>
      <c r="AP37" s="19">
        <v>0.72560784938641343</v>
      </c>
      <c r="AQ37" s="19">
        <v>0.52246830834460267</v>
      </c>
      <c r="AR37" s="19">
        <v>0.82424637597728534</v>
      </c>
      <c r="AS37" s="19">
        <v>0.54160081292964735</v>
      </c>
      <c r="AT37" s="19">
        <v>0.52313685766093565</v>
      </c>
      <c r="AU37" s="19">
        <v>0.95564912620066111</v>
      </c>
      <c r="AV37" s="19">
        <v>0.18677239629859674</v>
      </c>
      <c r="AW37" s="19">
        <v>0.53055300361965085</v>
      </c>
      <c r="AX37" s="19">
        <v>0.95924671129582306</v>
      </c>
      <c r="AY37" s="19">
        <v>0.29556238337821672</v>
      </c>
      <c r="AZ37" s="19">
        <v>0.37597394982905291</v>
      </c>
      <c r="BA37" s="19">
        <v>0.79138028273642858</v>
      </c>
      <c r="BB37" s="19">
        <v>0.37700680722658597</v>
      </c>
      <c r="BC37" s="19">
        <v>0.75986588397341415</v>
      </c>
      <c r="BD37" s="19">
        <v>0.69609576255243033</v>
      </c>
      <c r="BE37" s="19">
        <v>0.71794587587283287</v>
      </c>
      <c r="BF37" s="19">
        <v>0.49525292247254038</v>
      </c>
      <c r="BG37" s="19">
        <v>0.75334120035311913</v>
      </c>
      <c r="BH37" s="19">
        <v>0.41773342576931155</v>
      </c>
      <c r="BI37" s="19">
        <v>0.75171904683685031</v>
      </c>
    </row>
    <row r="38" spans="1:61" x14ac:dyDescent="0.55000000000000004">
      <c r="A38" s="19" t="s">
        <v>978</v>
      </c>
      <c r="B38" s="19" t="s">
        <v>979</v>
      </c>
      <c r="C38" s="19" t="s">
        <v>515</v>
      </c>
      <c r="D38" s="19" t="s">
        <v>9</v>
      </c>
      <c r="E38" s="19">
        <v>2719</v>
      </c>
      <c r="F38" s="19">
        <v>65.457374322042057</v>
      </c>
      <c r="G38" s="19">
        <v>33.672115275423607</v>
      </c>
      <c r="H38" s="19">
        <v>91554.48143387679</v>
      </c>
      <c r="I38" s="19">
        <v>35.694746961338922</v>
      </c>
      <c r="J38" s="19">
        <v>16.733030433893628</v>
      </c>
      <c r="K38" s="19">
        <v>26.023847890154876</v>
      </c>
      <c r="L38" s="19">
        <v>41.511729122056899</v>
      </c>
      <c r="M38" s="19">
        <v>28.667412702725194</v>
      </c>
      <c r="N38" s="19">
        <v>14.073864326848506</v>
      </c>
      <c r="O38" s="19">
        <v>19.540290510615328</v>
      </c>
      <c r="P38" s="19">
        <v>34.963957209850989</v>
      </c>
      <c r="Q38" s="19">
        <v>307.45157494358108</v>
      </c>
      <c r="R38" s="19">
        <v>30.982265768290226</v>
      </c>
      <c r="S38" s="19">
        <v>1131.8409229394817</v>
      </c>
      <c r="T38" s="19">
        <v>1158.8998601435039</v>
      </c>
      <c r="U38" s="19">
        <v>24.775871466081838</v>
      </c>
      <c r="V38" s="19">
        <v>14.549860428792178</v>
      </c>
      <c r="W38" s="19">
        <v>42.182826128973943</v>
      </c>
      <c r="X38" s="19">
        <v>48.170749767040917</v>
      </c>
      <c r="Y38" s="19">
        <v>22.579206685109781</v>
      </c>
      <c r="Z38" s="19">
        <v>27.26437192362738</v>
      </c>
      <c r="AA38" s="19">
        <v>20.628958604793208</v>
      </c>
      <c r="AB38" s="19">
        <v>37.372153632279883</v>
      </c>
      <c r="AC38" s="19">
        <v>32.557322643695542</v>
      </c>
      <c r="AD38" s="19">
        <v>20.837076019350295</v>
      </c>
      <c r="AE38" s="19">
        <v>22.307049896173091</v>
      </c>
      <c r="AF38" s="19">
        <v>41.378109546877468</v>
      </c>
      <c r="AG38" s="19">
        <v>754.6971288784132</v>
      </c>
      <c r="AH38" s="19">
        <v>372.59272654258848</v>
      </c>
      <c r="AI38" s="19">
        <v>1548.5221629854025</v>
      </c>
      <c r="AJ38" s="19">
        <v>1687.2129931474335</v>
      </c>
      <c r="AK38" s="19">
        <v>1138.6762468914199</v>
      </c>
      <c r="AL38" s="19">
        <v>817.44216878740508</v>
      </c>
      <c r="AM38" s="19">
        <v>1233.4675814888653</v>
      </c>
      <c r="AN38" s="19">
        <v>1623.6009626970358</v>
      </c>
      <c r="AO38" s="19"/>
      <c r="AP38" s="19">
        <v>1.232822137323675</v>
      </c>
      <c r="AQ38" s="19">
        <v>1.0383653335663847</v>
      </c>
      <c r="AR38" s="19">
        <v>1.4305828241862633</v>
      </c>
      <c r="AS38" s="19">
        <v>1.1098843457439942</v>
      </c>
      <c r="AT38" s="19">
        <v>1.2288538812730385</v>
      </c>
      <c r="AU38" s="19">
        <v>0.85987135964357664</v>
      </c>
      <c r="AV38" s="19">
        <v>0.40309162706023433</v>
      </c>
      <c r="AW38" s="19">
        <v>0.62690349066493911</v>
      </c>
      <c r="AX38" s="19">
        <v>0.81991327613935638</v>
      </c>
      <c r="AY38" s="19">
        <v>0.40252492709501536</v>
      </c>
      <c r="AZ38" s="19">
        <v>0.55886953508540249</v>
      </c>
      <c r="BA38" s="19">
        <v>0.51433435406134842</v>
      </c>
      <c r="BB38" s="19">
        <v>0.30204762224289461</v>
      </c>
      <c r="BC38" s="19">
        <v>0.87569378373753293</v>
      </c>
      <c r="BD38" s="19">
        <v>0.60417194329435653</v>
      </c>
      <c r="BE38" s="19">
        <v>0.72953708239275805</v>
      </c>
      <c r="BF38" s="19">
        <v>0.55198741843379129</v>
      </c>
      <c r="BG38" s="19">
        <v>0.78682479698138907</v>
      </c>
      <c r="BH38" s="19">
        <v>0.50357728391974665</v>
      </c>
      <c r="BI38" s="19">
        <v>0.5391026835312841</v>
      </c>
    </row>
    <row r="39" spans="1:61" x14ac:dyDescent="0.55000000000000004">
      <c r="A39" s="19" t="s">
        <v>1009</v>
      </c>
      <c r="B39" s="19" t="s">
        <v>1010</v>
      </c>
      <c r="C39" s="19" t="s">
        <v>515</v>
      </c>
      <c r="D39" s="19" t="s">
        <v>9</v>
      </c>
      <c r="E39" s="19">
        <v>2284</v>
      </c>
      <c r="F39" s="19">
        <v>70.894147035524824</v>
      </c>
      <c r="G39" s="19">
        <v>38.429763665896807</v>
      </c>
      <c r="H39" s="19">
        <v>87773.580212908302</v>
      </c>
      <c r="I39" s="19">
        <v>29.968229748433401</v>
      </c>
      <c r="J39" s="19">
        <v>12.401974385657866</v>
      </c>
      <c r="K39" s="19">
        <v>26.430012908384867</v>
      </c>
      <c r="L39" s="19">
        <v>117.39780969013958</v>
      </c>
      <c r="M39" s="19">
        <v>32.004821329108594</v>
      </c>
      <c r="N39" s="19">
        <v>10.417426773465225</v>
      </c>
      <c r="O39" s="19">
        <v>15.096893791854599</v>
      </c>
      <c r="P39" s="19">
        <v>35.669449436507755</v>
      </c>
      <c r="Q39" s="19">
        <v>325.60851437476208</v>
      </c>
      <c r="R39" s="19">
        <v>102.86899652299594</v>
      </c>
      <c r="S39" s="19">
        <v>1170.313496382073</v>
      </c>
      <c r="T39" s="19">
        <v>1186.0271145515974</v>
      </c>
      <c r="U39" s="19">
        <v>32.296745653673469</v>
      </c>
      <c r="V39" s="19">
        <v>19.375889361918404</v>
      </c>
      <c r="W39" s="19">
        <v>53.234820495552285</v>
      </c>
      <c r="X39" s="19">
        <v>63.001820484004369</v>
      </c>
      <c r="Y39" s="19">
        <v>32.797815458475789</v>
      </c>
      <c r="Z39" s="19">
        <v>34.27048653926397</v>
      </c>
      <c r="AA39" s="19">
        <v>11.002970569722274</v>
      </c>
      <c r="AB39" s="19">
        <v>46.616786783318119</v>
      </c>
      <c r="AC39" s="19">
        <v>31.03150419377063</v>
      </c>
      <c r="AD39" s="19">
        <v>17.782314846997405</v>
      </c>
      <c r="AE39" s="19">
        <v>16.04764479232038</v>
      </c>
      <c r="AF39" s="19">
        <v>35.824996129829216</v>
      </c>
      <c r="AG39" s="19">
        <v>844.06948393956338</v>
      </c>
      <c r="AH39" s="19">
        <v>600.68782803170143</v>
      </c>
      <c r="AI39" s="19">
        <v>1691.2437900106397</v>
      </c>
      <c r="AJ39" s="19">
        <v>1869.1067697210058</v>
      </c>
      <c r="AK39" s="19">
        <v>704.36396251233555</v>
      </c>
      <c r="AL39" s="19">
        <v>445.0755038242969</v>
      </c>
      <c r="AM39" s="19">
        <v>978.04935848511423</v>
      </c>
      <c r="AN39" s="19">
        <v>994.58632284046587</v>
      </c>
      <c r="AO39" s="19"/>
      <c r="AP39" s="19">
        <v>3.0548668139304822</v>
      </c>
      <c r="AQ39" s="19">
        <v>0.92817249012023983</v>
      </c>
      <c r="AR39" s="19">
        <v>1.6394017156007963</v>
      </c>
      <c r="AS39" s="19">
        <v>1.213038601761858</v>
      </c>
      <c r="AT39" s="19">
        <v>0.93222004801504665</v>
      </c>
      <c r="AU39" s="19">
        <v>0.25527077402493037</v>
      </c>
      <c r="AV39" s="19">
        <v>0.10564059430403092</v>
      </c>
      <c r="AW39" s="19">
        <v>0.22513207851274558</v>
      </c>
      <c r="AX39" s="19">
        <v>0.89726143337529607</v>
      </c>
      <c r="AY39" s="19">
        <v>0.29205459960934993</v>
      </c>
      <c r="AZ39" s="19">
        <v>0.42324437383670122</v>
      </c>
      <c r="BA39" s="19">
        <v>0.5126319431019194</v>
      </c>
      <c r="BB39" s="19">
        <v>0.30754491240198017</v>
      </c>
      <c r="BC39" s="19">
        <v>0.84497273390803296</v>
      </c>
      <c r="BD39" s="19">
        <v>0.7035623371238563</v>
      </c>
      <c r="BE39" s="19">
        <v>0.73515334076023686</v>
      </c>
      <c r="BF39" s="19">
        <v>0.23603022277931224</v>
      </c>
      <c r="BG39" s="19">
        <v>0.86619700058900084</v>
      </c>
      <c r="BH39" s="19">
        <v>0.49636613448762362</v>
      </c>
      <c r="BI39" s="19">
        <v>0.44794547176401556</v>
      </c>
    </row>
    <row r="40" spans="1:61" x14ac:dyDescent="0.55000000000000004">
      <c r="A40" s="19" t="s">
        <v>1013</v>
      </c>
      <c r="B40" s="19" t="s">
        <v>1014</v>
      </c>
      <c r="C40" s="19" t="s">
        <v>515</v>
      </c>
      <c r="D40" s="19" t="s">
        <v>9</v>
      </c>
      <c r="E40" s="19">
        <v>2290</v>
      </c>
      <c r="F40" s="19">
        <v>70.682549647581254</v>
      </c>
      <c r="G40" s="19">
        <v>46.625768419500432</v>
      </c>
      <c r="H40" s="19">
        <v>106773.00968065599</v>
      </c>
      <c r="I40" s="19">
        <v>39.267347578675285</v>
      </c>
      <c r="J40" s="19">
        <v>19.860741357718169</v>
      </c>
      <c r="K40" s="19">
        <v>17.024130961026849</v>
      </c>
      <c r="L40" s="19">
        <v>43.305618231351467</v>
      </c>
      <c r="M40" s="19">
        <v>37.631188039888663</v>
      </c>
      <c r="N40" s="19">
        <v>11.607885445052364</v>
      </c>
      <c r="O40" s="19">
        <v>6.9141878681480904</v>
      </c>
      <c r="P40" s="19">
        <v>39.019049262033739</v>
      </c>
      <c r="Q40" s="19">
        <v>440.87776782701133</v>
      </c>
      <c r="R40" s="19">
        <v>176.91434735199681</v>
      </c>
      <c r="S40" s="19">
        <v>830.72126072904382</v>
      </c>
      <c r="T40" s="19">
        <v>831.61829623137078</v>
      </c>
      <c r="U40" s="19">
        <v>54.198288544745772</v>
      </c>
      <c r="V40" s="19">
        <v>12.411924987793807</v>
      </c>
      <c r="W40" s="19">
        <v>66.024933017751792</v>
      </c>
      <c r="X40" s="19">
        <v>74.407847726017565</v>
      </c>
      <c r="Y40" s="19">
        <v>41.661971030511275</v>
      </c>
      <c r="Z40" s="19">
        <v>23.78677459141532</v>
      </c>
      <c r="AA40" s="19">
        <v>45.199034062960365</v>
      </c>
      <c r="AB40" s="19">
        <v>64.450074879571531</v>
      </c>
      <c r="AC40" s="19">
        <v>41.521086422086682</v>
      </c>
      <c r="AD40" s="19">
        <v>21.154549139219853</v>
      </c>
      <c r="AE40" s="19">
        <v>18.320032105015123</v>
      </c>
      <c r="AF40" s="19">
        <v>43.964331344584259</v>
      </c>
      <c r="AG40" s="19">
        <v>1333.5918931814508</v>
      </c>
      <c r="AH40" s="19">
        <v>347.63164598619852</v>
      </c>
      <c r="AI40" s="19">
        <v>2452.9728959314048</v>
      </c>
      <c r="AJ40" s="19">
        <v>2685.6942084580851</v>
      </c>
      <c r="AK40" s="19">
        <v>2425.7048398372099</v>
      </c>
      <c r="AL40" s="19">
        <v>685.72938426386918</v>
      </c>
      <c r="AM40" s="19">
        <v>1857.2478970275724</v>
      </c>
      <c r="AN40" s="19">
        <v>3042.4978818561235</v>
      </c>
      <c r="AO40" s="19"/>
      <c r="AP40" s="19">
        <v>0.9287915180662123</v>
      </c>
      <c r="AQ40" s="19">
        <v>0.83685589717197428</v>
      </c>
      <c r="AR40" s="19">
        <v>1.5958524706028814</v>
      </c>
      <c r="AS40" s="19">
        <v>1.3822844548041033</v>
      </c>
      <c r="AT40" s="19">
        <v>0.94291918042034728</v>
      </c>
      <c r="AU40" s="19">
        <v>0.90674949769559821</v>
      </c>
      <c r="AV40" s="19">
        <v>0.45861812321016165</v>
      </c>
      <c r="AW40" s="19">
        <v>0.39311598947921461</v>
      </c>
      <c r="AX40" s="19">
        <v>0.96443118814031459</v>
      </c>
      <c r="AY40" s="19">
        <v>0.29749278018280811</v>
      </c>
      <c r="AZ40" s="19">
        <v>0.17720031622799493</v>
      </c>
      <c r="BA40" s="19">
        <v>0.72839478900549781</v>
      </c>
      <c r="BB40" s="19">
        <v>0.16680935367861519</v>
      </c>
      <c r="BC40" s="19">
        <v>0.88733829878895165</v>
      </c>
      <c r="BD40" s="19">
        <v>0.64642238365679061</v>
      </c>
      <c r="BE40" s="19">
        <v>0.36907287750808981</v>
      </c>
      <c r="BF40" s="19">
        <v>0.70130304964605883</v>
      </c>
      <c r="BG40" s="19">
        <v>0.94442665570532902</v>
      </c>
      <c r="BH40" s="19">
        <v>0.48117527305065616</v>
      </c>
      <c r="BI40" s="19">
        <v>0.41670216615888267</v>
      </c>
    </row>
    <row r="41" spans="1:61" x14ac:dyDescent="0.55000000000000004">
      <c r="A41" s="19" t="s">
        <v>1047</v>
      </c>
      <c r="B41" s="19" t="s">
        <v>1048</v>
      </c>
      <c r="C41" s="19" t="s">
        <v>515</v>
      </c>
      <c r="D41" s="19" t="s">
        <v>9</v>
      </c>
      <c r="E41" s="19">
        <v>3232</v>
      </c>
      <c r="F41" s="19">
        <v>73.151384874713258</v>
      </c>
      <c r="G41" s="19">
        <v>69.443511850940652</v>
      </c>
      <c r="H41" s="19">
        <v>224441.43030224019</v>
      </c>
      <c r="I41" s="19">
        <v>70.736236159888122</v>
      </c>
      <c r="J41" s="19">
        <v>16.524239327168161</v>
      </c>
      <c r="K41" s="19">
        <v>14.47781821217411</v>
      </c>
      <c r="L41" s="19">
        <v>71.372841429404801</v>
      </c>
      <c r="M41" s="19">
        <v>35.423562746130862</v>
      </c>
      <c r="N41" s="19">
        <v>10.601978652285688</v>
      </c>
      <c r="O41" s="19">
        <v>12.665590498915451</v>
      </c>
      <c r="P41" s="19">
        <v>37.351061239593001</v>
      </c>
      <c r="Q41" s="19">
        <v>653.86787619759787</v>
      </c>
      <c r="R41" s="19">
        <v>58.105853975192616</v>
      </c>
      <c r="S41" s="19">
        <v>1444.4048403220802</v>
      </c>
      <c r="T41" s="19">
        <v>1560.4740888354922</v>
      </c>
      <c r="U41" s="19">
        <v>47.017630917051434</v>
      </c>
      <c r="V41" s="19">
        <v>7.5147511758053485</v>
      </c>
      <c r="W41" s="19">
        <v>35.179583557062415</v>
      </c>
      <c r="X41" s="19">
        <v>51.927244513969491</v>
      </c>
      <c r="Y41" s="19">
        <v>26.341248312354704</v>
      </c>
      <c r="Z41" s="19">
        <v>15.541285736996171</v>
      </c>
      <c r="AA41" s="19">
        <v>40.653575624013214</v>
      </c>
      <c r="AB41" s="19">
        <v>43.724327698334839</v>
      </c>
      <c r="AC41" s="19">
        <v>26.703491853227568</v>
      </c>
      <c r="AD41" s="19">
        <v>14.251530643478791</v>
      </c>
      <c r="AE41" s="19">
        <v>22.870171571076732</v>
      </c>
      <c r="AF41" s="19">
        <v>36.402509484797434</v>
      </c>
      <c r="AG41" s="19">
        <v>760.9161728762549</v>
      </c>
      <c r="AH41" s="19">
        <v>633.91410078659965</v>
      </c>
      <c r="AI41" s="19">
        <v>1630.0916299062808</v>
      </c>
      <c r="AJ41" s="19">
        <v>1758.7147661506779</v>
      </c>
      <c r="AK41" s="19">
        <v>1154.3006911883165</v>
      </c>
      <c r="AL41" s="19">
        <v>2057.9369997340809</v>
      </c>
      <c r="AM41" s="19">
        <v>718.17389080248518</v>
      </c>
      <c r="AN41" s="19">
        <v>2082.3920920105725</v>
      </c>
      <c r="AO41" s="19"/>
      <c r="AP41" s="19">
        <v>1.027782719033643</v>
      </c>
      <c r="AQ41" s="19">
        <v>0.53786250499206367</v>
      </c>
      <c r="AR41" s="19">
        <v>0.74776236296099863</v>
      </c>
      <c r="AS41" s="19">
        <v>0.62963877449326566</v>
      </c>
      <c r="AT41" s="19">
        <v>0.52420317628715007</v>
      </c>
      <c r="AU41" s="19">
        <v>0.9910805671069387</v>
      </c>
      <c r="AV41" s="19">
        <v>0.23151998710198976</v>
      </c>
      <c r="AW41" s="19">
        <v>0.20284772081680658</v>
      </c>
      <c r="AX41" s="19">
        <v>0.94839508090284341</v>
      </c>
      <c r="AY41" s="19">
        <v>0.28384678508270444</v>
      </c>
      <c r="AZ41" s="19">
        <v>0.33909586712062756</v>
      </c>
      <c r="BA41" s="19">
        <v>0.9054520677368646</v>
      </c>
      <c r="BB41" s="19">
        <v>0.14471692550109658</v>
      </c>
      <c r="BC41" s="19">
        <v>0.67747834275316476</v>
      </c>
      <c r="BD41" s="19">
        <v>0.60243918429322951</v>
      </c>
      <c r="BE41" s="19">
        <v>0.35543795765642</v>
      </c>
      <c r="BF41" s="19">
        <v>0.92977017061285616</v>
      </c>
      <c r="BG41" s="19">
        <v>0.73356184041046923</v>
      </c>
      <c r="BH41" s="19">
        <v>0.39149857647672814</v>
      </c>
      <c r="BI41" s="19">
        <v>0.62825810348673539</v>
      </c>
    </row>
    <row r="42" spans="1:61" x14ac:dyDescent="0.55000000000000004">
      <c r="A42" s="19" t="s">
        <v>1057</v>
      </c>
      <c r="B42" s="19" t="s">
        <v>1058</v>
      </c>
      <c r="C42" s="19" t="s">
        <v>515</v>
      </c>
      <c r="D42" s="19" t="s">
        <v>9</v>
      </c>
      <c r="E42" s="19">
        <v>2997</v>
      </c>
      <c r="F42" s="19">
        <v>69.181530927657477</v>
      </c>
      <c r="G42" s="19">
        <v>37.758712464090628</v>
      </c>
      <c r="H42" s="19">
        <v>113162.86125487961</v>
      </c>
      <c r="I42" s="19">
        <v>52.115289074795427</v>
      </c>
      <c r="J42" s="19">
        <v>16.81028009201825</v>
      </c>
      <c r="K42" s="19">
        <v>15.156652120309163</v>
      </c>
      <c r="L42" s="19">
        <v>52.183907304701265</v>
      </c>
      <c r="M42" s="19">
        <v>30.724533917171787</v>
      </c>
      <c r="N42" s="19">
        <v>9.2969974216693014</v>
      </c>
      <c r="O42" s="19">
        <v>10.382372843450273</v>
      </c>
      <c r="P42" s="19">
        <v>32.976903459492767</v>
      </c>
      <c r="Q42" s="19">
        <v>736.21852897213728</v>
      </c>
      <c r="R42" s="19">
        <v>184.98500890196792</v>
      </c>
      <c r="S42" s="19">
        <v>909.65514018254248</v>
      </c>
      <c r="T42" s="19">
        <v>930.38532190414037</v>
      </c>
      <c r="U42" s="19">
        <v>60.244700860571413</v>
      </c>
      <c r="V42" s="19">
        <v>20.414632313513078</v>
      </c>
      <c r="W42" s="19">
        <v>42.28767060983575</v>
      </c>
      <c r="X42" s="19">
        <v>68.06354288509246</v>
      </c>
      <c r="Y42" s="19">
        <v>31.011888600039125</v>
      </c>
      <c r="Z42" s="19">
        <v>25.857903780315603</v>
      </c>
      <c r="AA42" s="19">
        <v>12.840639751036296</v>
      </c>
      <c r="AB42" s="19">
        <v>35.369612515207017</v>
      </c>
      <c r="AC42" s="19">
        <v>40.005626139835648</v>
      </c>
      <c r="AD42" s="19">
        <v>11.877357486112295</v>
      </c>
      <c r="AE42" s="19">
        <v>20.075724944759106</v>
      </c>
      <c r="AF42" s="19">
        <v>42.519633242732212</v>
      </c>
      <c r="AG42" s="19">
        <v>1575.4322292491825</v>
      </c>
      <c r="AH42" s="19">
        <v>36.597508665843733</v>
      </c>
      <c r="AI42" s="19">
        <v>2596.4370247750294</v>
      </c>
      <c r="AJ42" s="19">
        <v>3018.6485530592781</v>
      </c>
      <c r="AK42" s="19">
        <v>723.39940531447087</v>
      </c>
      <c r="AL42" s="19">
        <v>1742.851597759276</v>
      </c>
      <c r="AM42" s="19">
        <v>620.85096899512268</v>
      </c>
      <c r="AN42" s="19">
        <v>1781.7914363505499</v>
      </c>
      <c r="AO42" s="19"/>
      <c r="AP42" s="19">
        <v>1.3820361950723112</v>
      </c>
      <c r="AQ42" s="19">
        <v>0.87335879079178169</v>
      </c>
      <c r="AR42" s="19">
        <v>1.8025917316386886</v>
      </c>
      <c r="AS42" s="19">
        <v>0.93672718710534164</v>
      </c>
      <c r="AT42" s="19">
        <v>1.1260880063950625</v>
      </c>
      <c r="AU42" s="19">
        <v>0.99868506914391875</v>
      </c>
      <c r="AV42" s="19">
        <v>0.32213532792520128</v>
      </c>
      <c r="AW42" s="19">
        <v>0.29044686193790809</v>
      </c>
      <c r="AX42" s="19">
        <v>0.93169857366724307</v>
      </c>
      <c r="AY42" s="19">
        <v>0.28192451219955456</v>
      </c>
      <c r="AZ42" s="19">
        <v>0.31483771228561463</v>
      </c>
      <c r="BA42" s="19">
        <v>0.88512437506050601</v>
      </c>
      <c r="BB42" s="19">
        <v>0.29993490565100117</v>
      </c>
      <c r="BC42" s="19">
        <v>0.62129693544203912</v>
      </c>
      <c r="BD42" s="19">
        <v>0.87679469450522518</v>
      </c>
      <c r="BE42" s="19">
        <v>0.73107681824894477</v>
      </c>
      <c r="BF42" s="19">
        <v>0.36304157263570574</v>
      </c>
      <c r="BG42" s="19">
        <v>0.94087420536896849</v>
      </c>
      <c r="BH42" s="19">
        <v>0.27933819227244783</v>
      </c>
      <c r="BI42" s="19">
        <v>0.47215188405207154</v>
      </c>
    </row>
    <row r="43" spans="1:61" x14ac:dyDescent="0.55000000000000004">
      <c r="A43" s="19" t="s">
        <v>1075</v>
      </c>
      <c r="B43" s="19" t="s">
        <v>1076</v>
      </c>
      <c r="C43" s="19" t="s">
        <v>515</v>
      </c>
      <c r="D43" s="19" t="s">
        <v>9</v>
      </c>
      <c r="E43" s="19">
        <v>1993</v>
      </c>
      <c r="F43" s="19">
        <v>70.086590664197075</v>
      </c>
      <c r="G43" s="19">
        <v>52.01949732670618</v>
      </c>
      <c r="H43" s="19">
        <v>103674.85817212542</v>
      </c>
      <c r="I43" s="19">
        <v>49.204763642754727</v>
      </c>
      <c r="J43" s="19">
        <v>17.135412585752096</v>
      </c>
      <c r="K43" s="19">
        <v>20.202720013079887</v>
      </c>
      <c r="L43" s="19">
        <v>52.010963008449863</v>
      </c>
      <c r="M43" s="19">
        <v>42.596405613220725</v>
      </c>
      <c r="N43" s="19">
        <v>13.315302893910866</v>
      </c>
      <c r="O43" s="19">
        <v>12.900192998882115</v>
      </c>
      <c r="P43" s="19">
        <v>44.894601659098335</v>
      </c>
      <c r="Q43" s="19">
        <v>787.03478089101793</v>
      </c>
      <c r="R43" s="19">
        <v>79.322716387953477</v>
      </c>
      <c r="S43" s="19">
        <v>726.33969139946851</v>
      </c>
      <c r="T43" s="19">
        <v>790.77588867737643</v>
      </c>
      <c r="U43" s="19">
        <v>37.386513456339138</v>
      </c>
      <c r="V43" s="19">
        <v>12.537997120832868</v>
      </c>
      <c r="W43" s="19">
        <v>58.356533345560116</v>
      </c>
      <c r="X43" s="19">
        <v>61.844565674457257</v>
      </c>
      <c r="Y43" s="19">
        <v>28.083270166730269</v>
      </c>
      <c r="Z43" s="19">
        <v>30.704857430697135</v>
      </c>
      <c r="AA43" s="19">
        <v>81.720703255102251</v>
      </c>
      <c r="AB43" s="19">
        <v>86.766819647765701</v>
      </c>
      <c r="AC43" s="19">
        <v>38.666818501747684</v>
      </c>
      <c r="AD43" s="19">
        <v>17.740825406709185</v>
      </c>
      <c r="AE43" s="19">
        <v>35.141708430651931</v>
      </c>
      <c r="AF43" s="19">
        <v>50.00107505141591</v>
      </c>
      <c r="AG43" s="19">
        <v>641.81789579332553</v>
      </c>
      <c r="AH43" s="19">
        <v>396.02760653956062</v>
      </c>
      <c r="AI43" s="19">
        <v>2163.7137105677516</v>
      </c>
      <c r="AJ43" s="19">
        <v>2253.0328193180003</v>
      </c>
      <c r="AK43" s="19">
        <v>882.7639131364117</v>
      </c>
      <c r="AL43" s="19">
        <v>3519.7572335800314</v>
      </c>
      <c r="AM43" s="19">
        <v>1282.4914724904829</v>
      </c>
      <c r="AN43" s="19">
        <v>3519.8554134001565</v>
      </c>
      <c r="AO43" s="19"/>
      <c r="AP43" s="19">
        <v>0.99983594000913312</v>
      </c>
      <c r="AQ43" s="19">
        <v>0.86303413078253621</v>
      </c>
      <c r="AR43" s="19">
        <v>1.1888728044803119</v>
      </c>
      <c r="AS43" s="19">
        <v>1.6679672835519821</v>
      </c>
      <c r="AT43" s="19">
        <v>0.96119873549308532</v>
      </c>
      <c r="AU43" s="19">
        <v>0.94604600254682403</v>
      </c>
      <c r="AV43" s="19">
        <v>0.32945770650253531</v>
      </c>
      <c r="AW43" s="19">
        <v>0.38843195442848633</v>
      </c>
      <c r="AX43" s="19">
        <v>0.94880907813084792</v>
      </c>
      <c r="AY43" s="19">
        <v>0.29659028929622738</v>
      </c>
      <c r="AZ43" s="19">
        <v>0.28734396836479703</v>
      </c>
      <c r="BA43" s="19">
        <v>0.60452382595970489</v>
      </c>
      <c r="BB43" s="19">
        <v>0.2027340152541689</v>
      </c>
      <c r="BC43" s="19">
        <v>0.94360001900154422</v>
      </c>
      <c r="BD43" s="19">
        <v>0.32366370325356775</v>
      </c>
      <c r="BE43" s="19">
        <v>0.35387787123401615</v>
      </c>
      <c r="BF43" s="19">
        <v>0.94184278721810466</v>
      </c>
      <c r="BG43" s="19">
        <v>0.77331974286526328</v>
      </c>
      <c r="BH43" s="19">
        <v>0.35480887937842065</v>
      </c>
      <c r="BI43" s="19">
        <v>0.70281905728058547</v>
      </c>
    </row>
    <row r="44" spans="1:61" x14ac:dyDescent="0.55000000000000004">
      <c r="A44" s="19" t="s">
        <v>1147</v>
      </c>
      <c r="B44" s="19" t="s">
        <v>1148</v>
      </c>
      <c r="C44" s="19" t="s">
        <v>515</v>
      </c>
      <c r="D44" s="19" t="s">
        <v>9</v>
      </c>
      <c r="E44" s="19">
        <v>2318</v>
      </c>
      <c r="F44" s="19">
        <v>72.328245188328168</v>
      </c>
      <c r="G44" s="19">
        <v>33.855094050363292</v>
      </c>
      <c r="H44" s="19">
        <v>78476.108008742114</v>
      </c>
      <c r="I44" s="19">
        <v>59.587818250224302</v>
      </c>
      <c r="J44" s="19">
        <v>16.360568494705948</v>
      </c>
      <c r="K44" s="19">
        <v>18.937953227866338</v>
      </c>
      <c r="L44" s="19">
        <v>60.831234909519964</v>
      </c>
      <c r="M44" s="19">
        <v>30.959316972079971</v>
      </c>
      <c r="N44" s="19">
        <v>18.411016327201864</v>
      </c>
      <c r="O44" s="19">
        <v>16.691342656172942</v>
      </c>
      <c r="P44" s="19">
        <v>36.729566016447336</v>
      </c>
      <c r="Q44" s="19">
        <v>309.90805084206806</v>
      </c>
      <c r="R44" s="19">
        <v>170.04250170758692</v>
      </c>
      <c r="S44" s="19">
        <v>884.70836902373662</v>
      </c>
      <c r="T44" s="19">
        <v>932.54593651204129</v>
      </c>
      <c r="U44" s="19">
        <v>25.524839325378544</v>
      </c>
      <c r="V44" s="19">
        <v>12.036131414695896</v>
      </c>
      <c r="W44" s="19">
        <v>39.313145846452628</v>
      </c>
      <c r="X44" s="19">
        <v>42.437015800331224</v>
      </c>
      <c r="Y44" s="19">
        <v>26.423486822864554</v>
      </c>
      <c r="Z44" s="19">
        <v>26.764679883024591</v>
      </c>
      <c r="AA44" s="19">
        <v>32.203821165365213</v>
      </c>
      <c r="AB44" s="19">
        <v>40.174997026876504</v>
      </c>
      <c r="AC44" s="19">
        <v>28.630719457263613</v>
      </c>
      <c r="AD44" s="19">
        <v>19.375782641810297</v>
      </c>
      <c r="AE44" s="19">
        <v>22.126074007417643</v>
      </c>
      <c r="AF44" s="19">
        <v>38.245082591899312</v>
      </c>
      <c r="AG44" s="19">
        <v>797.50397377922809</v>
      </c>
      <c r="AH44" s="19">
        <v>149.04534030738512</v>
      </c>
      <c r="AI44" s="19">
        <v>1425.4536360320035</v>
      </c>
      <c r="AJ44" s="19">
        <v>1497.7566578597164</v>
      </c>
      <c r="AK44" s="19"/>
      <c r="AL44" s="19"/>
      <c r="AM44" s="19"/>
      <c r="AN44" s="19"/>
      <c r="AO44" s="19"/>
      <c r="AP44" s="19">
        <v>1.7968118717681483</v>
      </c>
      <c r="AQ44" s="19">
        <v>1.0849051537652781</v>
      </c>
      <c r="AR44" s="19">
        <v>1.2534898215672168</v>
      </c>
      <c r="AS44" s="19">
        <v>1.1866750973165705</v>
      </c>
      <c r="AT44" s="19">
        <v>1.1296699555761214</v>
      </c>
      <c r="AU44" s="19">
        <v>0.97955956900850172</v>
      </c>
      <c r="AV44" s="19">
        <v>0.26895012930512696</v>
      </c>
      <c r="AW44" s="19">
        <v>0.31131955903960429</v>
      </c>
      <c r="AX44" s="19">
        <v>0.84289906823882776</v>
      </c>
      <c r="AY44" s="19">
        <v>0.50125874939435688</v>
      </c>
      <c r="AZ44" s="19">
        <v>0.45443887490254126</v>
      </c>
      <c r="BA44" s="19">
        <v>0.60147583056910714</v>
      </c>
      <c r="BB44" s="19">
        <v>0.2836234166729969</v>
      </c>
      <c r="BC44" s="19">
        <v>0.92638808608558632</v>
      </c>
      <c r="BD44" s="19">
        <v>0.65770973934827215</v>
      </c>
      <c r="BE44" s="19">
        <v>0.66620241104484468</v>
      </c>
      <c r="BF44" s="19">
        <v>0.80158863842158623</v>
      </c>
      <c r="BG44" s="19">
        <v>0.74861178266426032</v>
      </c>
      <c r="BH44" s="19">
        <v>0.50662154004379845</v>
      </c>
      <c r="BI44" s="19">
        <v>0.57853382730317771</v>
      </c>
    </row>
    <row r="45" spans="1:61" x14ac:dyDescent="0.55000000000000004">
      <c r="A45" s="19" t="s">
        <v>1149</v>
      </c>
      <c r="B45" s="19" t="s">
        <v>1150</v>
      </c>
      <c r="C45" s="19" t="s">
        <v>515</v>
      </c>
      <c r="D45" s="19" t="s">
        <v>9</v>
      </c>
      <c r="E45" s="19">
        <v>2622</v>
      </c>
      <c r="F45" s="19">
        <v>71.094517976013591</v>
      </c>
      <c r="G45" s="19">
        <v>40.203468200295617</v>
      </c>
      <c r="H45" s="19">
        <v>105413.4936211751</v>
      </c>
      <c r="I45" s="19">
        <v>28.129358465439594</v>
      </c>
      <c r="J45" s="19">
        <v>23.077779015823211</v>
      </c>
      <c r="K45" s="19">
        <v>26.158146457496542</v>
      </c>
      <c r="L45" s="19">
        <v>42.394810239793372</v>
      </c>
      <c r="M45" s="19">
        <v>29.628121512250793</v>
      </c>
      <c r="N45" s="19">
        <v>17.735337712357016</v>
      </c>
      <c r="O45" s="19">
        <v>15.368725977857581</v>
      </c>
      <c r="P45" s="19">
        <v>32.322142002423689</v>
      </c>
      <c r="Q45" s="19">
        <v>561.25639999760915</v>
      </c>
      <c r="R45" s="19">
        <v>194.9157685579292</v>
      </c>
      <c r="S45" s="19">
        <v>659.81979025242322</v>
      </c>
      <c r="T45" s="19">
        <v>695.0035688572159</v>
      </c>
      <c r="U45" s="19">
        <v>56.395058252352563</v>
      </c>
      <c r="V45" s="19">
        <v>24.836286009688195</v>
      </c>
      <c r="W45" s="19">
        <v>41.440225061195676</v>
      </c>
      <c r="X45" s="19">
        <v>61.167016463792088</v>
      </c>
      <c r="Y45" s="19">
        <v>22.609464005107291</v>
      </c>
      <c r="Z45" s="19">
        <v>37.681043375900082</v>
      </c>
      <c r="AA45" s="19">
        <v>12.900032954249792</v>
      </c>
      <c r="AB45" s="19">
        <v>40.416525521415693</v>
      </c>
      <c r="AC45" s="19">
        <v>49.484110597904746</v>
      </c>
      <c r="AD45" s="19">
        <v>17.273780745880153</v>
      </c>
      <c r="AE45" s="19">
        <v>19.208982146116426</v>
      </c>
      <c r="AF45" s="19">
        <v>52.710851327812868</v>
      </c>
      <c r="AG45" s="19">
        <v>1002.1740788650076</v>
      </c>
      <c r="AH45" s="19">
        <v>683.02639881590494</v>
      </c>
      <c r="AI45" s="19">
        <v>1692.2163494566726</v>
      </c>
      <c r="AJ45" s="19">
        <v>1899.1616009537217</v>
      </c>
      <c r="AK45" s="19">
        <v>6493.4189456096501</v>
      </c>
      <c r="AL45" s="19">
        <v>420.26787837418715</v>
      </c>
      <c r="AM45" s="19">
        <v>2163.9670370697841</v>
      </c>
      <c r="AN45" s="19">
        <v>6825.8197141347728</v>
      </c>
      <c r="AO45" s="19"/>
      <c r="AP45" s="19">
        <v>1.0545062935511031</v>
      </c>
      <c r="AQ45" s="19">
        <v>0.80396402224288754</v>
      </c>
      <c r="AR45" s="19">
        <v>1.5214363138785705</v>
      </c>
      <c r="AS45" s="19">
        <v>1.005299476156102</v>
      </c>
      <c r="AT45" s="19">
        <v>1.3111020936105529</v>
      </c>
      <c r="AU45" s="19">
        <v>0.66350947925782466</v>
      </c>
      <c r="AV45" s="19">
        <v>0.54435386985554979</v>
      </c>
      <c r="AW45" s="19">
        <v>0.61701293883711072</v>
      </c>
      <c r="AX45" s="19">
        <v>0.91665092957110073</v>
      </c>
      <c r="AY45" s="19">
        <v>0.54870551930089051</v>
      </c>
      <c r="AZ45" s="19">
        <v>0.47548599893859606</v>
      </c>
      <c r="BA45" s="19">
        <v>0.92198478056773792</v>
      </c>
      <c r="BB45" s="19">
        <v>0.406040501000896</v>
      </c>
      <c r="BC45" s="19">
        <v>0.67749299306966004</v>
      </c>
      <c r="BD45" s="19">
        <v>0.5594113722894638</v>
      </c>
      <c r="BE45" s="19">
        <v>0.93231773116998518</v>
      </c>
      <c r="BF45" s="19">
        <v>0.31917718774253345</v>
      </c>
      <c r="BG45" s="19">
        <v>0.93878412796179722</v>
      </c>
      <c r="BH45" s="19">
        <v>0.32770824812623822</v>
      </c>
      <c r="BI45" s="19">
        <v>0.36442177772190165</v>
      </c>
    </row>
    <row r="46" spans="1:61" x14ac:dyDescent="0.55000000000000004">
      <c r="A46" s="19" t="s">
        <v>1167</v>
      </c>
      <c r="B46" s="19" t="s">
        <v>1168</v>
      </c>
      <c r="C46" s="19" t="s">
        <v>515</v>
      </c>
      <c r="D46" s="19" t="s">
        <v>9</v>
      </c>
      <c r="E46" s="19">
        <v>2270</v>
      </c>
      <c r="F46" s="19">
        <v>69.935244802272621</v>
      </c>
      <c r="G46" s="19">
        <v>42.856420782227445</v>
      </c>
      <c r="H46" s="19">
        <v>97284.075175656297</v>
      </c>
      <c r="I46" s="19">
        <v>39.911218383607313</v>
      </c>
      <c r="J46" s="19">
        <v>19.222210264818109</v>
      </c>
      <c r="K46" s="19">
        <v>26.501606015515559</v>
      </c>
      <c r="L46" s="19">
        <v>46.626190089885888</v>
      </c>
      <c r="M46" s="19">
        <v>29.90503444423549</v>
      </c>
      <c r="N46" s="19">
        <v>16.263652618803579</v>
      </c>
      <c r="O46" s="19">
        <v>18.284012571422235</v>
      </c>
      <c r="P46" s="19">
        <v>33.687502717790892</v>
      </c>
      <c r="Q46" s="19">
        <v>535.62509097456564</v>
      </c>
      <c r="R46" s="19">
        <v>310.95784307337698</v>
      </c>
      <c r="S46" s="19">
        <v>1085.8846758368772</v>
      </c>
      <c r="T46" s="19">
        <v>1164.8077240560335</v>
      </c>
      <c r="U46" s="19">
        <v>47.104999011074142</v>
      </c>
      <c r="V46" s="19">
        <v>15.307271456056572</v>
      </c>
      <c r="W46" s="19">
        <v>73.392032951969099</v>
      </c>
      <c r="X46" s="19">
        <v>81.175951638895924</v>
      </c>
      <c r="Y46" s="19">
        <v>34.019599831263612</v>
      </c>
      <c r="Z46" s="19">
        <v>33.259083788468942</v>
      </c>
      <c r="AA46" s="19">
        <v>11.171708736397022</v>
      </c>
      <c r="AB46" s="19">
        <v>46.100641981350712</v>
      </c>
      <c r="AC46" s="19">
        <v>53.907232315357838</v>
      </c>
      <c r="AD46" s="19">
        <v>26.181922835222775</v>
      </c>
      <c r="AE46" s="19">
        <v>22.203703699509607</v>
      </c>
      <c r="AF46" s="19">
        <v>55.900933055263998</v>
      </c>
      <c r="AG46" s="19">
        <v>1184.0299504744457</v>
      </c>
      <c r="AH46" s="19">
        <v>120.32481504857452</v>
      </c>
      <c r="AI46" s="19">
        <v>2628.1505008977729</v>
      </c>
      <c r="AJ46" s="19">
        <v>2842.241616854154</v>
      </c>
      <c r="AK46" s="19">
        <v>1710.1081136428811</v>
      </c>
      <c r="AL46" s="19">
        <v>694.43426661452702</v>
      </c>
      <c r="AM46" s="19">
        <v>1271.0658443900534</v>
      </c>
      <c r="AN46" s="19">
        <v>1808.8865336411066</v>
      </c>
      <c r="AO46" s="19"/>
      <c r="AP46" s="19">
        <v>1.0879627658785207</v>
      </c>
      <c r="AQ46" s="19">
        <v>0.78605497386195855</v>
      </c>
      <c r="AR46" s="19">
        <v>1.8941374514541724</v>
      </c>
      <c r="AS46" s="19">
        <v>1.0756997700673279</v>
      </c>
      <c r="AT46" s="19">
        <v>1.3043770813088085</v>
      </c>
      <c r="AU46" s="19">
        <v>0.85598283511190887</v>
      </c>
      <c r="AV46" s="19">
        <v>0.41226208334332198</v>
      </c>
      <c r="AW46" s="19">
        <v>0.56838454877882605</v>
      </c>
      <c r="AX46" s="19">
        <v>0.88771894713472421</v>
      </c>
      <c r="AY46" s="19">
        <v>0.48278000168336888</v>
      </c>
      <c r="AZ46" s="19">
        <v>0.54275357614342146</v>
      </c>
      <c r="BA46" s="19">
        <v>0.58028268298740227</v>
      </c>
      <c r="BB46" s="19">
        <v>0.18856904227189872</v>
      </c>
      <c r="BC46" s="19">
        <v>0.90411053360294558</v>
      </c>
      <c r="BD46" s="19">
        <v>0.73794199753282619</v>
      </c>
      <c r="BE46" s="19">
        <v>0.72144513306177771</v>
      </c>
      <c r="BF46" s="19">
        <v>0.24233304041441248</v>
      </c>
      <c r="BG46" s="19">
        <v>0.96433510800373989</v>
      </c>
      <c r="BH46" s="19">
        <v>0.46836289493306255</v>
      </c>
      <c r="BI46" s="19">
        <v>0.3971973719572604</v>
      </c>
    </row>
    <row r="47" spans="1:61" x14ac:dyDescent="0.55000000000000004">
      <c r="A47" s="19" t="s">
        <v>1187</v>
      </c>
      <c r="B47" s="19" t="s">
        <v>1188</v>
      </c>
      <c r="C47" s="19" t="s">
        <v>515</v>
      </c>
      <c r="D47" s="19" t="s">
        <v>9</v>
      </c>
      <c r="E47" s="19">
        <v>2221</v>
      </c>
      <c r="F47" s="19">
        <v>70.848948963668391</v>
      </c>
      <c r="G47" s="19">
        <v>54.568228406296548</v>
      </c>
      <c r="H47" s="19">
        <v>121196.03529038464</v>
      </c>
      <c r="I47" s="19">
        <v>35.80014694410302</v>
      </c>
      <c r="J47" s="19">
        <v>30.103537276455384</v>
      </c>
      <c r="K47" s="19">
        <v>19.206808633971967</v>
      </c>
      <c r="L47" s="19">
        <v>41.334846755165898</v>
      </c>
      <c r="M47" s="19">
        <v>34.19981074097425</v>
      </c>
      <c r="N47" s="19">
        <v>9.0467926026227516</v>
      </c>
      <c r="O47" s="19">
        <v>11.250206593484924</v>
      </c>
      <c r="P47" s="19">
        <v>35.81088620525761</v>
      </c>
      <c r="Q47" s="19">
        <v>715.43742711406742</v>
      </c>
      <c r="R47" s="19">
        <v>47.933392045321995</v>
      </c>
      <c r="S47" s="19">
        <v>1192.0699822202319</v>
      </c>
      <c r="T47" s="19">
        <v>1390.2811063328668</v>
      </c>
      <c r="U47" s="19">
        <v>68.462532204053076</v>
      </c>
      <c r="V47" s="19">
        <v>25.528110173676108</v>
      </c>
      <c r="W47" s="19">
        <v>61.71352665943062</v>
      </c>
      <c r="X47" s="19">
        <v>81.348123977000711</v>
      </c>
      <c r="Y47" s="19">
        <v>42.939862310454323</v>
      </c>
      <c r="Z47" s="19">
        <v>23.357301286497972</v>
      </c>
      <c r="AA47" s="19">
        <v>13.621161283136324</v>
      </c>
      <c r="AB47" s="19">
        <v>44.694948146596751</v>
      </c>
      <c r="AC47" s="19">
        <v>42.19286964782173</v>
      </c>
      <c r="AD47" s="19">
        <v>23.417910324714398</v>
      </c>
      <c r="AE47" s="19">
        <v>18.923123717180111</v>
      </c>
      <c r="AF47" s="19">
        <v>45.525351725910753</v>
      </c>
      <c r="AG47" s="19">
        <v>1564.7595102904038</v>
      </c>
      <c r="AH47" s="19">
        <v>516.64028034093508</v>
      </c>
      <c r="AI47" s="19">
        <v>3498.1782396188983</v>
      </c>
      <c r="AJ47" s="19">
        <v>3829.9768165385231</v>
      </c>
      <c r="AK47" s="19">
        <v>2191.5563292358493</v>
      </c>
      <c r="AL47" s="19">
        <v>977.49327189587484</v>
      </c>
      <c r="AM47" s="19">
        <v>851.56650379231496</v>
      </c>
      <c r="AN47" s="19">
        <v>2300.2340367117326</v>
      </c>
      <c r="AO47" s="19"/>
      <c r="AP47" s="19">
        <v>0.75748925633796704</v>
      </c>
      <c r="AQ47" s="19">
        <v>0.65625891202884357</v>
      </c>
      <c r="AR47" s="19">
        <v>1.4907598496933074</v>
      </c>
      <c r="AS47" s="19">
        <v>0.81906540585875909</v>
      </c>
      <c r="AT47" s="19">
        <v>0.83428311776853747</v>
      </c>
      <c r="AU47" s="19">
        <v>0.86610087503539201</v>
      </c>
      <c r="AV47" s="19">
        <v>0.72828471954339924</v>
      </c>
      <c r="AW47" s="19">
        <v>0.46466384036059261</v>
      </c>
      <c r="AX47" s="19">
        <v>0.95501157231772649</v>
      </c>
      <c r="AY47" s="19">
        <v>0.2526268842041261</v>
      </c>
      <c r="AZ47" s="19">
        <v>0.31415605101203037</v>
      </c>
      <c r="BA47" s="19">
        <v>0.84159939844967124</v>
      </c>
      <c r="BB47" s="19">
        <v>0.31381313945105344</v>
      </c>
      <c r="BC47" s="19">
        <v>0.75863490935425482</v>
      </c>
      <c r="BD47" s="19">
        <v>0.96073189680440274</v>
      </c>
      <c r="BE47" s="19">
        <v>0.52259376629965926</v>
      </c>
      <c r="BF47" s="19">
        <v>0.30475840890249456</v>
      </c>
      <c r="BG47" s="19">
        <v>0.92679942160244</v>
      </c>
      <c r="BH47" s="19">
        <v>0.51439273804415431</v>
      </c>
      <c r="BI47" s="19">
        <v>0.41566123049654585</v>
      </c>
    </row>
    <row r="48" spans="1:61" x14ac:dyDescent="0.55000000000000004">
      <c r="A48" s="19" t="s">
        <v>1202</v>
      </c>
      <c r="B48" s="19" t="s">
        <v>1203</v>
      </c>
      <c r="C48" s="19" t="s">
        <v>515</v>
      </c>
      <c r="D48" s="19" t="s">
        <v>9</v>
      </c>
      <c r="E48" s="19">
        <v>2281</v>
      </c>
      <c r="F48" s="19">
        <v>72.600111922615682</v>
      </c>
      <c r="G48" s="19">
        <v>46.704963810699581</v>
      </c>
      <c r="H48" s="19">
        <v>106534.02245220574</v>
      </c>
      <c r="I48" s="19">
        <v>31.262598141988953</v>
      </c>
      <c r="J48" s="19">
        <v>26.279861716981536</v>
      </c>
      <c r="K48" s="19">
        <v>26.59536973494847</v>
      </c>
      <c r="L48" s="19">
        <v>42.580882588606158</v>
      </c>
      <c r="M48" s="19">
        <v>29.023679490718163</v>
      </c>
      <c r="N48" s="19">
        <v>10.715691923309988</v>
      </c>
      <c r="O48" s="19">
        <v>17.867823527702043</v>
      </c>
      <c r="P48" s="19">
        <v>34.961419233072625</v>
      </c>
      <c r="Q48" s="19">
        <v>389.95852272768616</v>
      </c>
      <c r="R48" s="19">
        <v>46.28360884466673</v>
      </c>
      <c r="S48" s="19">
        <v>1095.2277561263613</v>
      </c>
      <c r="T48" s="19">
        <v>1150.9746121397138</v>
      </c>
      <c r="U48" s="19">
        <v>29.299302362989508</v>
      </c>
      <c r="V48" s="19">
        <v>17.037438721814667</v>
      </c>
      <c r="W48" s="19">
        <v>47.182738458055105</v>
      </c>
      <c r="X48" s="19">
        <v>54.193788758380968</v>
      </c>
      <c r="Y48" s="19">
        <v>29.766034699579695</v>
      </c>
      <c r="Z48" s="19">
        <v>34.352152062783219</v>
      </c>
      <c r="AA48" s="19">
        <v>12.442263877762395</v>
      </c>
      <c r="AB48" s="19">
        <v>45.583289360095307</v>
      </c>
      <c r="AC48" s="19">
        <v>29.825763400676195</v>
      </c>
      <c r="AD48" s="19">
        <v>22.979727008596839</v>
      </c>
      <c r="AE48" s="19">
        <v>17.839204456763213</v>
      </c>
      <c r="AF48" s="19">
        <v>35.807692126160049</v>
      </c>
      <c r="AG48" s="19">
        <v>767.57516534651359</v>
      </c>
      <c r="AH48" s="19">
        <v>443.30227051250534</v>
      </c>
      <c r="AI48" s="19">
        <v>1494.2201703964988</v>
      </c>
      <c r="AJ48" s="19">
        <v>1639.9812900750037</v>
      </c>
      <c r="AK48" s="19">
        <v>1163.2922539061383</v>
      </c>
      <c r="AL48" s="19">
        <v>376.98074742508959</v>
      </c>
      <c r="AM48" s="19">
        <v>1473.6521324302503</v>
      </c>
      <c r="AN48" s="19">
        <v>1516.4175785785628</v>
      </c>
      <c r="AO48" s="19"/>
      <c r="AP48" s="19">
        <v>0.91169929520106718</v>
      </c>
      <c r="AQ48" s="19">
        <v>0.74855896205754813</v>
      </c>
      <c r="AR48" s="19">
        <v>1.1603432341374769</v>
      </c>
      <c r="AS48" s="19">
        <v>0.97598382786141225</v>
      </c>
      <c r="AT48" s="19">
        <v>0.76667851133109988</v>
      </c>
      <c r="AU48" s="19">
        <v>0.73419328678626861</v>
      </c>
      <c r="AV48" s="19">
        <v>0.61717512929178997</v>
      </c>
      <c r="AW48" s="19">
        <v>0.62458474597388669</v>
      </c>
      <c r="AX48" s="19">
        <v>0.83016308054400978</v>
      </c>
      <c r="AY48" s="19">
        <v>0.30650048420154558</v>
      </c>
      <c r="AZ48" s="19">
        <v>0.51107260287647394</v>
      </c>
      <c r="BA48" s="19">
        <v>0.54063949087631236</v>
      </c>
      <c r="BB48" s="19">
        <v>0.31437991534001869</v>
      </c>
      <c r="BC48" s="19">
        <v>0.87063000279267955</v>
      </c>
      <c r="BD48" s="19">
        <v>0.6530032193253168</v>
      </c>
      <c r="BE48" s="19">
        <v>0.75361283806025436</v>
      </c>
      <c r="BF48" s="19">
        <v>0.27295669207792295</v>
      </c>
      <c r="BG48" s="19">
        <v>0.832942913371576</v>
      </c>
      <c r="BH48" s="19">
        <v>0.64175392615735005</v>
      </c>
      <c r="BI48" s="19">
        <v>0.49819475642023892</v>
      </c>
    </row>
    <row r="49" spans="1:61" x14ac:dyDescent="0.55000000000000004">
      <c r="A49" s="19" t="s">
        <v>548</v>
      </c>
      <c r="B49" s="19" t="s">
        <v>549</v>
      </c>
      <c r="C49" s="19" t="s">
        <v>515</v>
      </c>
      <c r="D49" s="19" t="s">
        <v>9</v>
      </c>
      <c r="E49" s="19">
        <v>2378</v>
      </c>
      <c r="F49" s="19">
        <v>70.306435000000008</v>
      </c>
      <c r="G49" s="19">
        <v>39.463087000000002</v>
      </c>
      <c r="H49" s="19">
        <v>93843.22088600001</v>
      </c>
      <c r="I49" s="19">
        <v>34.008660999999996</v>
      </c>
      <c r="J49" s="19">
        <v>5.8977329999999997</v>
      </c>
      <c r="K49" s="19">
        <v>23.862967999999999</v>
      </c>
      <c r="L49" s="19">
        <v>40.720205999999997</v>
      </c>
      <c r="M49" s="19">
        <v>26.587382999999999</v>
      </c>
      <c r="N49" s="19">
        <v>8.6170810000000007</v>
      </c>
      <c r="O49" s="19">
        <v>13.674947</v>
      </c>
      <c r="P49" s="19">
        <v>26.720952</v>
      </c>
      <c r="Q49" s="19">
        <v>520.61924299999998</v>
      </c>
      <c r="R49" s="19">
        <v>102.974851</v>
      </c>
      <c r="S49" s="19">
        <v>1122.993003</v>
      </c>
      <c r="T49" s="19">
        <v>1140.0979153387684</v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>
        <v>1.0318555666970501</v>
      </c>
      <c r="AQ49" s="19">
        <v>0.67711256344441573</v>
      </c>
      <c r="AR49" s="19"/>
      <c r="AS49" s="19"/>
      <c r="AT49" s="19"/>
      <c r="AU49" s="19">
        <v>0.83517900179581606</v>
      </c>
      <c r="AV49" s="19">
        <v>0.14483553938798835</v>
      </c>
      <c r="AW49" s="19">
        <v>0.58602277208519038</v>
      </c>
      <c r="AX49" s="19">
        <v>0.99500133827567216</v>
      </c>
      <c r="AY49" s="19">
        <v>0.32248405670576408</v>
      </c>
      <c r="AZ49" s="19">
        <v>0.51176870494733873</v>
      </c>
      <c r="BA49" s="19"/>
      <c r="BB49" s="19"/>
      <c r="BC49" s="19"/>
      <c r="BD49" s="19"/>
      <c r="BE49" s="19"/>
      <c r="BF49" s="19"/>
      <c r="BG49" s="19"/>
      <c r="BH49" s="19"/>
      <c r="BI49" s="19"/>
    </row>
    <row r="50" spans="1:61" x14ac:dyDescent="0.55000000000000004">
      <c r="A50" s="19" t="s">
        <v>550</v>
      </c>
      <c r="B50" s="19" t="s">
        <v>549</v>
      </c>
      <c r="C50" s="19" t="s">
        <v>515</v>
      </c>
      <c r="D50" s="19" t="s">
        <v>9</v>
      </c>
      <c r="E50" s="19">
        <v>2376</v>
      </c>
      <c r="F50" s="19">
        <v>69.779955999999999</v>
      </c>
      <c r="G50" s="19">
        <v>45.776131999999997</v>
      </c>
      <c r="H50" s="19">
        <v>108764.08963199999</v>
      </c>
      <c r="I50" s="19">
        <v>36.426580999999999</v>
      </c>
      <c r="J50" s="19">
        <v>6.5679610000000004</v>
      </c>
      <c r="K50" s="19">
        <v>27.053611</v>
      </c>
      <c r="L50" s="19">
        <v>45.119247999999999</v>
      </c>
      <c r="M50" s="19">
        <v>27.649602000000002</v>
      </c>
      <c r="N50" s="19">
        <v>8.8113910000000004</v>
      </c>
      <c r="O50" s="19">
        <v>15.032394999999999</v>
      </c>
      <c r="P50" s="19">
        <v>28.050993999999999</v>
      </c>
      <c r="Q50" s="19">
        <v>438.65977299999997</v>
      </c>
      <c r="R50" s="19">
        <v>103.706396</v>
      </c>
      <c r="S50" s="19">
        <v>1188.38435</v>
      </c>
      <c r="T50" s="19">
        <v>1223.3747273710844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>
        <v>0.98565007633235591</v>
      </c>
      <c r="AQ50" s="19">
        <v>0.61278646260457303</v>
      </c>
      <c r="AR50" s="19"/>
      <c r="AS50" s="19"/>
      <c r="AT50" s="19"/>
      <c r="AU50" s="19">
        <v>0.80734016222965421</v>
      </c>
      <c r="AV50" s="19">
        <v>0.14556893767378393</v>
      </c>
      <c r="AW50" s="19">
        <v>0.59960243574981575</v>
      </c>
      <c r="AX50" s="19">
        <v>0.98569063185425809</v>
      </c>
      <c r="AY50" s="19">
        <v>0.31412045505410613</v>
      </c>
      <c r="AZ50" s="19">
        <v>0.53589526987884994</v>
      </c>
      <c r="BA50" s="19"/>
      <c r="BB50" s="19"/>
      <c r="BC50" s="19"/>
      <c r="BD50" s="19"/>
      <c r="BE50" s="19"/>
      <c r="BF50" s="19"/>
      <c r="BG50" s="19"/>
      <c r="BH50" s="19"/>
      <c r="BI50" s="19"/>
    </row>
    <row r="51" spans="1:61" x14ac:dyDescent="0.55000000000000004">
      <c r="A51" s="19" t="s">
        <v>551</v>
      </c>
      <c r="B51" s="19" t="s">
        <v>552</v>
      </c>
      <c r="C51" s="19" t="s">
        <v>515</v>
      </c>
      <c r="D51" s="19" t="s">
        <v>9</v>
      </c>
      <c r="E51" s="19">
        <v>1584</v>
      </c>
      <c r="F51" s="19">
        <v>68.166826999999998</v>
      </c>
      <c r="G51" s="19">
        <v>66.477887999999993</v>
      </c>
      <c r="H51" s="19">
        <v>105300.97459199998</v>
      </c>
      <c r="I51" s="19">
        <v>53.984065000000001</v>
      </c>
      <c r="J51" s="19">
        <v>22.961756999999999</v>
      </c>
      <c r="K51" s="19">
        <v>22.484473999999999</v>
      </c>
      <c r="L51" s="19">
        <v>58.212349000000003</v>
      </c>
      <c r="M51" s="19">
        <v>48.350748000000003</v>
      </c>
      <c r="N51" s="19">
        <v>18.818791000000001</v>
      </c>
      <c r="O51" s="19">
        <v>15.363887</v>
      </c>
      <c r="P51" s="19">
        <v>50.978278000000003</v>
      </c>
      <c r="Q51" s="19">
        <v>418.84864099999999</v>
      </c>
      <c r="R51" s="19">
        <v>2153.4009179999998</v>
      </c>
      <c r="S51" s="19">
        <v>55.795226</v>
      </c>
      <c r="T51" s="19">
        <v>2154.7162622452615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>
        <v>0.87566483760735614</v>
      </c>
      <c r="AQ51" s="19">
        <v>0.7668456314376294</v>
      </c>
      <c r="AR51" s="19"/>
      <c r="AS51" s="19"/>
      <c r="AT51" s="19"/>
      <c r="AU51" s="19">
        <v>0.92736448412346317</v>
      </c>
      <c r="AV51" s="19">
        <v>0.39444821235439231</v>
      </c>
      <c r="AW51" s="19">
        <v>0.38624921320388561</v>
      </c>
      <c r="AX51" s="19">
        <v>0.94845785100861979</v>
      </c>
      <c r="AY51" s="19">
        <v>0.36915313224193252</v>
      </c>
      <c r="AZ51" s="19">
        <v>0.30138105096449119</v>
      </c>
      <c r="BA51" s="19"/>
      <c r="BB51" s="19"/>
      <c r="BC51" s="19"/>
      <c r="BD51" s="19"/>
      <c r="BE51" s="19"/>
      <c r="BF51" s="19"/>
      <c r="BG51" s="19"/>
      <c r="BH51" s="19"/>
      <c r="BI51" s="19"/>
    </row>
    <row r="53" spans="1:61" s="12" customFormat="1" x14ac:dyDescent="0.55000000000000004">
      <c r="AO53" s="4" t="s">
        <v>318</v>
      </c>
      <c r="AP53" s="13">
        <f>AVERAGE(AP2:AP51)</f>
        <v>1.4550239702876839</v>
      </c>
      <c r="AQ53" s="13">
        <f t="shared" ref="AQ53:BI53" si="0">AVERAGE(AQ2:AQ51)</f>
        <v>0.9073021337291749</v>
      </c>
      <c r="AR53" s="13">
        <f t="shared" si="0"/>
        <v>1.5286719377820017</v>
      </c>
      <c r="AS53" s="13">
        <f t="shared" si="0"/>
        <v>1.0523494451909803</v>
      </c>
      <c r="AT53" s="13">
        <f t="shared" si="0"/>
        <v>1.0474312857735038</v>
      </c>
      <c r="AU53" s="13">
        <f t="shared" si="0"/>
        <v>0.85720855220039849</v>
      </c>
      <c r="AV53" s="13">
        <f t="shared" si="0"/>
        <v>0.34131168466268363</v>
      </c>
      <c r="AW53" s="13">
        <f t="shared" si="0"/>
        <v>0.46004067004371157</v>
      </c>
      <c r="AX53" s="13">
        <f t="shared" si="0"/>
        <v>0.92048540682525015</v>
      </c>
      <c r="AY53" s="13">
        <f t="shared" si="0"/>
        <v>0.35918124898496878</v>
      </c>
      <c r="AZ53" s="13">
        <f t="shared" si="0"/>
        <v>0.36902471270535336</v>
      </c>
      <c r="BA53" s="13">
        <f t="shared" si="0"/>
        <v>0.70123534743545113</v>
      </c>
      <c r="BB53" s="13">
        <f t="shared" si="0"/>
        <v>0.26803268445463568</v>
      </c>
      <c r="BC53" s="13">
        <f t="shared" si="0"/>
        <v>0.8077996923319839</v>
      </c>
      <c r="BD53" s="13">
        <f t="shared" si="0"/>
        <v>0.73853294256384494</v>
      </c>
      <c r="BE53" s="13">
        <f t="shared" si="0"/>
        <v>0.6268749833397792</v>
      </c>
      <c r="BF53" s="13">
        <f t="shared" si="0"/>
        <v>0.43643533987060473</v>
      </c>
      <c r="BG53" s="13">
        <f t="shared" si="0"/>
        <v>0.85577787419824347</v>
      </c>
      <c r="BH53" s="13">
        <f t="shared" si="0"/>
        <v>0.42690632975906451</v>
      </c>
      <c r="BI53" s="13">
        <f t="shared" si="0"/>
        <v>0.54582133866802318</v>
      </c>
    </row>
    <row r="54" spans="1:61" s="12" customFormat="1" x14ac:dyDescent="0.55000000000000004">
      <c r="AO54" s="4" t="s">
        <v>319</v>
      </c>
      <c r="AP54" s="13">
        <f>_xlfn.STDEV.S(AP2:AP51)</f>
        <v>0.8127867039338954</v>
      </c>
      <c r="AQ54" s="13">
        <f t="shared" ref="AQ54:BI54" si="1">_xlfn.STDEV.S(AQ2:AQ51)</f>
        <v>0.24633662031409578</v>
      </c>
      <c r="AR54" s="13">
        <f t="shared" si="1"/>
        <v>0.46168327869116449</v>
      </c>
      <c r="AS54" s="13">
        <f t="shared" si="1"/>
        <v>0.29037880110786157</v>
      </c>
      <c r="AT54" s="13">
        <f t="shared" si="1"/>
        <v>0.3291959906290719</v>
      </c>
      <c r="AU54" s="13">
        <f t="shared" si="1"/>
        <v>0.15856084203110785</v>
      </c>
      <c r="AV54" s="13">
        <f t="shared" si="1"/>
        <v>0.18414605421332578</v>
      </c>
      <c r="AW54" s="13">
        <f t="shared" si="1"/>
        <v>0.17413263558048531</v>
      </c>
      <c r="AX54" s="13">
        <f t="shared" si="1"/>
        <v>5.9333403544719096E-2</v>
      </c>
      <c r="AY54" s="13">
        <f t="shared" si="1"/>
        <v>0.10566107146809087</v>
      </c>
      <c r="AZ54" s="13">
        <f t="shared" si="1"/>
        <v>0.11344019213023843</v>
      </c>
      <c r="BA54" s="13">
        <f t="shared" si="1"/>
        <v>0.13017865657977745</v>
      </c>
      <c r="BB54" s="13">
        <f t="shared" si="1"/>
        <v>9.5913507166466877E-2</v>
      </c>
      <c r="BC54" s="13">
        <f t="shared" si="1"/>
        <v>0.10631755280436175</v>
      </c>
      <c r="BD54" s="13">
        <f t="shared" si="1"/>
        <v>0.15679004829981241</v>
      </c>
      <c r="BE54" s="13">
        <f t="shared" si="1"/>
        <v>0.17340931514800792</v>
      </c>
      <c r="BF54" s="13">
        <f t="shared" si="1"/>
        <v>0.21938365593823306</v>
      </c>
      <c r="BG54" s="13">
        <f t="shared" si="1"/>
        <v>7.4303544782237746E-2</v>
      </c>
      <c r="BH54" s="13">
        <f t="shared" si="1"/>
        <v>9.3906650476162812E-2</v>
      </c>
      <c r="BI54" s="13">
        <f t="shared" si="1"/>
        <v>0.11302099379938182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2B6F-35B0-4689-972C-D3B5C5ADC82E}">
  <dimension ref="A1:BI655"/>
  <sheetViews>
    <sheetView tabSelected="1" topLeftCell="AN553" zoomScale="96" zoomScaleNormal="100" workbookViewId="0">
      <selection activeCell="AP567" sqref="AP567"/>
    </sheetView>
  </sheetViews>
  <sheetFormatPr defaultRowHeight="14.4" x14ac:dyDescent="0.55000000000000004"/>
  <cols>
    <col min="1" max="1" width="14.20703125" style="12" bestFit="1" customWidth="1"/>
    <col min="2" max="2" width="28.7890625" style="12" bestFit="1" customWidth="1"/>
    <col min="3" max="3" width="13.734375" style="12" bestFit="1" customWidth="1"/>
    <col min="4" max="4" width="8.83984375" style="12"/>
    <col min="5" max="5" width="20.5234375" style="12" bestFit="1" customWidth="1"/>
    <col min="6" max="6" width="14.1015625" style="12" bestFit="1" customWidth="1"/>
    <col min="7" max="7" width="15.05078125" style="12" bestFit="1" customWidth="1"/>
    <col min="8" max="8" width="17.41796875" style="12" bestFit="1" customWidth="1"/>
    <col min="9" max="9" width="21.15625" style="12" bestFit="1" customWidth="1"/>
    <col min="10" max="10" width="21.20703125" style="12" bestFit="1" customWidth="1"/>
    <col min="11" max="11" width="21.05078125" style="12" bestFit="1" customWidth="1"/>
    <col min="12" max="13" width="21.41796875" style="12" bestFit="1" customWidth="1"/>
    <col min="14" max="14" width="21.47265625" style="12" bestFit="1" customWidth="1"/>
    <col min="15" max="15" width="21.3125" style="12" bestFit="1" customWidth="1"/>
    <col min="16" max="16" width="21.62890625" style="12" bestFit="1" customWidth="1"/>
    <col min="17" max="17" width="26.83984375" style="12" bestFit="1" customWidth="1"/>
    <col min="18" max="18" width="38" style="12" bestFit="1" customWidth="1"/>
    <col min="19" max="19" width="33.83984375" style="12" bestFit="1" customWidth="1"/>
    <col min="20" max="20" width="27.3671875" style="12" bestFit="1" customWidth="1"/>
    <col min="21" max="21" width="24.3671875" style="12" bestFit="1" customWidth="1"/>
    <col min="22" max="22" width="24.41796875" style="12" bestFit="1" customWidth="1"/>
    <col min="23" max="23" width="24.20703125" style="12" bestFit="1" customWidth="1"/>
    <col min="24" max="25" width="24.578125" style="12" bestFit="1" customWidth="1"/>
    <col min="26" max="26" width="24.62890625" style="12" bestFit="1" customWidth="1"/>
    <col min="27" max="27" width="24.47265625" style="12" bestFit="1" customWidth="1"/>
    <col min="28" max="29" width="24.83984375" style="12" bestFit="1" customWidth="1"/>
    <col min="30" max="30" width="24.89453125" style="12" bestFit="1" customWidth="1"/>
    <col min="31" max="31" width="24.68359375" style="12" bestFit="1" customWidth="1"/>
    <col min="32" max="32" width="25.1015625" style="12" bestFit="1" customWidth="1"/>
    <col min="33" max="33" width="30.15625" style="12" bestFit="1" customWidth="1"/>
    <col min="34" max="34" width="41.15625" style="12" bestFit="1" customWidth="1"/>
    <col min="35" max="35" width="37" style="12" bestFit="1" customWidth="1"/>
    <col min="36" max="36" width="30.62890625" style="12" bestFit="1" customWidth="1"/>
    <col min="37" max="37" width="26.83984375" style="12" bestFit="1" customWidth="1"/>
    <col min="38" max="38" width="37.734375" style="12" bestFit="1" customWidth="1"/>
    <col min="39" max="39" width="33.47265625" style="12" bestFit="1" customWidth="1"/>
    <col min="40" max="40" width="27" style="12" bestFit="1" customWidth="1"/>
    <col min="41" max="41" width="7.05078125" style="12" bestFit="1" customWidth="1"/>
    <col min="42" max="42" width="33.62890625" style="12" bestFit="1" customWidth="1"/>
    <col min="43" max="43" width="34" style="12" bestFit="1" customWidth="1"/>
    <col min="44" max="44" width="36.9453125" style="12" bestFit="1" customWidth="1"/>
    <col min="45" max="45" width="37.3125" style="12" bestFit="1" customWidth="1"/>
    <col min="46" max="46" width="37.41796875" style="12" bestFit="1" customWidth="1"/>
    <col min="47" max="48" width="21.7890625" style="12" bestFit="1" customWidth="1"/>
    <col min="49" max="49" width="21.68359375" style="12" bestFit="1" customWidth="1"/>
    <col min="50" max="51" width="22.47265625" style="12" bestFit="1" customWidth="1"/>
    <col min="52" max="52" width="22.3671875" style="12" bestFit="1" customWidth="1"/>
    <col min="53" max="54" width="25.1015625" style="12" bestFit="1" customWidth="1"/>
    <col min="55" max="55" width="25" style="12" bestFit="1" customWidth="1"/>
    <col min="56" max="56" width="26" style="12" customWidth="1"/>
    <col min="57" max="57" width="25.7890625" style="12" bestFit="1" customWidth="1"/>
    <col min="58" max="58" width="25.68359375" style="12" bestFit="1" customWidth="1"/>
    <col min="59" max="60" width="26" style="12" bestFit="1" customWidth="1"/>
    <col min="61" max="61" width="25.89453125" style="12" bestFit="1" customWidth="1"/>
    <col min="62" max="16384" width="8.83984375" style="12"/>
  </cols>
  <sheetData>
    <row r="1" spans="1:6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1125</v>
      </c>
      <c r="F1" s="1" t="s">
        <v>4</v>
      </c>
      <c r="G1" s="1" t="s">
        <v>5</v>
      </c>
      <c r="H1" s="1" t="s">
        <v>1138</v>
      </c>
      <c r="I1" s="1" t="s">
        <v>566</v>
      </c>
      <c r="J1" s="1" t="s">
        <v>567</v>
      </c>
      <c r="K1" s="1" t="s">
        <v>568</v>
      </c>
      <c r="L1" s="1" t="s">
        <v>569</v>
      </c>
      <c r="M1" s="4" t="s">
        <v>570</v>
      </c>
      <c r="N1" s="4" t="s">
        <v>571</v>
      </c>
      <c r="O1" s="4" t="s">
        <v>572</v>
      </c>
      <c r="P1" s="4" t="s">
        <v>573</v>
      </c>
      <c r="Q1" s="4" t="s">
        <v>1126</v>
      </c>
      <c r="R1" s="4" t="s">
        <v>1129</v>
      </c>
      <c r="S1" s="4" t="s">
        <v>1130</v>
      </c>
      <c r="T1" s="4" t="s">
        <v>1135</v>
      </c>
      <c r="U1" s="4" t="s">
        <v>574</v>
      </c>
      <c r="V1" s="4" t="s">
        <v>575</v>
      </c>
      <c r="W1" s="4" t="s">
        <v>576</v>
      </c>
      <c r="X1" s="4" t="s">
        <v>577</v>
      </c>
      <c r="Y1" s="4" t="s">
        <v>578</v>
      </c>
      <c r="Z1" s="4" t="s">
        <v>579</v>
      </c>
      <c r="AA1" s="4" t="s">
        <v>580</v>
      </c>
      <c r="AB1" s="4" t="s">
        <v>581</v>
      </c>
      <c r="AC1" s="4" t="s">
        <v>582</v>
      </c>
      <c r="AD1" s="4" t="s">
        <v>583</v>
      </c>
      <c r="AE1" s="4" t="s">
        <v>584</v>
      </c>
      <c r="AF1" s="4" t="s">
        <v>585</v>
      </c>
      <c r="AG1" s="4" t="s">
        <v>1127</v>
      </c>
      <c r="AH1" s="4" t="s">
        <v>1131</v>
      </c>
      <c r="AI1" s="4" t="s">
        <v>1132</v>
      </c>
      <c r="AJ1" s="4" t="s">
        <v>1136</v>
      </c>
      <c r="AK1" s="4" t="s">
        <v>1128</v>
      </c>
      <c r="AL1" s="4" t="s">
        <v>1133</v>
      </c>
      <c r="AM1" s="4" t="s">
        <v>1134</v>
      </c>
      <c r="AN1" s="4" t="s">
        <v>1137</v>
      </c>
      <c r="AO1" s="1"/>
      <c r="AP1" s="1" t="s">
        <v>1077</v>
      </c>
      <c r="AQ1" s="1" t="s">
        <v>1078</v>
      </c>
      <c r="AR1" s="1" t="s">
        <v>1079</v>
      </c>
      <c r="AS1" s="1" t="s">
        <v>1080</v>
      </c>
      <c r="AT1" s="1" t="s">
        <v>1081</v>
      </c>
      <c r="AU1" s="1" t="s">
        <v>1082</v>
      </c>
      <c r="AV1" s="1" t="s">
        <v>1083</v>
      </c>
      <c r="AW1" s="1" t="s">
        <v>1084</v>
      </c>
      <c r="AX1" s="1" t="s">
        <v>1085</v>
      </c>
      <c r="AY1" s="1" t="s">
        <v>1086</v>
      </c>
      <c r="AZ1" s="1" t="s">
        <v>1087</v>
      </c>
      <c r="BA1" s="1" t="s">
        <v>1088</v>
      </c>
      <c r="BB1" s="1" t="s">
        <v>1089</v>
      </c>
      <c r="BC1" s="1" t="s">
        <v>1090</v>
      </c>
      <c r="BD1" s="1" t="s">
        <v>1091</v>
      </c>
      <c r="BE1" s="1" t="s">
        <v>1092</v>
      </c>
      <c r="BF1" s="1" t="s">
        <v>1093</v>
      </c>
      <c r="BG1" s="1" t="s">
        <v>1094</v>
      </c>
      <c r="BH1" s="1" t="s">
        <v>1095</v>
      </c>
      <c r="BI1" s="1" t="s">
        <v>1096</v>
      </c>
    </row>
    <row r="2" spans="1:61" x14ac:dyDescent="0.55000000000000004">
      <c r="A2" s="12" t="s">
        <v>6</v>
      </c>
      <c r="B2" s="12" t="s">
        <v>7</v>
      </c>
      <c r="C2" s="12" t="s">
        <v>8</v>
      </c>
      <c r="D2" s="12" t="s">
        <v>9</v>
      </c>
      <c r="E2" s="12">
        <v>1966</v>
      </c>
      <c r="F2" s="12">
        <v>75.727399999999989</v>
      </c>
      <c r="G2" s="12">
        <v>55.546599999999998</v>
      </c>
      <c r="H2" s="14">
        <f>E2*G2</f>
        <v>109204.61559999999</v>
      </c>
      <c r="I2" s="12">
        <v>39.212200000000003</v>
      </c>
      <c r="J2" s="12">
        <v>17.7606</v>
      </c>
      <c r="K2" s="12">
        <v>25.631399999999999</v>
      </c>
      <c r="L2" s="12">
        <v>44.598199999999999</v>
      </c>
      <c r="M2" s="12">
        <v>42.794499999999999</v>
      </c>
      <c r="N2" s="12">
        <v>15.811400000000001</v>
      </c>
      <c r="O2" s="12">
        <v>28.801600000000001</v>
      </c>
      <c r="P2" s="12">
        <v>44.7258</v>
      </c>
      <c r="Q2" s="12">
        <v>712.65740000000005</v>
      </c>
      <c r="R2" s="15">
        <v>922.40750000000003</v>
      </c>
      <c r="S2" s="15">
        <v>957.25980000000004</v>
      </c>
      <c r="T2" s="15">
        <v>1002.18663095503</v>
      </c>
      <c r="AP2" s="12">
        <f>L2/G2</f>
        <v>0.80289702700075249</v>
      </c>
      <c r="AQ2" s="12">
        <f>P2/G2</f>
        <v>0.80519419730460551</v>
      </c>
      <c r="AU2" s="12">
        <f>I2/$L2</f>
        <v>0.87923279414864286</v>
      </c>
      <c r="AV2" s="12">
        <f t="shared" ref="AV2:AV65" si="0">J2/$L2</f>
        <v>0.39823580323869573</v>
      </c>
      <c r="AW2" s="12">
        <f t="shared" ref="AW2:AW65" si="1">K2/$L2</f>
        <v>0.57471826217201594</v>
      </c>
      <c r="AX2" s="12">
        <f t="shared" ref="AX2:AX65" si="2">M2/$P2</f>
        <v>0.95681910664538139</v>
      </c>
      <c r="AY2" s="12">
        <f t="shared" ref="AY2:AY65" si="3">N2/$P2</f>
        <v>0.35351855081407152</v>
      </c>
      <c r="AZ2" s="12">
        <f t="shared" ref="AZ2:AZ65" si="4">O2/$P2</f>
        <v>0.64395941492382469</v>
      </c>
    </row>
    <row r="3" spans="1:61" x14ac:dyDescent="0.55000000000000004">
      <c r="A3" s="12" t="s">
        <v>483</v>
      </c>
      <c r="B3" s="12" t="s">
        <v>484</v>
      </c>
      <c r="C3" s="12" t="s">
        <v>485</v>
      </c>
      <c r="D3" s="12" t="s">
        <v>9</v>
      </c>
      <c r="E3" s="12">
        <v>2025</v>
      </c>
      <c r="F3" s="12">
        <v>70.995499999999993</v>
      </c>
      <c r="G3" s="12">
        <v>37.124400000000001</v>
      </c>
      <c r="H3" s="14">
        <f t="shared" ref="H3:H66" si="5">E3*G3</f>
        <v>75176.91</v>
      </c>
      <c r="I3" s="12">
        <v>76.360399999999998</v>
      </c>
      <c r="J3" s="12">
        <v>13.8222</v>
      </c>
      <c r="K3" s="12">
        <v>27.2239</v>
      </c>
      <c r="L3" s="12">
        <v>81.139700000000005</v>
      </c>
      <c r="M3" s="12">
        <v>45.513399999999997</v>
      </c>
      <c r="N3" s="12">
        <v>14.340299999999999</v>
      </c>
      <c r="O3" s="12">
        <v>13.388</v>
      </c>
      <c r="P3" s="12">
        <v>48.569299999999998</v>
      </c>
      <c r="Q3" s="12">
        <v>472.83519999999999</v>
      </c>
      <c r="R3" s="15">
        <v>954.11159999999995</v>
      </c>
      <c r="S3" s="15">
        <v>2002.4788000000001</v>
      </c>
      <c r="T3" s="15">
        <v>2029.0835188638737</v>
      </c>
      <c r="AP3" s="12">
        <f t="shared" ref="AP3:AP65" si="6">L3/G3</f>
        <v>2.1856164678755752</v>
      </c>
      <c r="AQ3" s="12">
        <f t="shared" ref="AQ3:AQ65" si="7">P3/G3</f>
        <v>1.3082851170658649</v>
      </c>
      <c r="AU3" s="12">
        <f t="shared" ref="AU3:AU65" si="8">I3/$L3</f>
        <v>0.9410978842662715</v>
      </c>
      <c r="AV3" s="12">
        <f t="shared" si="0"/>
        <v>0.17035064216407012</v>
      </c>
      <c r="AW3" s="12">
        <f t="shared" si="1"/>
        <v>0.33551886437834993</v>
      </c>
      <c r="AX3" s="12">
        <f t="shared" si="2"/>
        <v>0.93708165446073954</v>
      </c>
      <c r="AY3" s="12">
        <f t="shared" si="3"/>
        <v>0.29525440967854177</v>
      </c>
      <c r="AZ3" s="12">
        <f t="shared" si="4"/>
        <v>0.27564737395844702</v>
      </c>
    </row>
    <row r="4" spans="1:61" x14ac:dyDescent="0.55000000000000004">
      <c r="A4" s="12" t="s">
        <v>10</v>
      </c>
      <c r="B4" s="12" t="s">
        <v>11</v>
      </c>
      <c r="C4" s="12" t="s">
        <v>8</v>
      </c>
      <c r="D4" s="12" t="s">
        <v>9</v>
      </c>
      <c r="E4" s="12">
        <v>1416</v>
      </c>
      <c r="F4" s="12">
        <v>68.874600000000001</v>
      </c>
      <c r="G4" s="12">
        <v>41.334499999999998</v>
      </c>
      <c r="H4" s="14">
        <f t="shared" si="5"/>
        <v>58529.651999999995</v>
      </c>
      <c r="I4" s="12">
        <v>91.376099999999994</v>
      </c>
      <c r="J4" s="12">
        <v>13.794700000000001</v>
      </c>
      <c r="K4" s="12">
        <v>51.021700000000003</v>
      </c>
      <c r="L4" s="12">
        <v>99.995400000000004</v>
      </c>
      <c r="M4" s="12">
        <v>51.994</v>
      </c>
      <c r="N4" s="12">
        <v>19.499600000000001</v>
      </c>
      <c r="O4" s="12">
        <v>15.1982</v>
      </c>
      <c r="P4" s="12">
        <v>54.975999999999999</v>
      </c>
      <c r="Q4" s="12">
        <v>741.78779999999995</v>
      </c>
      <c r="R4" s="15">
        <v>92.968500000000006</v>
      </c>
      <c r="S4" s="15">
        <v>3354.8490000000002</v>
      </c>
      <c r="T4" s="15">
        <v>3400.5218164613811</v>
      </c>
      <c r="AP4" s="12">
        <f t="shared" si="6"/>
        <v>2.4191752652142884</v>
      </c>
      <c r="AQ4" s="12">
        <f t="shared" si="7"/>
        <v>1.3300269750450593</v>
      </c>
      <c r="AU4" s="12">
        <f t="shared" si="8"/>
        <v>0.91380303493960713</v>
      </c>
      <c r="AV4" s="12">
        <f t="shared" si="0"/>
        <v>0.13795334585390928</v>
      </c>
      <c r="AW4" s="12">
        <f t="shared" si="1"/>
        <v>0.51024047106166881</v>
      </c>
      <c r="AX4" s="12">
        <f t="shared" si="2"/>
        <v>0.94575814901047728</v>
      </c>
      <c r="AY4" s="12">
        <f t="shared" si="3"/>
        <v>0.35469295692665892</v>
      </c>
      <c r="AZ4" s="12">
        <f t="shared" si="4"/>
        <v>0.27645154249126891</v>
      </c>
    </row>
    <row r="5" spans="1:61" x14ac:dyDescent="0.55000000000000004">
      <c r="A5" s="12" t="s">
        <v>320</v>
      </c>
      <c r="B5" s="12" t="s">
        <v>321</v>
      </c>
      <c r="C5" s="12" t="s">
        <v>322</v>
      </c>
      <c r="D5" s="12" t="s">
        <v>9</v>
      </c>
      <c r="E5" s="12">
        <v>1845</v>
      </c>
      <c r="F5" s="12">
        <v>69.710899999999995</v>
      </c>
      <c r="G5" s="12">
        <v>41.237099999999998</v>
      </c>
      <c r="H5" s="14">
        <f t="shared" si="5"/>
        <v>76082.449500000002</v>
      </c>
      <c r="I5" s="12">
        <v>99.5381</v>
      </c>
      <c r="J5" s="12">
        <v>14.585100000000001</v>
      </c>
      <c r="K5" s="12">
        <v>46.3536</v>
      </c>
      <c r="L5" s="12">
        <v>110.2865</v>
      </c>
      <c r="M5" s="12">
        <v>56.978299999999997</v>
      </c>
      <c r="N5" s="12">
        <v>26.296299999999999</v>
      </c>
      <c r="O5" s="12">
        <v>12.6761</v>
      </c>
      <c r="P5" s="12">
        <v>59.451099999999997</v>
      </c>
      <c r="Q5" s="12">
        <v>489.74619999999999</v>
      </c>
      <c r="R5" s="15">
        <v>946.62049999999999</v>
      </c>
      <c r="S5" s="15">
        <v>1621.7365</v>
      </c>
      <c r="T5" s="15">
        <v>1657.0736195483169</v>
      </c>
      <c r="AP5" s="12">
        <f t="shared" si="6"/>
        <v>2.6744484941957607</v>
      </c>
      <c r="AQ5" s="12">
        <f t="shared" si="7"/>
        <v>1.4416896435491342</v>
      </c>
      <c r="AU5" s="12">
        <f t="shared" si="8"/>
        <v>0.90254110883925043</v>
      </c>
      <c r="AV5" s="12">
        <f t="shared" si="0"/>
        <v>0.13224737388528968</v>
      </c>
      <c r="AW5" s="12">
        <f t="shared" si="1"/>
        <v>0.42030166883526088</v>
      </c>
      <c r="AX5" s="12">
        <f t="shared" si="2"/>
        <v>0.95840615228313686</v>
      </c>
      <c r="AY5" s="12">
        <f t="shared" si="3"/>
        <v>0.44231814045492851</v>
      </c>
      <c r="AZ5" s="12">
        <f t="shared" si="4"/>
        <v>0.21321893118882579</v>
      </c>
    </row>
    <row r="6" spans="1:61" x14ac:dyDescent="0.55000000000000004">
      <c r="A6" s="12" t="s">
        <v>323</v>
      </c>
      <c r="B6" s="12" t="s">
        <v>324</v>
      </c>
      <c r="C6" s="12" t="s">
        <v>322</v>
      </c>
      <c r="D6" s="12" t="s">
        <v>9</v>
      </c>
      <c r="E6" s="12">
        <v>1652</v>
      </c>
      <c r="F6" s="12">
        <v>68.312599999999989</v>
      </c>
      <c r="G6" s="12">
        <v>82.240399999999994</v>
      </c>
      <c r="H6" s="14">
        <f t="shared" si="5"/>
        <v>135861.14079999999</v>
      </c>
      <c r="I6" s="12">
        <v>84.935500000000005</v>
      </c>
      <c r="J6" s="12">
        <v>23.293399999999998</v>
      </c>
      <c r="K6" s="12">
        <v>31.517199999999999</v>
      </c>
      <c r="L6" s="12">
        <v>89.104100000000003</v>
      </c>
      <c r="M6" s="12">
        <v>41.662199999999999</v>
      </c>
      <c r="N6" s="12">
        <v>17.7547</v>
      </c>
      <c r="O6" s="12">
        <v>12.222899999999999</v>
      </c>
      <c r="P6" s="12">
        <v>44.561799999999998</v>
      </c>
      <c r="Q6" s="12">
        <v>631.35699999999997</v>
      </c>
      <c r="R6" s="15">
        <v>755.61289999999997</v>
      </c>
      <c r="S6" s="15">
        <v>2266.3535999999999</v>
      </c>
      <c r="T6" s="15">
        <v>2351.3925624585127</v>
      </c>
      <c r="AP6" s="12">
        <f t="shared" si="6"/>
        <v>1.0834589812306361</v>
      </c>
      <c r="AQ6" s="12">
        <f t="shared" si="7"/>
        <v>0.54184804548616006</v>
      </c>
      <c r="AU6" s="12">
        <f t="shared" si="8"/>
        <v>0.95321651865626833</v>
      </c>
      <c r="AV6" s="12">
        <f t="shared" si="0"/>
        <v>0.2614178247690061</v>
      </c>
      <c r="AW6" s="12">
        <f t="shared" si="1"/>
        <v>0.35371211874649988</v>
      </c>
      <c r="AX6" s="12">
        <f t="shared" si="2"/>
        <v>0.93493081518251064</v>
      </c>
      <c r="AY6" s="12">
        <f t="shared" si="3"/>
        <v>0.39842869902023709</v>
      </c>
      <c r="AZ6" s="12">
        <f t="shared" si="4"/>
        <v>0.27429098465501844</v>
      </c>
    </row>
    <row r="7" spans="1:61" x14ac:dyDescent="0.55000000000000004">
      <c r="A7" s="12" t="s">
        <v>325</v>
      </c>
      <c r="B7" s="12" t="s">
        <v>326</v>
      </c>
      <c r="C7" s="12" t="s">
        <v>322</v>
      </c>
      <c r="D7" s="12" t="s">
        <v>9</v>
      </c>
      <c r="E7" s="12">
        <v>1512</v>
      </c>
      <c r="F7" s="12">
        <v>69.868899999999996</v>
      </c>
      <c r="G7" s="12">
        <v>46.623100000000001</v>
      </c>
      <c r="H7" s="14">
        <f t="shared" si="5"/>
        <v>70494.127200000003</v>
      </c>
      <c r="I7" s="12">
        <v>72.730999999999995</v>
      </c>
      <c r="J7" s="12">
        <v>17.761299999999999</v>
      </c>
      <c r="K7" s="12">
        <v>30.963699999999999</v>
      </c>
      <c r="L7" s="12">
        <v>72.805199999999999</v>
      </c>
      <c r="M7" s="12">
        <v>55.939599999999999</v>
      </c>
      <c r="N7" s="12">
        <v>21.580200000000001</v>
      </c>
      <c r="O7" s="12">
        <v>23.163799999999998</v>
      </c>
      <c r="P7" s="12">
        <v>58.3902</v>
      </c>
      <c r="Q7" s="12">
        <v>507.4753</v>
      </c>
      <c r="R7" s="15">
        <v>351.839</v>
      </c>
      <c r="S7" s="15">
        <v>1892.3941</v>
      </c>
      <c r="T7" s="15">
        <v>1894.5918236922748</v>
      </c>
      <c r="AP7" s="12">
        <f t="shared" si="6"/>
        <v>1.5615692650209874</v>
      </c>
      <c r="AQ7" s="12">
        <f t="shared" si="7"/>
        <v>1.2523877648633404</v>
      </c>
      <c r="AU7" s="12">
        <f t="shared" si="8"/>
        <v>0.99898084202776716</v>
      </c>
      <c r="AV7" s="12">
        <f t="shared" si="0"/>
        <v>0.24395647563635564</v>
      </c>
      <c r="AW7" s="12">
        <f t="shared" si="1"/>
        <v>0.42529517122403343</v>
      </c>
      <c r="AX7" s="12">
        <f t="shared" si="2"/>
        <v>0.95803062842737308</v>
      </c>
      <c r="AY7" s="12">
        <f t="shared" si="3"/>
        <v>0.36958599216991894</v>
      </c>
      <c r="AZ7" s="12">
        <f t="shared" si="4"/>
        <v>0.39670698165103047</v>
      </c>
    </row>
    <row r="8" spans="1:61" x14ac:dyDescent="0.55000000000000004">
      <c r="A8" s="12" t="s">
        <v>513</v>
      </c>
      <c r="B8" s="12" t="s">
        <v>514</v>
      </c>
      <c r="C8" s="12" t="s">
        <v>515</v>
      </c>
      <c r="D8" s="12" t="s">
        <v>9</v>
      </c>
      <c r="E8" s="12">
        <v>2264</v>
      </c>
      <c r="F8" s="12">
        <v>67.648200000000003</v>
      </c>
      <c r="G8" s="12">
        <v>46.387700000000002</v>
      </c>
      <c r="H8" s="14">
        <f t="shared" si="5"/>
        <v>105021.7528</v>
      </c>
      <c r="I8" s="12">
        <v>60.055999999999997</v>
      </c>
      <c r="J8" s="12">
        <v>25.697399999999998</v>
      </c>
      <c r="K8" s="12">
        <v>183.62049999999999</v>
      </c>
      <c r="L8" s="12">
        <v>183.6345</v>
      </c>
      <c r="M8" s="12">
        <v>52.915900000000001</v>
      </c>
      <c r="N8" s="12">
        <v>16.766100000000002</v>
      </c>
      <c r="O8" s="12">
        <v>16.8583</v>
      </c>
      <c r="P8" s="12">
        <v>54.261899999999997</v>
      </c>
      <c r="Q8" s="12">
        <v>617.62440000000004</v>
      </c>
      <c r="R8" s="15">
        <v>219.9365</v>
      </c>
      <c r="S8" s="15">
        <v>1936.9984999999999</v>
      </c>
      <c r="T8" s="15">
        <v>2020.4380877126475</v>
      </c>
      <c r="AP8" s="12">
        <f t="shared" si="6"/>
        <v>3.9586894801854799</v>
      </c>
      <c r="AQ8" s="12">
        <f t="shared" si="7"/>
        <v>1.1697475839500555</v>
      </c>
      <c r="AU8" s="12">
        <f t="shared" si="8"/>
        <v>0.32704094274224066</v>
      </c>
      <c r="AV8" s="12">
        <f t="shared" si="0"/>
        <v>0.13993775679406648</v>
      </c>
      <c r="AW8" s="12">
        <f t="shared" si="1"/>
        <v>0.99992376160253105</v>
      </c>
      <c r="AX8" s="12">
        <f t="shared" si="2"/>
        <v>0.97519438132464964</v>
      </c>
      <c r="AY8" s="12">
        <f t="shared" si="3"/>
        <v>0.30898475726061936</v>
      </c>
      <c r="AZ8" s="12">
        <f t="shared" si="4"/>
        <v>0.31068392371074366</v>
      </c>
    </row>
    <row r="9" spans="1:61" x14ac:dyDescent="0.55000000000000004">
      <c r="A9" s="12" t="s">
        <v>516</v>
      </c>
      <c r="B9" s="12" t="s">
        <v>517</v>
      </c>
      <c r="C9" s="12" t="s">
        <v>515</v>
      </c>
      <c r="D9" s="12" t="s">
        <v>9</v>
      </c>
      <c r="E9" s="12">
        <v>2106</v>
      </c>
      <c r="F9" s="12">
        <v>70.808099999999996</v>
      </c>
      <c r="G9" s="12">
        <v>65.012799999999999</v>
      </c>
      <c r="H9" s="14">
        <f t="shared" si="5"/>
        <v>136916.95679999999</v>
      </c>
      <c r="I9" s="12">
        <v>48.650799999999997</v>
      </c>
      <c r="J9" s="12">
        <v>7.47</v>
      </c>
      <c r="K9" s="12">
        <v>22.130500000000001</v>
      </c>
      <c r="L9" s="12">
        <v>48.913600000000002</v>
      </c>
      <c r="M9" s="12">
        <v>36.736699999999999</v>
      </c>
      <c r="N9" s="12">
        <v>15.858000000000001</v>
      </c>
      <c r="O9" s="12">
        <v>18.363399999999999</v>
      </c>
      <c r="P9" s="12">
        <v>40.723100000000002</v>
      </c>
      <c r="Q9" s="12">
        <v>476.71870000000001</v>
      </c>
      <c r="R9" s="15">
        <v>40.715200000000003</v>
      </c>
      <c r="S9" s="15">
        <v>1171.2828999999999</v>
      </c>
      <c r="T9" s="15">
        <v>1246.7918017908244</v>
      </c>
      <c r="AP9" s="12">
        <f t="shared" si="6"/>
        <v>0.75236876430487543</v>
      </c>
      <c r="AQ9" s="12">
        <f t="shared" si="7"/>
        <v>0.6263858809342161</v>
      </c>
      <c r="AU9" s="12">
        <f t="shared" si="8"/>
        <v>0.9946272611298288</v>
      </c>
      <c r="AV9" s="12">
        <f t="shared" si="0"/>
        <v>0.15271826240554773</v>
      </c>
      <c r="AW9" s="12">
        <f t="shared" si="1"/>
        <v>0.45244063000883189</v>
      </c>
      <c r="AX9" s="12">
        <f t="shared" si="2"/>
        <v>0.90210961346262919</v>
      </c>
      <c r="AY9" s="12">
        <f t="shared" si="3"/>
        <v>0.38941043289926358</v>
      </c>
      <c r="AZ9" s="12">
        <f t="shared" si="4"/>
        <v>0.45093325409902479</v>
      </c>
    </row>
    <row r="10" spans="1:61" x14ac:dyDescent="0.55000000000000004">
      <c r="A10" s="12" t="s">
        <v>518</v>
      </c>
      <c r="B10" s="12" t="s">
        <v>519</v>
      </c>
      <c r="C10" s="12" t="s">
        <v>515</v>
      </c>
      <c r="D10" s="12" t="s">
        <v>9</v>
      </c>
      <c r="E10" s="12">
        <v>2353</v>
      </c>
      <c r="F10" s="12">
        <v>68.735299999999995</v>
      </c>
      <c r="G10" s="12">
        <v>40.867699999999999</v>
      </c>
      <c r="H10" s="14">
        <f t="shared" si="5"/>
        <v>96161.698099999994</v>
      </c>
      <c r="I10" s="12">
        <v>133.7199</v>
      </c>
      <c r="J10" s="12">
        <v>24.013999999999999</v>
      </c>
      <c r="K10" s="12">
        <v>26.005299999999998</v>
      </c>
      <c r="L10" s="12">
        <v>133.85210000000001</v>
      </c>
      <c r="M10" s="12">
        <v>53.681800000000003</v>
      </c>
      <c r="N10" s="12">
        <v>10.9374</v>
      </c>
      <c r="O10" s="12">
        <v>18.725300000000001</v>
      </c>
      <c r="P10" s="12">
        <v>54.7151</v>
      </c>
      <c r="Q10" s="12">
        <v>1304.7855999999999</v>
      </c>
      <c r="R10" s="15">
        <v>597.37170000000003</v>
      </c>
      <c r="S10" s="15">
        <v>5104.6287000000002</v>
      </c>
      <c r="T10" s="15">
        <v>5104.6303370004471</v>
      </c>
      <c r="AP10" s="12">
        <f t="shared" si="6"/>
        <v>3.2752540514880946</v>
      </c>
      <c r="AQ10" s="12">
        <f t="shared" si="7"/>
        <v>1.3388348255468254</v>
      </c>
      <c r="AU10" s="12">
        <f t="shared" si="8"/>
        <v>0.99901234272753281</v>
      </c>
      <c r="AV10" s="12">
        <f t="shared" si="0"/>
        <v>0.17940697232243646</v>
      </c>
      <c r="AW10" s="12">
        <f t="shared" si="1"/>
        <v>0.19428384014894048</v>
      </c>
      <c r="AX10" s="12">
        <f t="shared" si="2"/>
        <v>0.98111490246750899</v>
      </c>
      <c r="AY10" s="12">
        <f t="shared" si="3"/>
        <v>0.1998972861239402</v>
      </c>
      <c r="AZ10" s="12">
        <f t="shared" si="4"/>
        <v>0.34223276572646311</v>
      </c>
    </row>
    <row r="11" spans="1:61" x14ac:dyDescent="0.55000000000000004">
      <c r="A11" s="12" t="s">
        <v>520</v>
      </c>
      <c r="B11" s="12" t="s">
        <v>521</v>
      </c>
      <c r="C11" s="12" t="s">
        <v>515</v>
      </c>
      <c r="D11" s="12" t="s">
        <v>9</v>
      </c>
      <c r="E11" s="12">
        <v>2156</v>
      </c>
      <c r="F11" s="12">
        <v>68.959699999999998</v>
      </c>
      <c r="G11" s="12">
        <v>29.776299999999999</v>
      </c>
      <c r="H11" s="14">
        <f t="shared" si="5"/>
        <v>64197.702799999999</v>
      </c>
      <c r="I11" s="12">
        <v>131.52119999999999</v>
      </c>
      <c r="J11" s="12">
        <v>27.357500000000002</v>
      </c>
      <c r="K11" s="12">
        <v>43.635100000000001</v>
      </c>
      <c r="L11" s="12">
        <v>134.4256</v>
      </c>
      <c r="M11" s="12">
        <v>34.290799999999997</v>
      </c>
      <c r="N11" s="12">
        <v>24.886199999999999</v>
      </c>
      <c r="O11" s="12">
        <v>15.099299999999999</v>
      </c>
      <c r="P11" s="12">
        <v>43.172699999999999</v>
      </c>
      <c r="Q11" s="12">
        <v>960.46130000000005</v>
      </c>
      <c r="R11" s="15">
        <v>54.313499999999998</v>
      </c>
      <c r="S11" s="15">
        <v>4851.6770999999999</v>
      </c>
      <c r="T11" s="15">
        <v>4923.8668850632885</v>
      </c>
      <c r="AP11" s="12">
        <f t="shared" si="6"/>
        <v>4.5145165786212527</v>
      </c>
      <c r="AQ11" s="12">
        <f t="shared" si="7"/>
        <v>1.4499014316755272</v>
      </c>
      <c r="AU11" s="12">
        <f t="shared" si="8"/>
        <v>0.97839399638164148</v>
      </c>
      <c r="AV11" s="12">
        <f t="shared" si="0"/>
        <v>0.20351406279756237</v>
      </c>
      <c r="AW11" s="12">
        <f t="shared" si="1"/>
        <v>0.32460409326794898</v>
      </c>
      <c r="AX11" s="12">
        <f t="shared" si="2"/>
        <v>0.79427045331887969</v>
      </c>
      <c r="AY11" s="12">
        <f t="shared" si="3"/>
        <v>0.57643371853046022</v>
      </c>
      <c r="AZ11" s="12">
        <f t="shared" si="4"/>
        <v>0.34974185075290637</v>
      </c>
    </row>
    <row r="12" spans="1:61" x14ac:dyDescent="0.55000000000000004">
      <c r="A12" s="12" t="s">
        <v>486</v>
      </c>
      <c r="B12" s="12" t="s">
        <v>484</v>
      </c>
      <c r="C12" s="12" t="s">
        <v>485</v>
      </c>
      <c r="D12" s="12" t="s">
        <v>9</v>
      </c>
      <c r="E12" s="12">
        <v>2040</v>
      </c>
      <c r="F12" s="12">
        <v>67.774200000000008</v>
      </c>
      <c r="G12" s="12">
        <v>36.331499999999998</v>
      </c>
      <c r="H12" s="14">
        <f t="shared" si="5"/>
        <v>74116.259999999995</v>
      </c>
      <c r="I12" s="12">
        <v>62.319099999999999</v>
      </c>
      <c r="J12" s="12">
        <v>11.5395</v>
      </c>
      <c r="K12" s="12">
        <v>29.967400000000001</v>
      </c>
      <c r="L12" s="12">
        <v>69.541499999999999</v>
      </c>
      <c r="M12" s="12">
        <v>44.636200000000002</v>
      </c>
      <c r="N12" s="12">
        <v>18.033200000000001</v>
      </c>
      <c r="O12" s="12">
        <v>9.9215</v>
      </c>
      <c r="P12" s="12">
        <v>47.710500000000003</v>
      </c>
      <c r="Q12" s="12">
        <v>600.79319999999996</v>
      </c>
      <c r="R12" s="15">
        <v>29.355799999999999</v>
      </c>
      <c r="S12" s="15">
        <v>1941.0255</v>
      </c>
      <c r="T12" s="15">
        <v>1983.1781406020639</v>
      </c>
      <c r="AP12" s="12">
        <f t="shared" si="6"/>
        <v>1.9140828206927873</v>
      </c>
      <c r="AQ12" s="12">
        <f t="shared" si="7"/>
        <v>1.313199289872425</v>
      </c>
      <c r="AU12" s="12">
        <f t="shared" si="8"/>
        <v>0.8961425911146581</v>
      </c>
      <c r="AV12" s="12">
        <f t="shared" si="0"/>
        <v>0.16593688660727768</v>
      </c>
      <c r="AW12" s="12">
        <f t="shared" si="1"/>
        <v>0.43092829461544546</v>
      </c>
      <c r="AX12" s="12">
        <f t="shared" si="2"/>
        <v>0.93556345039351918</v>
      </c>
      <c r="AY12" s="12">
        <f t="shared" si="3"/>
        <v>0.37797130610662222</v>
      </c>
      <c r="AZ12" s="12">
        <f t="shared" si="4"/>
        <v>0.20795212793829448</v>
      </c>
    </row>
    <row r="13" spans="1:61" x14ac:dyDescent="0.55000000000000004">
      <c r="A13" s="12" t="s">
        <v>12</v>
      </c>
      <c r="B13" s="12" t="s">
        <v>11</v>
      </c>
      <c r="C13" s="12" t="s">
        <v>8</v>
      </c>
      <c r="D13" s="12" t="s">
        <v>9</v>
      </c>
      <c r="E13" s="12">
        <v>1415</v>
      </c>
      <c r="F13" s="12">
        <v>69.022300000000001</v>
      </c>
      <c r="G13" s="12">
        <v>39.066600000000001</v>
      </c>
      <c r="H13" s="14">
        <f t="shared" si="5"/>
        <v>55279.239000000001</v>
      </c>
      <c r="I13" s="12">
        <v>168.02099999999999</v>
      </c>
      <c r="J13" s="12">
        <v>27.653500000000001</v>
      </c>
      <c r="K13" s="12">
        <v>44.808199999999999</v>
      </c>
      <c r="L13" s="12">
        <v>173.8742</v>
      </c>
      <c r="M13" s="12">
        <v>49.651200000000003</v>
      </c>
      <c r="N13" s="12">
        <v>17.2713</v>
      </c>
      <c r="O13" s="12">
        <v>17.002800000000001</v>
      </c>
      <c r="P13" s="12">
        <v>52.249299999999998</v>
      </c>
      <c r="Q13" s="12">
        <v>1659.7760000000001</v>
      </c>
      <c r="R13" s="15">
        <v>988.61490000000003</v>
      </c>
      <c r="S13" s="15">
        <v>3191.9897000000001</v>
      </c>
      <c r="T13" s="15">
        <v>3597.7290913966954</v>
      </c>
      <c r="AP13" s="12">
        <f t="shared" si="6"/>
        <v>4.4507123732293055</v>
      </c>
      <c r="AQ13" s="12">
        <f t="shared" si="7"/>
        <v>1.3374417021189455</v>
      </c>
      <c r="AU13" s="12">
        <f t="shared" si="8"/>
        <v>0.96633658127542776</v>
      </c>
      <c r="AV13" s="12">
        <f t="shared" si="0"/>
        <v>0.15904314728694655</v>
      </c>
      <c r="AW13" s="12">
        <f t="shared" si="1"/>
        <v>0.25770470834660919</v>
      </c>
      <c r="AX13" s="12">
        <f t="shared" si="2"/>
        <v>0.95027493191296353</v>
      </c>
      <c r="AY13" s="12">
        <f t="shared" si="3"/>
        <v>0.33055562466865585</v>
      </c>
      <c r="AZ13" s="12">
        <f t="shared" si="4"/>
        <v>0.32541679984229455</v>
      </c>
    </row>
    <row r="14" spans="1:61" x14ac:dyDescent="0.55000000000000004">
      <c r="A14" s="12" t="s">
        <v>327</v>
      </c>
      <c r="B14" s="12" t="s">
        <v>328</v>
      </c>
      <c r="C14" s="12" t="s">
        <v>322</v>
      </c>
      <c r="D14" s="12" t="s">
        <v>9</v>
      </c>
      <c r="E14" s="12">
        <v>2095</v>
      </c>
      <c r="F14" s="12">
        <v>70.703042999999994</v>
      </c>
      <c r="G14" s="12">
        <v>44.043303999999999</v>
      </c>
      <c r="H14" s="14">
        <f t="shared" si="5"/>
        <v>92270.721879999997</v>
      </c>
      <c r="I14" s="12">
        <v>53.019269999999999</v>
      </c>
      <c r="J14" s="12">
        <v>12.244222000000001</v>
      </c>
      <c r="K14" s="12">
        <v>11.826501</v>
      </c>
      <c r="L14" s="12">
        <v>53.802754</v>
      </c>
      <c r="M14" s="12">
        <v>41.105711999999997</v>
      </c>
      <c r="N14" s="12">
        <v>17.842732000000002</v>
      </c>
      <c r="O14" s="12">
        <v>9.8558400000000006</v>
      </c>
      <c r="P14" s="12">
        <v>44.292954999999999</v>
      </c>
      <c r="Q14" s="12">
        <v>530.33682499999998</v>
      </c>
      <c r="R14" s="15">
        <v>174.11759499999999</v>
      </c>
      <c r="S14" s="15">
        <v>1254.129893</v>
      </c>
      <c r="T14" s="15">
        <v>1254.4323451225609</v>
      </c>
      <c r="AP14" s="12">
        <f t="shared" si="6"/>
        <v>1.2215875993317848</v>
      </c>
      <c r="AQ14" s="12">
        <f t="shared" si="7"/>
        <v>1.0056683077182402</v>
      </c>
      <c r="AU14" s="12">
        <f t="shared" si="8"/>
        <v>0.98543784580246574</v>
      </c>
      <c r="AV14" s="12">
        <f t="shared" si="0"/>
        <v>0.22757611998820731</v>
      </c>
      <c r="AW14" s="12">
        <f t="shared" si="1"/>
        <v>0.21981218656576576</v>
      </c>
      <c r="AX14" s="12">
        <f t="shared" si="2"/>
        <v>0.92804176194611532</v>
      </c>
      <c r="AY14" s="12">
        <f t="shared" si="3"/>
        <v>0.40283453655327356</v>
      </c>
      <c r="AZ14" s="12">
        <f t="shared" si="4"/>
        <v>0.22251484462935472</v>
      </c>
    </row>
    <row r="15" spans="1:61" x14ac:dyDescent="0.55000000000000004">
      <c r="A15" s="12" t="s">
        <v>329</v>
      </c>
      <c r="B15" s="12" t="s">
        <v>330</v>
      </c>
      <c r="C15" s="12" t="s">
        <v>322</v>
      </c>
      <c r="D15" s="12" t="s">
        <v>9</v>
      </c>
      <c r="E15" s="12">
        <v>1963</v>
      </c>
      <c r="F15" s="12">
        <v>72.253291000000004</v>
      </c>
      <c r="G15" s="12">
        <v>31.017468000000001</v>
      </c>
      <c r="H15" s="14">
        <f t="shared" si="5"/>
        <v>60887.289684000003</v>
      </c>
      <c r="I15" s="12">
        <v>96.411407999999994</v>
      </c>
      <c r="J15" s="12">
        <v>28.837520999999999</v>
      </c>
      <c r="K15" s="12">
        <v>23.143857000000001</v>
      </c>
      <c r="L15" s="12">
        <v>97.552689999999998</v>
      </c>
      <c r="M15" s="12">
        <v>43.839993999999997</v>
      </c>
      <c r="N15" s="12">
        <v>9.7789389999999994</v>
      </c>
      <c r="O15" s="12">
        <v>17.004197999999999</v>
      </c>
      <c r="P15" s="12">
        <v>45.736221999999998</v>
      </c>
      <c r="Q15" s="12">
        <v>366.91647999999998</v>
      </c>
      <c r="R15" s="15">
        <v>124.82187</v>
      </c>
      <c r="S15" s="15">
        <v>1908.756705</v>
      </c>
      <c r="T15" s="15">
        <v>1915.461110115534</v>
      </c>
      <c r="AP15" s="12">
        <f t="shared" si="6"/>
        <v>3.1450887609523765</v>
      </c>
      <c r="AQ15" s="12">
        <f t="shared" si="7"/>
        <v>1.4745311254935443</v>
      </c>
      <c r="AU15" s="12">
        <f t="shared" si="8"/>
        <v>0.98830086592179056</v>
      </c>
      <c r="AV15" s="12">
        <f t="shared" si="0"/>
        <v>0.29560969564242667</v>
      </c>
      <c r="AW15" s="12">
        <f t="shared" si="1"/>
        <v>0.23724468284780256</v>
      </c>
      <c r="AX15" s="12">
        <f t="shared" si="2"/>
        <v>0.95853990738456707</v>
      </c>
      <c r="AY15" s="12">
        <f t="shared" si="3"/>
        <v>0.21381169174839146</v>
      </c>
      <c r="AZ15" s="12">
        <f t="shared" si="4"/>
        <v>0.37178842624998626</v>
      </c>
    </row>
    <row r="16" spans="1:61" x14ac:dyDescent="0.55000000000000004">
      <c r="A16" s="12" t="s">
        <v>331</v>
      </c>
      <c r="B16" s="12" t="s">
        <v>332</v>
      </c>
      <c r="C16" s="12" t="s">
        <v>322</v>
      </c>
      <c r="D16" s="12" t="s">
        <v>9</v>
      </c>
      <c r="E16" s="12">
        <v>2022</v>
      </c>
      <c r="F16" s="12">
        <v>68.689885000000004</v>
      </c>
      <c r="G16" s="12">
        <v>57.181531</v>
      </c>
      <c r="H16" s="14">
        <f t="shared" si="5"/>
        <v>115621.05568200001</v>
      </c>
      <c r="I16" s="12">
        <v>60.948320000000002</v>
      </c>
      <c r="J16" s="12">
        <v>22.677741999999999</v>
      </c>
      <c r="K16" s="12">
        <v>17.452038999999999</v>
      </c>
      <c r="L16" s="12">
        <v>61.570664000000001</v>
      </c>
      <c r="M16" s="12">
        <v>52.980715000000004</v>
      </c>
      <c r="N16" s="12">
        <v>21.448929</v>
      </c>
      <c r="O16" s="12">
        <v>10.941457</v>
      </c>
      <c r="P16" s="12">
        <v>57.663184000000001</v>
      </c>
      <c r="Q16" s="12">
        <v>356.89952899999997</v>
      </c>
      <c r="R16" s="15">
        <v>957.87719400000003</v>
      </c>
      <c r="S16" s="15">
        <v>1823.950327</v>
      </c>
      <c r="T16" s="15">
        <v>1825.5335149447594</v>
      </c>
      <c r="AP16" s="12">
        <f t="shared" si="6"/>
        <v>1.0767578783436211</v>
      </c>
      <c r="AQ16" s="12">
        <f t="shared" si="7"/>
        <v>1.008423226723328</v>
      </c>
      <c r="AU16" s="12">
        <f t="shared" si="8"/>
        <v>0.98989219931102257</v>
      </c>
      <c r="AV16" s="12">
        <f t="shared" si="0"/>
        <v>0.36832056902943255</v>
      </c>
      <c r="AW16" s="12">
        <f t="shared" si="1"/>
        <v>0.28344730860787859</v>
      </c>
      <c r="AX16" s="12">
        <f t="shared" si="2"/>
        <v>0.91879621146137203</v>
      </c>
      <c r="AY16" s="12">
        <f t="shared" si="3"/>
        <v>0.37196921002489214</v>
      </c>
      <c r="AZ16" s="12">
        <f t="shared" si="4"/>
        <v>0.18974770800030744</v>
      </c>
    </row>
    <row r="17" spans="1:52" x14ac:dyDescent="0.55000000000000004">
      <c r="A17" s="12" t="s">
        <v>333</v>
      </c>
      <c r="B17" s="12" t="s">
        <v>334</v>
      </c>
      <c r="C17" s="12" t="s">
        <v>322</v>
      </c>
      <c r="D17" s="12" t="s">
        <v>9</v>
      </c>
      <c r="E17" s="12">
        <v>1771</v>
      </c>
      <c r="F17" s="12">
        <v>71.777683999999994</v>
      </c>
      <c r="G17" s="12">
        <v>36.887735999999997</v>
      </c>
      <c r="H17" s="14">
        <f t="shared" si="5"/>
        <v>65328.180455999995</v>
      </c>
      <c r="I17" s="12">
        <v>50.885016999999998</v>
      </c>
      <c r="J17" s="12">
        <v>17.738285999999999</v>
      </c>
      <c r="K17" s="12">
        <v>34.907912000000003</v>
      </c>
      <c r="L17" s="12">
        <v>54.913204</v>
      </c>
      <c r="M17" s="12">
        <v>41.556103999999998</v>
      </c>
      <c r="N17" s="12">
        <v>16.289453000000002</v>
      </c>
      <c r="O17" s="12">
        <v>15.206706000000001</v>
      </c>
      <c r="P17" s="12">
        <v>44.559489999999997</v>
      </c>
      <c r="Q17" s="12">
        <v>674.791471</v>
      </c>
      <c r="R17" s="15">
        <v>1041.4606490000001</v>
      </c>
      <c r="S17" s="15">
        <v>2440.2029160000002</v>
      </c>
      <c r="T17" s="15">
        <v>2531.2782255219813</v>
      </c>
      <c r="AP17" s="12">
        <f t="shared" si="6"/>
        <v>1.4886574768372882</v>
      </c>
      <c r="AQ17" s="12">
        <f t="shared" si="7"/>
        <v>1.2079757348079048</v>
      </c>
      <c r="AU17" s="12">
        <f t="shared" si="8"/>
        <v>0.92664447334014599</v>
      </c>
      <c r="AV17" s="12">
        <f t="shared" si="0"/>
        <v>0.32302405811177942</v>
      </c>
      <c r="AW17" s="12">
        <f t="shared" si="1"/>
        <v>0.63569250120608523</v>
      </c>
      <c r="AX17" s="12">
        <f t="shared" si="2"/>
        <v>0.93259828602167572</v>
      </c>
      <c r="AY17" s="12">
        <f t="shared" si="3"/>
        <v>0.36556641469639806</v>
      </c>
      <c r="AZ17" s="12">
        <f t="shared" si="4"/>
        <v>0.34126750553024737</v>
      </c>
    </row>
    <row r="18" spans="1:52" x14ac:dyDescent="0.55000000000000004">
      <c r="A18" s="12" t="s">
        <v>335</v>
      </c>
      <c r="B18" s="12" t="s">
        <v>336</v>
      </c>
      <c r="C18" s="12" t="s">
        <v>322</v>
      </c>
      <c r="D18" s="12" t="s">
        <v>9</v>
      </c>
      <c r="E18" s="12">
        <v>1864</v>
      </c>
      <c r="F18" s="12">
        <v>69.965500000000006</v>
      </c>
      <c r="G18" s="12">
        <v>58.598444000000001</v>
      </c>
      <c r="H18" s="14">
        <f t="shared" si="5"/>
        <v>109227.499616</v>
      </c>
      <c r="I18" s="12">
        <v>82.653827000000007</v>
      </c>
      <c r="J18" s="12">
        <v>22.809463999999998</v>
      </c>
      <c r="K18" s="12">
        <v>29.757736000000001</v>
      </c>
      <c r="L18" s="12">
        <v>82.707599000000002</v>
      </c>
      <c r="M18" s="12">
        <v>44.531202999999998</v>
      </c>
      <c r="N18" s="12">
        <v>19.113610000000001</v>
      </c>
      <c r="O18" s="12">
        <v>19.948492999999999</v>
      </c>
      <c r="P18" s="12">
        <v>47.245958000000002</v>
      </c>
      <c r="Q18" s="12">
        <v>430.02866699999998</v>
      </c>
      <c r="R18" s="15">
        <v>399.23944799999998</v>
      </c>
      <c r="S18" s="15">
        <v>1691.2144209999999</v>
      </c>
      <c r="T18" s="15">
        <v>1694.1126222084745</v>
      </c>
      <c r="AP18" s="12">
        <f t="shared" si="6"/>
        <v>1.4114299519625471</v>
      </c>
      <c r="AQ18" s="12">
        <f t="shared" si="7"/>
        <v>0.806266425777449</v>
      </c>
      <c r="AU18" s="12">
        <f t="shared" si="8"/>
        <v>0.99934985417724442</v>
      </c>
      <c r="AV18" s="12">
        <f t="shared" si="0"/>
        <v>0.27578438106999087</v>
      </c>
      <c r="AW18" s="12">
        <f t="shared" si="1"/>
        <v>0.35979446096603529</v>
      </c>
      <c r="AX18" s="12">
        <f t="shared" si="2"/>
        <v>0.94253995230660781</v>
      </c>
      <c r="AY18" s="12">
        <f t="shared" si="3"/>
        <v>0.40455545424647754</v>
      </c>
      <c r="AZ18" s="12">
        <f t="shared" si="4"/>
        <v>0.42222644739260018</v>
      </c>
    </row>
    <row r="19" spans="1:52" x14ac:dyDescent="0.55000000000000004">
      <c r="A19" s="12" t="s">
        <v>337</v>
      </c>
      <c r="B19" s="12" t="s">
        <v>338</v>
      </c>
      <c r="C19" s="12" t="s">
        <v>322</v>
      </c>
      <c r="D19" s="12" t="s">
        <v>9</v>
      </c>
      <c r="E19" s="12">
        <v>1990</v>
      </c>
      <c r="F19" s="12">
        <v>69.05593300000001</v>
      </c>
      <c r="G19" s="12">
        <v>46.405012999999997</v>
      </c>
      <c r="H19" s="14">
        <f t="shared" si="5"/>
        <v>92345.975869999995</v>
      </c>
      <c r="I19" s="12">
        <v>69.292231000000001</v>
      </c>
      <c r="J19" s="12">
        <v>22.137640999999999</v>
      </c>
      <c r="K19" s="12">
        <v>18.246116000000001</v>
      </c>
      <c r="L19" s="12">
        <v>73.734859999999998</v>
      </c>
      <c r="M19" s="12">
        <v>55.093843999999997</v>
      </c>
      <c r="N19" s="12">
        <v>15.956265</v>
      </c>
      <c r="O19" s="12">
        <v>14.873671999999999</v>
      </c>
      <c r="P19" s="12">
        <v>55.456287000000003</v>
      </c>
      <c r="Q19" s="12">
        <v>533.69527900000003</v>
      </c>
      <c r="R19" s="15">
        <v>260.20815499999998</v>
      </c>
      <c r="S19" s="15">
        <v>1923.1974680000001</v>
      </c>
      <c r="T19" s="15">
        <v>1956.8787473271127</v>
      </c>
      <c r="AP19" s="12">
        <f t="shared" si="6"/>
        <v>1.5889416947259556</v>
      </c>
      <c r="AQ19" s="12">
        <f t="shared" si="7"/>
        <v>1.1950494874336099</v>
      </c>
      <c r="AU19" s="12">
        <f t="shared" si="8"/>
        <v>0.93974859381302145</v>
      </c>
      <c r="AV19" s="12">
        <f t="shared" si="0"/>
        <v>0.30023303767037735</v>
      </c>
      <c r="AW19" s="12">
        <f t="shared" si="1"/>
        <v>0.24745576244397835</v>
      </c>
      <c r="AX19" s="12">
        <f t="shared" si="2"/>
        <v>0.99346434787457005</v>
      </c>
      <c r="AY19" s="12">
        <f t="shared" si="3"/>
        <v>0.28772689019010594</v>
      </c>
      <c r="AZ19" s="12">
        <f t="shared" si="4"/>
        <v>0.26820533441050604</v>
      </c>
    </row>
    <row r="20" spans="1:52" x14ac:dyDescent="0.55000000000000004">
      <c r="A20" s="12" t="s">
        <v>339</v>
      </c>
      <c r="B20" s="12" t="s">
        <v>340</v>
      </c>
      <c r="C20" s="12" t="s">
        <v>322</v>
      </c>
      <c r="D20" s="12" t="s">
        <v>9</v>
      </c>
      <c r="E20" s="12">
        <v>2179</v>
      </c>
      <c r="F20" s="12">
        <v>67.137097000000011</v>
      </c>
      <c r="G20" s="12">
        <v>36.528722999999999</v>
      </c>
      <c r="H20" s="14">
        <f t="shared" si="5"/>
        <v>79596.087417000002</v>
      </c>
      <c r="I20" s="12">
        <v>184.15168299999999</v>
      </c>
      <c r="J20" s="12">
        <v>58.632131000000001</v>
      </c>
      <c r="K20" s="12">
        <v>67.979828999999995</v>
      </c>
      <c r="L20" s="12">
        <v>204.35991899999999</v>
      </c>
      <c r="M20" s="12">
        <v>52.497162000000003</v>
      </c>
      <c r="N20" s="12">
        <v>10.405632000000001</v>
      </c>
      <c r="O20" s="12">
        <v>13.02543</v>
      </c>
      <c r="P20" s="12">
        <v>53.320089000000003</v>
      </c>
      <c r="Q20" s="12">
        <v>636.94798100000003</v>
      </c>
      <c r="R20" s="15">
        <v>1112.559536</v>
      </c>
      <c r="S20" s="15">
        <v>1913.0824250000001</v>
      </c>
      <c r="T20" s="15">
        <v>1952.0095930162197</v>
      </c>
      <c r="AP20" s="12">
        <f t="shared" si="6"/>
        <v>5.5944994025660302</v>
      </c>
      <c r="AQ20" s="12">
        <f t="shared" si="7"/>
        <v>1.4596756913730602</v>
      </c>
      <c r="AU20" s="12">
        <f t="shared" si="8"/>
        <v>0.90111448419589557</v>
      </c>
      <c r="AV20" s="12">
        <f t="shared" si="0"/>
        <v>0.28690621569486924</v>
      </c>
      <c r="AW20" s="12">
        <f t="shared" si="1"/>
        <v>0.33264756285208746</v>
      </c>
      <c r="AX20" s="12">
        <f t="shared" si="2"/>
        <v>0.9845662860765293</v>
      </c>
      <c r="AY20" s="12">
        <f t="shared" si="3"/>
        <v>0.19515406285237072</v>
      </c>
      <c r="AZ20" s="12">
        <f t="shared" si="4"/>
        <v>0.24428747671445183</v>
      </c>
    </row>
    <row r="21" spans="1:52" x14ac:dyDescent="0.55000000000000004">
      <c r="A21" s="12" t="s">
        <v>341</v>
      </c>
      <c r="B21" s="12" t="s">
        <v>342</v>
      </c>
      <c r="C21" s="12" t="s">
        <v>322</v>
      </c>
      <c r="D21" s="12" t="s">
        <v>9</v>
      </c>
      <c r="E21" s="12">
        <v>2008</v>
      </c>
      <c r="F21" s="12">
        <v>72.044642999999994</v>
      </c>
      <c r="G21" s="12">
        <v>37.472628999999998</v>
      </c>
      <c r="H21" s="14">
        <f t="shared" si="5"/>
        <v>75245.039032000001</v>
      </c>
      <c r="I21" s="12">
        <v>49.825204999999997</v>
      </c>
      <c r="J21" s="12">
        <v>5.3451320000000004</v>
      </c>
      <c r="K21" s="12">
        <v>13.949648</v>
      </c>
      <c r="L21" s="12">
        <v>51.713296</v>
      </c>
      <c r="M21" s="12">
        <v>44.044930000000001</v>
      </c>
      <c r="N21" s="12">
        <v>6.675281</v>
      </c>
      <c r="O21" s="12">
        <v>14.960561</v>
      </c>
      <c r="P21" s="12">
        <v>45.187928999999997</v>
      </c>
      <c r="Q21" s="12">
        <v>326.69921799999997</v>
      </c>
      <c r="R21" s="15">
        <v>303.34184599999998</v>
      </c>
      <c r="S21" s="15">
        <v>1611.3060760000001</v>
      </c>
      <c r="T21" s="15">
        <v>1620.4577422370126</v>
      </c>
      <c r="AP21" s="12">
        <f t="shared" si="6"/>
        <v>1.3800285002688228</v>
      </c>
      <c r="AQ21" s="12">
        <f t="shared" si="7"/>
        <v>1.2058916122485028</v>
      </c>
      <c r="AU21" s="12">
        <f t="shared" si="8"/>
        <v>0.96348925429158483</v>
      </c>
      <c r="AV21" s="12">
        <f t="shared" si="0"/>
        <v>0.1033608842105133</v>
      </c>
      <c r="AW21" s="12">
        <f t="shared" si="1"/>
        <v>0.26974973708889105</v>
      </c>
      <c r="AX21" s="12">
        <f t="shared" si="2"/>
        <v>0.9747056564597153</v>
      </c>
      <c r="AY21" s="12">
        <f t="shared" si="3"/>
        <v>0.14772265841171878</v>
      </c>
      <c r="AZ21" s="12">
        <f t="shared" si="4"/>
        <v>0.33107427870836925</v>
      </c>
    </row>
    <row r="22" spans="1:52" x14ac:dyDescent="0.55000000000000004">
      <c r="A22" s="12" t="s">
        <v>343</v>
      </c>
      <c r="B22" s="12" t="s">
        <v>344</v>
      </c>
      <c r="C22" s="12" t="s">
        <v>322</v>
      </c>
      <c r="D22" s="12" t="s">
        <v>9</v>
      </c>
      <c r="E22" s="12">
        <v>1956</v>
      </c>
      <c r="F22" s="12">
        <v>70.468030999999996</v>
      </c>
      <c r="G22" s="12">
        <v>55.208340999999997</v>
      </c>
      <c r="H22" s="14">
        <f t="shared" si="5"/>
        <v>107987.514996</v>
      </c>
      <c r="I22" s="12">
        <v>79.547199000000006</v>
      </c>
      <c r="J22" s="12">
        <v>14.489012000000001</v>
      </c>
      <c r="K22" s="12">
        <v>12.465619</v>
      </c>
      <c r="L22" s="12">
        <v>80.378592999999995</v>
      </c>
      <c r="M22" s="12">
        <v>50.518129999999999</v>
      </c>
      <c r="N22" s="12">
        <v>12.910093</v>
      </c>
      <c r="O22" s="12">
        <v>15.837939</v>
      </c>
      <c r="P22" s="12">
        <v>52.170037999999998</v>
      </c>
      <c r="Q22" s="12">
        <v>598.50138900000002</v>
      </c>
      <c r="R22" s="15">
        <v>1382.1</v>
      </c>
      <c r="S22" s="15">
        <v>2403.926633</v>
      </c>
      <c r="T22" s="15">
        <v>2408.5752650885611</v>
      </c>
      <c r="AP22" s="12">
        <f t="shared" si="6"/>
        <v>1.455913935178744</v>
      </c>
      <c r="AQ22" s="12">
        <f t="shared" si="7"/>
        <v>0.94496659481218614</v>
      </c>
      <c r="AU22" s="12">
        <f t="shared" si="8"/>
        <v>0.9896565245923129</v>
      </c>
      <c r="AV22" s="12">
        <f t="shared" si="0"/>
        <v>0.18025958727593056</v>
      </c>
      <c r="AW22" s="12">
        <f t="shared" si="1"/>
        <v>0.15508630513101918</v>
      </c>
      <c r="AX22" s="12">
        <f t="shared" si="2"/>
        <v>0.9683360782677598</v>
      </c>
      <c r="AY22" s="12">
        <f t="shared" si="3"/>
        <v>0.24746182856911089</v>
      </c>
      <c r="AZ22" s="12">
        <f t="shared" si="4"/>
        <v>0.30358304511873274</v>
      </c>
    </row>
    <row r="23" spans="1:52" x14ac:dyDescent="0.55000000000000004">
      <c r="A23" s="12" t="s">
        <v>345</v>
      </c>
      <c r="B23" s="12" t="s">
        <v>346</v>
      </c>
      <c r="C23" s="12" t="s">
        <v>322</v>
      </c>
      <c r="D23" s="12" t="s">
        <v>9</v>
      </c>
      <c r="E23" s="12">
        <v>1958</v>
      </c>
      <c r="F23" s="12">
        <v>70.816900000000004</v>
      </c>
      <c r="G23" s="12">
        <v>46.646500000000003</v>
      </c>
      <c r="H23" s="14">
        <f t="shared" si="5"/>
        <v>91333.847000000009</v>
      </c>
      <c r="I23" s="12">
        <v>121.87430000000001</v>
      </c>
      <c r="J23" s="12">
        <v>35.049599999999998</v>
      </c>
      <c r="K23" s="12">
        <v>35.915900000000001</v>
      </c>
      <c r="L23" s="12">
        <v>129.1438</v>
      </c>
      <c r="M23" s="12">
        <v>52.842100000000002</v>
      </c>
      <c r="N23" s="12">
        <v>15.666700000000001</v>
      </c>
      <c r="O23" s="12">
        <v>17.453600000000002</v>
      </c>
      <c r="P23" s="12">
        <v>54.53</v>
      </c>
      <c r="Q23" s="12">
        <v>724.14880000000005</v>
      </c>
      <c r="R23" s="15">
        <v>38.659799999999997</v>
      </c>
      <c r="S23" s="15">
        <v>2825.1597000000002</v>
      </c>
      <c r="T23" s="15">
        <v>2901.5802079713822</v>
      </c>
      <c r="AP23" s="12">
        <f t="shared" si="6"/>
        <v>2.7685635578232017</v>
      </c>
      <c r="AQ23" s="12">
        <f t="shared" si="7"/>
        <v>1.169005177237306</v>
      </c>
      <c r="AU23" s="12">
        <f t="shared" si="8"/>
        <v>0.94371003486036498</v>
      </c>
      <c r="AV23" s="12">
        <f t="shared" si="0"/>
        <v>0.27139978845287188</v>
      </c>
      <c r="AW23" s="12">
        <f t="shared" si="1"/>
        <v>0.27810781469958296</v>
      </c>
      <c r="AX23" s="12">
        <f t="shared" si="2"/>
        <v>0.96904639647900237</v>
      </c>
      <c r="AY23" s="12">
        <f t="shared" si="3"/>
        <v>0.28730423620025675</v>
      </c>
      <c r="AZ23" s="12">
        <f t="shared" si="4"/>
        <v>0.32007335411699983</v>
      </c>
    </row>
    <row r="24" spans="1:52" x14ac:dyDescent="0.55000000000000004">
      <c r="A24" s="12" t="s">
        <v>13</v>
      </c>
      <c r="B24" s="12" t="s">
        <v>14</v>
      </c>
      <c r="C24" s="12" t="s">
        <v>8</v>
      </c>
      <c r="D24" s="12" t="s">
        <v>9</v>
      </c>
      <c r="E24" s="12">
        <v>1370</v>
      </c>
      <c r="F24" s="12">
        <v>64.367241000000007</v>
      </c>
      <c r="G24" s="12">
        <v>42.128526999999998</v>
      </c>
      <c r="H24" s="14">
        <f t="shared" si="5"/>
        <v>57716.081989999999</v>
      </c>
      <c r="I24" s="12">
        <v>58.319688999999997</v>
      </c>
      <c r="J24" s="12">
        <v>16.252884999999999</v>
      </c>
      <c r="K24" s="12">
        <v>21.794421</v>
      </c>
      <c r="L24" s="12">
        <v>62.74418</v>
      </c>
      <c r="M24" s="12">
        <v>45.946365</v>
      </c>
      <c r="N24" s="12">
        <v>15.075847</v>
      </c>
      <c r="O24" s="12">
        <v>18.030318999999999</v>
      </c>
      <c r="P24" s="12">
        <v>49.233038000000001</v>
      </c>
      <c r="Q24" s="12">
        <v>735.465417</v>
      </c>
      <c r="R24" s="15">
        <v>366.98285399999997</v>
      </c>
      <c r="S24" s="15">
        <v>2604.783531</v>
      </c>
      <c r="T24" s="15">
        <v>2672.2277232185929</v>
      </c>
      <c r="AP24" s="12">
        <f t="shared" si="6"/>
        <v>1.4893513841582926</v>
      </c>
      <c r="AQ24" s="12">
        <f t="shared" si="7"/>
        <v>1.1686389604839496</v>
      </c>
      <c r="AU24" s="12">
        <f t="shared" si="8"/>
        <v>0.92948364294505081</v>
      </c>
      <c r="AV24" s="12">
        <f t="shared" si="0"/>
        <v>0.25903414468082936</v>
      </c>
      <c r="AW24" s="12">
        <f t="shared" si="1"/>
        <v>0.34735366690583891</v>
      </c>
      <c r="AX24" s="12">
        <f t="shared" si="2"/>
        <v>0.93324253116372791</v>
      </c>
      <c r="AY24" s="12">
        <f t="shared" si="3"/>
        <v>0.30621403050528789</v>
      </c>
      <c r="AZ24" s="12">
        <f t="shared" si="4"/>
        <v>0.36622397748438756</v>
      </c>
    </row>
    <row r="25" spans="1:52" x14ac:dyDescent="0.55000000000000004">
      <c r="A25" s="12" t="s">
        <v>15</v>
      </c>
      <c r="B25" s="12" t="s">
        <v>16</v>
      </c>
      <c r="C25" s="12" t="s">
        <v>8</v>
      </c>
      <c r="D25" s="12" t="s">
        <v>9</v>
      </c>
      <c r="E25" s="12">
        <v>1460</v>
      </c>
      <c r="F25" s="12">
        <v>63.888387000000002</v>
      </c>
      <c r="G25" s="12">
        <v>93.418446000000003</v>
      </c>
      <c r="H25" s="14">
        <f t="shared" si="5"/>
        <v>136390.93116000001</v>
      </c>
      <c r="I25" s="12">
        <v>54.314807999999999</v>
      </c>
      <c r="J25" s="12">
        <v>19.024228999999998</v>
      </c>
      <c r="K25" s="12">
        <v>19.353985000000002</v>
      </c>
      <c r="L25" s="12">
        <v>56.201106000000003</v>
      </c>
      <c r="M25" s="12">
        <v>41.988200999999997</v>
      </c>
      <c r="N25" s="12">
        <v>23.557303999999998</v>
      </c>
      <c r="O25" s="12">
        <v>18.102250999999999</v>
      </c>
      <c r="P25" s="12">
        <v>43.517394000000003</v>
      </c>
      <c r="Q25" s="12">
        <v>441.32769500000001</v>
      </c>
      <c r="R25" s="15">
        <v>35.665975000000003</v>
      </c>
      <c r="S25" s="15">
        <v>2227.0082809999999</v>
      </c>
      <c r="T25" s="15">
        <v>2228.6901375918137</v>
      </c>
      <c r="AP25" s="12">
        <f t="shared" si="6"/>
        <v>0.60160608965813889</v>
      </c>
      <c r="AQ25" s="12">
        <f t="shared" si="7"/>
        <v>0.46583298977163462</v>
      </c>
      <c r="AU25" s="12">
        <f t="shared" si="8"/>
        <v>0.96643663916507261</v>
      </c>
      <c r="AV25" s="12">
        <f t="shared" si="0"/>
        <v>0.33850275117361567</v>
      </c>
      <c r="AW25" s="12">
        <f t="shared" si="1"/>
        <v>0.34437018018826893</v>
      </c>
      <c r="AX25" s="12">
        <f t="shared" si="2"/>
        <v>0.96486018900856041</v>
      </c>
      <c r="AY25" s="12">
        <f t="shared" si="3"/>
        <v>0.54133076075281528</v>
      </c>
      <c r="AZ25" s="12">
        <f t="shared" si="4"/>
        <v>0.41597736757858245</v>
      </c>
    </row>
    <row r="26" spans="1:52" x14ac:dyDescent="0.55000000000000004">
      <c r="A26" s="12" t="s">
        <v>347</v>
      </c>
      <c r="B26" s="12" t="s">
        <v>348</v>
      </c>
      <c r="C26" s="12" t="s">
        <v>322</v>
      </c>
      <c r="D26" s="12" t="s">
        <v>9</v>
      </c>
      <c r="E26" s="12">
        <v>2148</v>
      </c>
      <c r="F26" s="12">
        <v>68.546583999999996</v>
      </c>
      <c r="G26" s="12">
        <v>50.637754999999999</v>
      </c>
      <c r="H26" s="14">
        <f t="shared" si="5"/>
        <v>108769.89774</v>
      </c>
      <c r="I26" s="12">
        <v>43.077902999999999</v>
      </c>
      <c r="J26" s="12">
        <v>22.706052</v>
      </c>
      <c r="K26" s="12">
        <v>21.250692000000001</v>
      </c>
      <c r="L26" s="12">
        <v>47.015439999999998</v>
      </c>
      <c r="M26" s="12">
        <v>38.221888</v>
      </c>
      <c r="N26" s="12">
        <v>7.8020849999999999</v>
      </c>
      <c r="O26" s="12">
        <v>14.676174</v>
      </c>
      <c r="P26" s="12">
        <v>39.639246</v>
      </c>
      <c r="Q26" s="12">
        <v>490.28927099999999</v>
      </c>
      <c r="R26" s="15">
        <v>859.91698799999995</v>
      </c>
      <c r="S26" s="15">
        <v>1915.955211</v>
      </c>
      <c r="T26" s="15">
        <v>1929.694444211161</v>
      </c>
      <c r="AP26" s="12">
        <f t="shared" si="6"/>
        <v>0.92846612177020882</v>
      </c>
      <c r="AQ26" s="12">
        <f t="shared" si="7"/>
        <v>0.78280022485199041</v>
      </c>
      <c r="AU26" s="12">
        <f t="shared" si="8"/>
        <v>0.91625012974461162</v>
      </c>
      <c r="AV26" s="12">
        <f t="shared" si="0"/>
        <v>0.48294883553147649</v>
      </c>
      <c r="AW26" s="12">
        <f t="shared" si="1"/>
        <v>0.45199389817472729</v>
      </c>
      <c r="AX26" s="12">
        <f t="shared" si="2"/>
        <v>0.96424356810419654</v>
      </c>
      <c r="AY26" s="12">
        <f t="shared" si="3"/>
        <v>0.19682728072072814</v>
      </c>
      <c r="AZ26" s="12">
        <f t="shared" si="4"/>
        <v>0.37024352077736289</v>
      </c>
    </row>
    <row r="27" spans="1:52" x14ac:dyDescent="0.55000000000000004">
      <c r="A27" s="12" t="s">
        <v>17</v>
      </c>
      <c r="B27" s="12" t="s">
        <v>18</v>
      </c>
      <c r="C27" s="12" t="s">
        <v>8</v>
      </c>
      <c r="D27" s="12" t="s">
        <v>9</v>
      </c>
      <c r="E27" s="12">
        <v>1474</v>
      </c>
      <c r="F27" s="12">
        <v>69.694766000000001</v>
      </c>
      <c r="G27" s="12">
        <v>55.772489</v>
      </c>
      <c r="H27" s="14">
        <f t="shared" si="5"/>
        <v>82208.648786000005</v>
      </c>
      <c r="I27" s="12">
        <v>36.902098000000002</v>
      </c>
      <c r="J27" s="12">
        <v>17.044695999999998</v>
      </c>
      <c r="K27" s="12">
        <v>19.563597999999999</v>
      </c>
      <c r="L27" s="12">
        <v>39.51867</v>
      </c>
      <c r="M27" s="12">
        <v>34.003306000000002</v>
      </c>
      <c r="N27" s="12">
        <v>21.960336999999999</v>
      </c>
      <c r="O27" s="12">
        <v>16.8048</v>
      </c>
      <c r="P27" s="12">
        <v>40.103577000000001</v>
      </c>
      <c r="Q27" s="12">
        <v>353.82497100000001</v>
      </c>
      <c r="R27" s="15">
        <v>120.70808100000001</v>
      </c>
      <c r="S27" s="15">
        <v>1330.1744960000001</v>
      </c>
      <c r="T27" s="15">
        <v>1341.1360026628261</v>
      </c>
      <c r="AP27" s="12">
        <f t="shared" si="6"/>
        <v>0.70856923742456612</v>
      </c>
      <c r="AQ27" s="12">
        <f t="shared" si="7"/>
        <v>0.71905661230216933</v>
      </c>
      <c r="AU27" s="12">
        <f t="shared" si="8"/>
        <v>0.93378896607603445</v>
      </c>
      <c r="AV27" s="12">
        <f t="shared" si="0"/>
        <v>0.43130743013365574</v>
      </c>
      <c r="AW27" s="12">
        <f t="shared" si="1"/>
        <v>0.49504697399988407</v>
      </c>
      <c r="AX27" s="12">
        <f t="shared" si="2"/>
        <v>0.8478871099203944</v>
      </c>
      <c r="AY27" s="12">
        <f t="shared" si="3"/>
        <v>0.54759048051997949</v>
      </c>
      <c r="AZ27" s="12">
        <f t="shared" si="4"/>
        <v>0.41903494044932699</v>
      </c>
    </row>
    <row r="28" spans="1:52" x14ac:dyDescent="0.55000000000000004">
      <c r="A28" s="12" t="s">
        <v>349</v>
      </c>
      <c r="B28" s="12" t="s">
        <v>346</v>
      </c>
      <c r="C28" s="12" t="s">
        <v>322</v>
      </c>
      <c r="D28" s="12" t="s">
        <v>9</v>
      </c>
      <c r="E28" s="12">
        <v>1992</v>
      </c>
      <c r="F28" s="12">
        <v>72.347088999999997</v>
      </c>
      <c r="G28" s="12">
        <v>41.464258000000001</v>
      </c>
      <c r="H28" s="14">
        <f t="shared" si="5"/>
        <v>82596.801936000003</v>
      </c>
      <c r="I28" s="12">
        <v>75.986541000000003</v>
      </c>
      <c r="J28" s="12">
        <v>13.724252999999999</v>
      </c>
      <c r="K28" s="12">
        <v>30.382871000000002</v>
      </c>
      <c r="L28" s="12">
        <v>82.696903000000006</v>
      </c>
      <c r="M28" s="12">
        <v>54.474257999999999</v>
      </c>
      <c r="N28" s="12">
        <v>11.707769000000001</v>
      </c>
      <c r="O28" s="12">
        <v>26.927320000000002</v>
      </c>
      <c r="P28" s="12">
        <v>58.231583000000001</v>
      </c>
      <c r="Q28" s="12">
        <v>424.55683599999998</v>
      </c>
      <c r="R28" s="15">
        <v>514.54286500000001</v>
      </c>
      <c r="S28" s="15">
        <v>2683.9920010000001</v>
      </c>
      <c r="T28" s="15">
        <v>2685.2614582724259</v>
      </c>
      <c r="AP28" s="12">
        <f t="shared" si="6"/>
        <v>1.9944141530278923</v>
      </c>
      <c r="AQ28" s="12">
        <f t="shared" si="7"/>
        <v>1.4043802013772921</v>
      </c>
      <c r="AU28" s="12">
        <f t="shared" si="8"/>
        <v>0.91885594554852912</v>
      </c>
      <c r="AV28" s="12">
        <f t="shared" si="0"/>
        <v>0.1659584881915106</v>
      </c>
      <c r="AW28" s="12">
        <f t="shared" si="1"/>
        <v>0.36740034871680743</v>
      </c>
      <c r="AX28" s="12">
        <f t="shared" si="2"/>
        <v>0.93547616591498117</v>
      </c>
      <c r="AY28" s="12">
        <f t="shared" si="3"/>
        <v>0.20105531048331626</v>
      </c>
      <c r="AZ28" s="12">
        <f t="shared" si="4"/>
        <v>0.46241779138994044</v>
      </c>
    </row>
    <row r="29" spans="1:52" x14ac:dyDescent="0.55000000000000004">
      <c r="A29" s="12" t="s">
        <v>522</v>
      </c>
      <c r="B29" s="12" t="s">
        <v>523</v>
      </c>
      <c r="C29" s="12" t="s">
        <v>515</v>
      </c>
      <c r="D29" s="12" t="s">
        <v>9</v>
      </c>
      <c r="E29" s="12">
        <v>2370</v>
      </c>
      <c r="F29" s="12">
        <v>71.113112000000001</v>
      </c>
      <c r="G29" s="12">
        <v>29.571676</v>
      </c>
      <c r="H29" s="14">
        <f t="shared" si="5"/>
        <v>70084.87212</v>
      </c>
      <c r="I29" s="12">
        <v>38.298042000000002</v>
      </c>
      <c r="J29" s="12">
        <v>13.615371</v>
      </c>
      <c r="K29" s="12">
        <v>15.278954000000001</v>
      </c>
      <c r="L29" s="12">
        <v>41.259236000000001</v>
      </c>
      <c r="M29" s="12">
        <v>25.957198999999999</v>
      </c>
      <c r="N29" s="12">
        <v>12.389658000000001</v>
      </c>
      <c r="O29" s="12">
        <v>6.3244189999999998</v>
      </c>
      <c r="P29" s="12">
        <v>26.885795000000002</v>
      </c>
      <c r="Q29" s="12">
        <v>456.76483300000001</v>
      </c>
      <c r="R29" s="15">
        <v>64.869495000000001</v>
      </c>
      <c r="S29" s="15">
        <v>784.71164799999997</v>
      </c>
      <c r="T29" s="15">
        <v>849.26161392083361</v>
      </c>
      <c r="AP29" s="12">
        <f t="shared" si="6"/>
        <v>1.3952281906510811</v>
      </c>
      <c r="AQ29" s="12">
        <f t="shared" si="7"/>
        <v>0.90917386623605645</v>
      </c>
      <c r="AU29" s="12">
        <f t="shared" si="8"/>
        <v>0.92822954840947614</v>
      </c>
      <c r="AV29" s="12">
        <f t="shared" si="0"/>
        <v>0.32999571295988128</v>
      </c>
      <c r="AW29" s="12">
        <f t="shared" si="1"/>
        <v>0.37031596998063659</v>
      </c>
      <c r="AX29" s="12">
        <f t="shared" si="2"/>
        <v>0.96546146394406407</v>
      </c>
      <c r="AY29" s="12">
        <f t="shared" si="3"/>
        <v>0.46082542844650864</v>
      </c>
      <c r="AZ29" s="12">
        <f t="shared" si="4"/>
        <v>0.23523273163393529</v>
      </c>
    </row>
    <row r="30" spans="1:52" x14ac:dyDescent="0.55000000000000004">
      <c r="A30" s="12" t="s">
        <v>19</v>
      </c>
      <c r="B30" s="12" t="s">
        <v>20</v>
      </c>
      <c r="C30" s="12" t="s">
        <v>8</v>
      </c>
      <c r="D30" s="12" t="s">
        <v>9</v>
      </c>
      <c r="E30" s="12">
        <v>1644</v>
      </c>
      <c r="F30" s="12">
        <v>69.000200000000007</v>
      </c>
      <c r="G30" s="12">
        <v>39.735256</v>
      </c>
      <c r="H30" s="14">
        <f t="shared" si="5"/>
        <v>65324.760863999996</v>
      </c>
      <c r="I30" s="12">
        <v>52.025120999999999</v>
      </c>
      <c r="J30" s="12">
        <v>21.291087000000001</v>
      </c>
      <c r="K30" s="12">
        <v>17.759540999999999</v>
      </c>
      <c r="L30" s="12">
        <v>56.218527999999999</v>
      </c>
      <c r="M30" s="12">
        <v>44.398736</v>
      </c>
      <c r="N30" s="12">
        <v>17.351341000000001</v>
      </c>
      <c r="O30" s="12">
        <v>12.730338</v>
      </c>
      <c r="P30" s="12">
        <v>48.125673999999997</v>
      </c>
      <c r="Q30" s="12">
        <v>614.49905799999999</v>
      </c>
      <c r="R30" s="15">
        <v>223.66899100000001</v>
      </c>
      <c r="S30" s="15">
        <v>1264.567213</v>
      </c>
      <c r="T30" s="15">
        <v>1340.3266814084725</v>
      </c>
      <c r="AP30" s="12">
        <f t="shared" si="6"/>
        <v>1.4148273764739303</v>
      </c>
      <c r="AQ30" s="12">
        <f t="shared" si="7"/>
        <v>1.2111580204743111</v>
      </c>
      <c r="AU30" s="12">
        <f t="shared" si="8"/>
        <v>0.92540880828469929</v>
      </c>
      <c r="AV30" s="12">
        <f t="shared" si="0"/>
        <v>0.3787201080754018</v>
      </c>
      <c r="AW30" s="12">
        <f t="shared" si="1"/>
        <v>0.31590192116022675</v>
      </c>
      <c r="AX30" s="12">
        <f t="shared" si="2"/>
        <v>0.92255821705478869</v>
      </c>
      <c r="AY30" s="12">
        <f t="shared" si="3"/>
        <v>0.36054229598945464</v>
      </c>
      <c r="AZ30" s="12">
        <f t="shared" si="4"/>
        <v>0.26452279920277066</v>
      </c>
    </row>
    <row r="31" spans="1:52" x14ac:dyDescent="0.55000000000000004">
      <c r="A31" s="12" t="s">
        <v>487</v>
      </c>
      <c r="B31" s="12" t="s">
        <v>488</v>
      </c>
      <c r="C31" s="12" t="s">
        <v>485</v>
      </c>
      <c r="D31" s="12" t="s">
        <v>9</v>
      </c>
      <c r="E31" s="12">
        <v>2216</v>
      </c>
      <c r="F31" s="12">
        <v>71.21714399999999</v>
      </c>
      <c r="G31" s="12">
        <v>30.291491000000001</v>
      </c>
      <c r="H31" s="14">
        <f t="shared" si="5"/>
        <v>67125.944056000008</v>
      </c>
      <c r="I31" s="12">
        <v>87.306184000000002</v>
      </c>
      <c r="J31" s="12">
        <v>29.588899999999999</v>
      </c>
      <c r="K31" s="12">
        <v>25.399609000000002</v>
      </c>
      <c r="L31" s="12">
        <v>93.710933999999995</v>
      </c>
      <c r="M31" s="12">
        <v>42.826318999999998</v>
      </c>
      <c r="N31" s="12">
        <v>15.547338999999999</v>
      </c>
      <c r="O31" s="12">
        <v>15.946153000000001</v>
      </c>
      <c r="P31" s="12">
        <v>46.778931999999998</v>
      </c>
      <c r="Q31" s="12">
        <v>606.53304400000002</v>
      </c>
      <c r="R31" s="15">
        <v>158.38488100000001</v>
      </c>
      <c r="S31" s="15">
        <v>2525.9053290000002</v>
      </c>
      <c r="T31" s="15">
        <v>2555.6016581181111</v>
      </c>
      <c r="AP31" s="12">
        <f t="shared" si="6"/>
        <v>3.0936388704009317</v>
      </c>
      <c r="AQ31" s="12">
        <f t="shared" si="7"/>
        <v>1.5442928180722433</v>
      </c>
      <c r="AU31" s="12">
        <f t="shared" si="8"/>
        <v>0.93165418669287836</v>
      </c>
      <c r="AV31" s="12">
        <f t="shared" si="0"/>
        <v>0.31574650616543848</v>
      </c>
      <c r="AW31" s="12">
        <f t="shared" si="1"/>
        <v>0.27104210699682069</v>
      </c>
      <c r="AX31" s="12">
        <f t="shared" si="2"/>
        <v>0.91550441981018293</v>
      </c>
      <c r="AY31" s="12">
        <f t="shared" si="3"/>
        <v>0.33235771607611736</v>
      </c>
      <c r="AZ31" s="12">
        <f t="shared" si="4"/>
        <v>0.34088322067720572</v>
      </c>
    </row>
    <row r="32" spans="1:52" x14ac:dyDescent="0.55000000000000004">
      <c r="A32" s="12" t="s">
        <v>21</v>
      </c>
      <c r="B32" s="12" t="s">
        <v>22</v>
      </c>
      <c r="C32" s="12" t="s">
        <v>8</v>
      </c>
      <c r="D32" s="12" t="s">
        <v>9</v>
      </c>
      <c r="E32" s="12">
        <v>1586</v>
      </c>
      <c r="F32" s="12">
        <v>69.943708999999998</v>
      </c>
      <c r="G32" s="12">
        <v>38.649790000000003</v>
      </c>
      <c r="H32" s="14">
        <f t="shared" si="5"/>
        <v>61298.566940000004</v>
      </c>
      <c r="I32" s="12">
        <v>61.977767999999998</v>
      </c>
      <c r="J32" s="12">
        <v>12.977299</v>
      </c>
      <c r="K32" s="12">
        <v>24.651796000000001</v>
      </c>
      <c r="L32" s="12">
        <v>66.028035000000003</v>
      </c>
      <c r="M32" s="12">
        <v>43.165027000000002</v>
      </c>
      <c r="N32" s="12">
        <v>15.020104</v>
      </c>
      <c r="O32" s="12">
        <v>11.934234999999999</v>
      </c>
      <c r="P32" s="12">
        <v>45.205559999999998</v>
      </c>
      <c r="Q32" s="12">
        <v>423.55979000000002</v>
      </c>
      <c r="R32" s="15">
        <v>1569.0361009999999</v>
      </c>
      <c r="S32" s="15">
        <v>1848.8098230000001</v>
      </c>
      <c r="T32" s="15">
        <v>1855.6603135986777</v>
      </c>
      <c r="AP32" s="12">
        <f t="shared" si="6"/>
        <v>1.7083672382178532</v>
      </c>
      <c r="AQ32" s="12">
        <f t="shared" si="7"/>
        <v>1.1696198090597645</v>
      </c>
      <c r="AU32" s="12">
        <f t="shared" si="8"/>
        <v>0.93865837443140621</v>
      </c>
      <c r="AV32" s="12">
        <f t="shared" si="0"/>
        <v>0.19654225663386771</v>
      </c>
      <c r="AW32" s="12">
        <f t="shared" si="1"/>
        <v>0.37335347023427246</v>
      </c>
      <c r="AX32" s="12">
        <f t="shared" si="2"/>
        <v>0.95486101709612714</v>
      </c>
      <c r="AY32" s="12">
        <f t="shared" si="3"/>
        <v>0.33226231463563333</v>
      </c>
      <c r="AZ32" s="12">
        <f t="shared" si="4"/>
        <v>0.26399927354068836</v>
      </c>
    </row>
    <row r="33" spans="1:52" x14ac:dyDescent="0.55000000000000004">
      <c r="A33" s="12" t="s">
        <v>23</v>
      </c>
      <c r="B33" s="12" t="s">
        <v>24</v>
      </c>
      <c r="C33" s="12" t="s">
        <v>8</v>
      </c>
      <c r="D33" s="12" t="s">
        <v>9</v>
      </c>
      <c r="E33" s="12">
        <v>1538</v>
      </c>
      <c r="F33" s="12">
        <v>69.972559000000004</v>
      </c>
      <c r="G33" s="12">
        <v>77.176965999999993</v>
      </c>
      <c r="H33" s="14">
        <f t="shared" si="5"/>
        <v>118698.17370799999</v>
      </c>
      <c r="I33" s="12">
        <v>79.981238000000005</v>
      </c>
      <c r="J33" s="12">
        <v>21.250064999999999</v>
      </c>
      <c r="K33" s="12">
        <v>35.553389000000003</v>
      </c>
      <c r="L33" s="12">
        <v>87.008298999999994</v>
      </c>
      <c r="M33" s="12">
        <v>46.870350000000002</v>
      </c>
      <c r="N33" s="12">
        <v>18.127036</v>
      </c>
      <c r="O33" s="12">
        <v>9.6821629999999992</v>
      </c>
      <c r="P33" s="12">
        <v>47.282226999999999</v>
      </c>
      <c r="Q33" s="12">
        <v>565.38275499999997</v>
      </c>
      <c r="R33" s="15">
        <v>2514.1204950000001</v>
      </c>
      <c r="S33" s="15">
        <v>297.40767099999999</v>
      </c>
      <c r="T33" s="15">
        <v>2530.6132116795197</v>
      </c>
      <c r="AP33" s="12">
        <f t="shared" si="6"/>
        <v>1.1273868812101269</v>
      </c>
      <c r="AQ33" s="12">
        <f t="shared" si="7"/>
        <v>0.6126468744573349</v>
      </c>
      <c r="AU33" s="12">
        <f t="shared" si="8"/>
        <v>0.91923688796628478</v>
      </c>
      <c r="AV33" s="12">
        <f t="shared" si="0"/>
        <v>0.24423032336260247</v>
      </c>
      <c r="AW33" s="12">
        <f t="shared" si="1"/>
        <v>0.40862066502414907</v>
      </c>
      <c r="AX33" s="12">
        <f t="shared" si="2"/>
        <v>0.99128896783986087</v>
      </c>
      <c r="AY33" s="12">
        <f t="shared" si="3"/>
        <v>0.38337948844922215</v>
      </c>
      <c r="AZ33" s="12">
        <f t="shared" si="4"/>
        <v>0.20477383605471883</v>
      </c>
    </row>
    <row r="34" spans="1:52" x14ac:dyDescent="0.55000000000000004">
      <c r="A34" s="12" t="s">
        <v>25</v>
      </c>
      <c r="B34" s="12" t="s">
        <v>26</v>
      </c>
      <c r="C34" s="12" t="s">
        <v>8</v>
      </c>
      <c r="D34" s="12" t="s">
        <v>9</v>
      </c>
      <c r="E34" s="12">
        <v>1657</v>
      </c>
      <c r="F34" s="12">
        <v>70.672808000000003</v>
      </c>
      <c r="G34" s="12">
        <v>53.670743999999999</v>
      </c>
      <c r="H34" s="14">
        <f t="shared" si="5"/>
        <v>88932.422808000003</v>
      </c>
      <c r="I34" s="12">
        <v>43.694954000000003</v>
      </c>
      <c r="J34" s="12">
        <v>14.026657</v>
      </c>
      <c r="K34" s="12">
        <v>19.815414000000001</v>
      </c>
      <c r="L34" s="12">
        <v>48.109662999999998</v>
      </c>
      <c r="M34" s="12">
        <v>42.909305000000003</v>
      </c>
      <c r="N34" s="12">
        <v>14.670116</v>
      </c>
      <c r="O34" s="12">
        <v>14.491102</v>
      </c>
      <c r="P34" s="12">
        <v>45.315784000000001</v>
      </c>
      <c r="Q34" s="12">
        <v>704.45898599999998</v>
      </c>
      <c r="R34" s="15">
        <v>1271.7795309999999</v>
      </c>
      <c r="S34" s="15">
        <v>73.064671000000004</v>
      </c>
      <c r="T34" s="15">
        <v>1287.300330474676</v>
      </c>
      <c r="AP34" s="12">
        <f t="shared" si="6"/>
        <v>0.89638524481792159</v>
      </c>
      <c r="AQ34" s="12">
        <f t="shared" si="7"/>
        <v>0.84432934263031645</v>
      </c>
      <c r="AU34" s="12">
        <f t="shared" si="8"/>
        <v>0.90823654283340138</v>
      </c>
      <c r="AV34" s="12">
        <f t="shared" si="0"/>
        <v>0.29155591881822163</v>
      </c>
      <c r="AW34" s="12">
        <f t="shared" si="1"/>
        <v>0.41188012478906788</v>
      </c>
      <c r="AX34" s="12">
        <f t="shared" si="2"/>
        <v>0.94689534666331721</v>
      </c>
      <c r="AY34" s="12">
        <f t="shared" si="3"/>
        <v>0.32373082191405977</v>
      </c>
      <c r="AZ34" s="12">
        <f t="shared" si="4"/>
        <v>0.31978045442179703</v>
      </c>
    </row>
    <row r="35" spans="1:52" x14ac:dyDescent="0.55000000000000004">
      <c r="A35" s="12" t="s">
        <v>27</v>
      </c>
      <c r="B35" s="12" t="s">
        <v>28</v>
      </c>
      <c r="C35" s="12" t="s">
        <v>8</v>
      </c>
      <c r="D35" s="12" t="s">
        <v>9</v>
      </c>
      <c r="E35" s="12">
        <v>1800</v>
      </c>
      <c r="F35" s="12">
        <v>67.394908999999998</v>
      </c>
      <c r="G35" s="12">
        <v>38.079225999999998</v>
      </c>
      <c r="H35" s="14">
        <f t="shared" si="5"/>
        <v>68542.606799999994</v>
      </c>
      <c r="I35" s="12">
        <v>50.394795000000002</v>
      </c>
      <c r="J35" s="12">
        <v>16.137115000000001</v>
      </c>
      <c r="K35" s="12">
        <v>24.136382000000001</v>
      </c>
      <c r="L35" s="12">
        <v>55.331404999999997</v>
      </c>
      <c r="M35" s="12">
        <v>48.371237999999998</v>
      </c>
      <c r="N35" s="12">
        <v>18.965467</v>
      </c>
      <c r="O35" s="12">
        <v>7.9103579999999996</v>
      </c>
      <c r="P35" s="12">
        <v>51.552919000000003</v>
      </c>
      <c r="Q35" s="12">
        <v>302.136571</v>
      </c>
      <c r="R35" s="15">
        <v>218.739529</v>
      </c>
      <c r="S35" s="15">
        <v>1518.3483040000001</v>
      </c>
      <c r="T35" s="15">
        <v>1524.8385387993064</v>
      </c>
      <c r="AP35" s="12">
        <f t="shared" si="6"/>
        <v>1.4530601278502877</v>
      </c>
      <c r="AQ35" s="12">
        <f t="shared" si="7"/>
        <v>1.3538331635207081</v>
      </c>
      <c r="AU35" s="12">
        <f t="shared" si="8"/>
        <v>0.91078104739975441</v>
      </c>
      <c r="AV35" s="12">
        <f t="shared" si="0"/>
        <v>0.29164477207835227</v>
      </c>
      <c r="AW35" s="12">
        <f t="shared" si="1"/>
        <v>0.43621487652446206</v>
      </c>
      <c r="AX35" s="12">
        <f t="shared" si="2"/>
        <v>0.93828320371151042</v>
      </c>
      <c r="AY35" s="12">
        <f t="shared" si="3"/>
        <v>0.36788347523056841</v>
      </c>
      <c r="AZ35" s="12">
        <f t="shared" si="4"/>
        <v>0.15344151511575899</v>
      </c>
    </row>
    <row r="36" spans="1:52" x14ac:dyDescent="0.55000000000000004">
      <c r="A36" s="12" t="s">
        <v>29</v>
      </c>
      <c r="B36" s="12" t="s">
        <v>30</v>
      </c>
      <c r="C36" s="12" t="s">
        <v>8</v>
      </c>
      <c r="D36" s="12" t="s">
        <v>9</v>
      </c>
      <c r="E36" s="12">
        <v>1690</v>
      </c>
      <c r="F36" s="12">
        <v>73.151397000000003</v>
      </c>
      <c r="G36" s="12">
        <v>39.848762000000001</v>
      </c>
      <c r="H36" s="14">
        <f t="shared" si="5"/>
        <v>67344.407779999994</v>
      </c>
      <c r="I36" s="12">
        <v>44.512658000000002</v>
      </c>
      <c r="J36" s="12">
        <v>14.109515</v>
      </c>
      <c r="K36" s="12">
        <v>14.744401</v>
      </c>
      <c r="L36" s="12">
        <v>45.199556999999999</v>
      </c>
      <c r="M36" s="12">
        <v>43.041032999999999</v>
      </c>
      <c r="N36" s="12">
        <v>17.480388999999999</v>
      </c>
      <c r="O36" s="12">
        <v>14.681293</v>
      </c>
      <c r="P36" s="12">
        <v>46.550033999999997</v>
      </c>
      <c r="Q36" s="12">
        <v>322.62562800000001</v>
      </c>
      <c r="R36" s="15">
        <v>1011.091171</v>
      </c>
      <c r="S36" s="15">
        <v>14.177752999999999</v>
      </c>
      <c r="T36" s="15">
        <v>1011.1037920176832</v>
      </c>
      <c r="AP36" s="12">
        <f t="shared" si="6"/>
        <v>1.1342775717850406</v>
      </c>
      <c r="AQ36" s="12">
        <f t="shared" si="7"/>
        <v>1.1681676334135549</v>
      </c>
      <c r="AU36" s="12">
        <f t="shared" si="8"/>
        <v>0.98480297052468901</v>
      </c>
      <c r="AV36" s="12">
        <f t="shared" si="0"/>
        <v>0.31216047095328836</v>
      </c>
      <c r="AW36" s="12">
        <f t="shared" si="1"/>
        <v>0.32620675906182001</v>
      </c>
      <c r="AX36" s="12">
        <f t="shared" si="2"/>
        <v>0.9246187231571088</v>
      </c>
      <c r="AY36" s="12">
        <f t="shared" si="3"/>
        <v>0.37551828640984453</v>
      </c>
      <c r="AZ36" s="12">
        <f t="shared" si="4"/>
        <v>0.31538737436797576</v>
      </c>
    </row>
    <row r="37" spans="1:52" x14ac:dyDescent="0.55000000000000004">
      <c r="A37" s="12" t="s">
        <v>31</v>
      </c>
      <c r="B37" s="12" t="s">
        <v>32</v>
      </c>
      <c r="C37" s="12" t="s">
        <v>8</v>
      </c>
      <c r="D37" s="12" t="s">
        <v>9</v>
      </c>
      <c r="E37" s="12">
        <v>1674</v>
      </c>
      <c r="F37" s="12">
        <v>69.76217299999999</v>
      </c>
      <c r="G37" s="12">
        <v>41.824460000000002</v>
      </c>
      <c r="H37" s="14">
        <f t="shared" si="5"/>
        <v>70014.146040000007</v>
      </c>
      <c r="I37" s="12">
        <v>36.024608000000001</v>
      </c>
      <c r="J37" s="12">
        <v>17.972289</v>
      </c>
      <c r="K37" s="12">
        <v>21.457008999999999</v>
      </c>
      <c r="L37" s="12">
        <v>40.832343000000002</v>
      </c>
      <c r="M37" s="12">
        <v>43.657207999999997</v>
      </c>
      <c r="N37" s="12">
        <v>18.136434000000001</v>
      </c>
      <c r="O37" s="12">
        <v>15.806964000000001</v>
      </c>
      <c r="P37" s="12">
        <v>48.925294999999998</v>
      </c>
      <c r="Q37" s="12">
        <v>625.60720500000002</v>
      </c>
      <c r="R37" s="15">
        <v>1976.418287</v>
      </c>
      <c r="S37" s="15">
        <v>1124.99638</v>
      </c>
      <c r="T37" s="15">
        <v>2032.4242857080435</v>
      </c>
      <c r="AP37" s="12">
        <f t="shared" si="6"/>
        <v>0.97627902428387603</v>
      </c>
      <c r="AQ37" s="12">
        <f t="shared" si="7"/>
        <v>1.1697770873790121</v>
      </c>
      <c r="AU37" s="12">
        <f t="shared" si="8"/>
        <v>0.88225669538483253</v>
      </c>
      <c r="AV37" s="12">
        <f t="shared" si="0"/>
        <v>0.44014836474115626</v>
      </c>
      <c r="AW37" s="12">
        <f t="shared" si="1"/>
        <v>0.5254905161822333</v>
      </c>
      <c r="AX37" s="12">
        <f t="shared" si="2"/>
        <v>0.89232385824142701</v>
      </c>
      <c r="AY37" s="12">
        <f t="shared" si="3"/>
        <v>0.37069646692983665</v>
      </c>
      <c r="AZ37" s="12">
        <f t="shared" si="4"/>
        <v>0.32308367277090516</v>
      </c>
    </row>
    <row r="38" spans="1:52" x14ac:dyDescent="0.55000000000000004">
      <c r="A38" s="12" t="s">
        <v>33</v>
      </c>
      <c r="B38" s="12" t="s">
        <v>34</v>
      </c>
      <c r="C38" s="12" t="s">
        <v>8</v>
      </c>
      <c r="D38" s="12" t="s">
        <v>9</v>
      </c>
      <c r="E38" s="12">
        <v>1742</v>
      </c>
      <c r="F38" s="12">
        <v>70.245531999999997</v>
      </c>
      <c r="G38" s="12">
        <v>36.131751000000001</v>
      </c>
      <c r="H38" s="14">
        <f t="shared" si="5"/>
        <v>62941.510242000004</v>
      </c>
      <c r="I38" s="12">
        <v>41.006405000000001</v>
      </c>
      <c r="J38" s="12">
        <v>14.224303000000001</v>
      </c>
      <c r="K38" s="12">
        <v>24.242381999999999</v>
      </c>
      <c r="L38" s="12">
        <v>48.1297</v>
      </c>
      <c r="M38" s="12">
        <v>39.310706000000003</v>
      </c>
      <c r="N38" s="12">
        <v>12.100061999999999</v>
      </c>
      <c r="O38" s="12">
        <v>9.2842459999999996</v>
      </c>
      <c r="P38" s="12">
        <v>40.736539</v>
      </c>
      <c r="Q38" s="12">
        <v>613.07293700000002</v>
      </c>
      <c r="R38" s="15">
        <v>255.846645</v>
      </c>
      <c r="S38" s="15">
        <v>1230.901226</v>
      </c>
      <c r="T38" s="15">
        <v>1259.5105243060714</v>
      </c>
      <c r="AP38" s="12">
        <f t="shared" si="6"/>
        <v>1.3320611004985614</v>
      </c>
      <c r="AQ38" s="12">
        <f t="shared" si="7"/>
        <v>1.127444363269303</v>
      </c>
      <c r="AU38" s="12">
        <f t="shared" si="8"/>
        <v>0.85199793474715202</v>
      </c>
      <c r="AV38" s="12">
        <f t="shared" si="0"/>
        <v>0.29554106923583567</v>
      </c>
      <c r="AW38" s="12">
        <f t="shared" si="1"/>
        <v>0.50368861638447782</v>
      </c>
      <c r="AX38" s="12">
        <f t="shared" si="2"/>
        <v>0.96499867109476345</v>
      </c>
      <c r="AY38" s="12">
        <f t="shared" si="3"/>
        <v>0.29703215582452891</v>
      </c>
      <c r="AZ38" s="12">
        <f t="shared" si="4"/>
        <v>0.22790954332178293</v>
      </c>
    </row>
    <row r="39" spans="1:52" x14ac:dyDescent="0.55000000000000004">
      <c r="A39" s="12" t="s">
        <v>35</v>
      </c>
      <c r="B39" s="12" t="s">
        <v>36</v>
      </c>
      <c r="C39" s="12" t="s">
        <v>8</v>
      </c>
      <c r="D39" s="12" t="s">
        <v>9</v>
      </c>
      <c r="E39" s="12">
        <v>1745</v>
      </c>
      <c r="F39" s="12">
        <v>74.309810999999996</v>
      </c>
      <c r="G39" s="12">
        <v>44.567003999999997</v>
      </c>
      <c r="H39" s="14">
        <f t="shared" si="5"/>
        <v>77769.421979999999</v>
      </c>
      <c r="I39" s="12">
        <v>102.09313299999999</v>
      </c>
      <c r="J39" s="12">
        <v>20.957671000000001</v>
      </c>
      <c r="K39" s="12">
        <v>22.584589999999999</v>
      </c>
      <c r="L39" s="12">
        <v>103.78941</v>
      </c>
      <c r="M39" s="12">
        <v>57.589666999999999</v>
      </c>
      <c r="N39" s="12">
        <v>15.670263</v>
      </c>
      <c r="O39" s="12">
        <v>22.79325</v>
      </c>
      <c r="P39" s="12">
        <v>60.591096999999998</v>
      </c>
      <c r="Q39" s="12">
        <v>1858.422294</v>
      </c>
      <c r="R39" s="15">
        <v>1598.3947169999999</v>
      </c>
      <c r="S39" s="15">
        <v>46.661472000000003</v>
      </c>
      <c r="T39" s="15">
        <v>2347.6239328695342</v>
      </c>
      <c r="AP39" s="12">
        <f t="shared" si="6"/>
        <v>2.328839739821865</v>
      </c>
      <c r="AQ39" s="12">
        <f t="shared" si="7"/>
        <v>1.3595505993627035</v>
      </c>
      <c r="AU39" s="12">
        <f t="shared" si="8"/>
        <v>0.98365655031664589</v>
      </c>
      <c r="AV39" s="12">
        <f t="shared" si="0"/>
        <v>0.2019249459072944</v>
      </c>
      <c r="AW39" s="12">
        <f t="shared" si="1"/>
        <v>0.21760013858832031</v>
      </c>
      <c r="AX39" s="12">
        <f t="shared" si="2"/>
        <v>0.95046417462948396</v>
      </c>
      <c r="AY39" s="12">
        <f t="shared" si="3"/>
        <v>0.25862319343714807</v>
      </c>
      <c r="AZ39" s="12">
        <f t="shared" si="4"/>
        <v>0.37618150402525308</v>
      </c>
    </row>
    <row r="40" spans="1:52" x14ac:dyDescent="0.55000000000000004">
      <c r="A40" s="12" t="s">
        <v>37</v>
      </c>
      <c r="B40" s="12" t="s">
        <v>38</v>
      </c>
      <c r="C40" s="12" t="s">
        <v>8</v>
      </c>
      <c r="D40" s="12" t="s">
        <v>9</v>
      </c>
      <c r="E40" s="12">
        <v>1732</v>
      </c>
      <c r="F40" s="12">
        <v>68.981820999999997</v>
      </c>
      <c r="G40" s="12">
        <v>37.607621999999999</v>
      </c>
      <c r="H40" s="14">
        <f t="shared" si="5"/>
        <v>65136.401303999999</v>
      </c>
      <c r="I40" s="12">
        <v>36.020130000000002</v>
      </c>
      <c r="J40" s="12">
        <v>27.302211</v>
      </c>
      <c r="K40" s="12">
        <v>32.398516000000001</v>
      </c>
      <c r="L40" s="12">
        <v>42.758420000000001</v>
      </c>
      <c r="M40" s="12">
        <v>35.602485000000001</v>
      </c>
      <c r="N40" s="12">
        <v>15.662077999999999</v>
      </c>
      <c r="O40" s="12">
        <v>16.687825</v>
      </c>
      <c r="P40" s="12">
        <v>38.637152999999998</v>
      </c>
      <c r="Q40" s="12">
        <v>502.677097</v>
      </c>
      <c r="R40" s="15">
        <v>2287.9021910000001</v>
      </c>
      <c r="S40" s="15">
        <v>1689.9740019999999</v>
      </c>
      <c r="T40" s="15">
        <v>2287.9617619046135</v>
      </c>
      <c r="AP40" s="12">
        <f t="shared" si="6"/>
        <v>1.1369615446570911</v>
      </c>
      <c r="AQ40" s="12">
        <f t="shared" si="7"/>
        <v>1.0273755942345941</v>
      </c>
      <c r="AU40" s="12">
        <f t="shared" si="8"/>
        <v>0.8424102200221617</v>
      </c>
      <c r="AV40" s="12">
        <f t="shared" si="0"/>
        <v>0.63852244774245637</v>
      </c>
      <c r="AW40" s="12">
        <f t="shared" si="1"/>
        <v>0.75771078538449266</v>
      </c>
      <c r="AX40" s="12">
        <f t="shared" si="2"/>
        <v>0.92145725643915855</v>
      </c>
      <c r="AY40" s="12">
        <f t="shared" si="3"/>
        <v>0.40536314878065682</v>
      </c>
      <c r="AZ40" s="12">
        <f t="shared" si="4"/>
        <v>0.43191135226759592</v>
      </c>
    </row>
    <row r="41" spans="1:52" x14ac:dyDescent="0.55000000000000004">
      <c r="A41" s="12" t="s">
        <v>39</v>
      </c>
      <c r="B41" s="12" t="s">
        <v>24</v>
      </c>
      <c r="C41" s="12" t="s">
        <v>8</v>
      </c>
      <c r="D41" s="12" t="s">
        <v>9</v>
      </c>
      <c r="E41" s="12">
        <v>1543</v>
      </c>
      <c r="F41" s="12">
        <v>70.63625900000001</v>
      </c>
      <c r="G41" s="12">
        <v>38.256742000000003</v>
      </c>
      <c r="H41" s="14">
        <f t="shared" si="5"/>
        <v>59030.152906000003</v>
      </c>
      <c r="I41" s="12">
        <v>40.092950000000002</v>
      </c>
      <c r="J41" s="12">
        <v>13.009467000000001</v>
      </c>
      <c r="K41" s="12">
        <v>18.893932</v>
      </c>
      <c r="L41" s="12">
        <v>42.253861999999998</v>
      </c>
      <c r="M41" s="12">
        <v>31.590852000000002</v>
      </c>
      <c r="N41" s="12">
        <v>17.677538999999999</v>
      </c>
      <c r="O41" s="12">
        <v>9.4896100000000008</v>
      </c>
      <c r="P41" s="12">
        <v>35.498823000000002</v>
      </c>
      <c r="Q41" s="12">
        <v>493.770105</v>
      </c>
      <c r="R41" s="15">
        <v>916.487752</v>
      </c>
      <c r="S41" s="15">
        <v>122.092281</v>
      </c>
      <c r="T41" s="15">
        <v>928.32182677108108</v>
      </c>
      <c r="AP41" s="12">
        <f t="shared" si="6"/>
        <v>1.1044814532298646</v>
      </c>
      <c r="AQ41" s="12">
        <f t="shared" si="7"/>
        <v>0.92791024912680753</v>
      </c>
      <c r="AU41" s="12">
        <f t="shared" si="8"/>
        <v>0.94885882857287707</v>
      </c>
      <c r="AV41" s="12">
        <f t="shared" si="0"/>
        <v>0.30788823516297759</v>
      </c>
      <c r="AW41" s="12">
        <f t="shared" si="1"/>
        <v>0.44715278333611258</v>
      </c>
      <c r="AX41" s="12">
        <f t="shared" si="2"/>
        <v>0.88991265992114721</v>
      </c>
      <c r="AY41" s="12">
        <f t="shared" si="3"/>
        <v>0.49797535540826238</v>
      </c>
      <c r="AZ41" s="12">
        <f t="shared" si="4"/>
        <v>0.26732182078262146</v>
      </c>
    </row>
    <row r="42" spans="1:52" x14ac:dyDescent="0.55000000000000004">
      <c r="A42" s="12" t="s">
        <v>350</v>
      </c>
      <c r="B42" s="12" t="s">
        <v>351</v>
      </c>
      <c r="C42" s="12" t="s">
        <v>322</v>
      </c>
      <c r="D42" s="12" t="s">
        <v>9</v>
      </c>
      <c r="E42" s="12">
        <v>1704</v>
      </c>
      <c r="F42" s="12">
        <v>68.994654999999995</v>
      </c>
      <c r="G42" s="12">
        <v>40.540019000000001</v>
      </c>
      <c r="H42" s="14">
        <f t="shared" si="5"/>
        <v>69080.192376000006</v>
      </c>
      <c r="I42" s="12">
        <v>84.557828000000001</v>
      </c>
      <c r="J42" s="12">
        <v>13.322089999999999</v>
      </c>
      <c r="K42" s="12">
        <v>26.908714</v>
      </c>
      <c r="L42" s="12">
        <v>85.805530000000005</v>
      </c>
      <c r="M42" s="12">
        <v>44.044901000000003</v>
      </c>
      <c r="N42" s="12">
        <v>9.5621189999999991</v>
      </c>
      <c r="O42" s="12">
        <v>9.8499420000000004</v>
      </c>
      <c r="P42" s="12">
        <v>44.988615000000003</v>
      </c>
      <c r="Q42" s="12">
        <v>740.85204899999997</v>
      </c>
      <c r="R42" s="15">
        <v>285.43141800000001</v>
      </c>
      <c r="S42" s="15">
        <v>1545.7028029999999</v>
      </c>
      <c r="T42" s="15">
        <v>1697.6345855800164</v>
      </c>
      <c r="AP42" s="12">
        <f t="shared" si="6"/>
        <v>2.1165636355523167</v>
      </c>
      <c r="AQ42" s="12">
        <f t="shared" si="7"/>
        <v>1.1097334463508761</v>
      </c>
      <c r="AU42" s="12">
        <f t="shared" si="8"/>
        <v>0.98545895585051446</v>
      </c>
      <c r="AV42" s="12">
        <f t="shared" si="0"/>
        <v>0.15525910742582674</v>
      </c>
      <c r="AW42" s="12">
        <f t="shared" si="1"/>
        <v>0.313601163001965</v>
      </c>
      <c r="AX42" s="12">
        <f t="shared" si="2"/>
        <v>0.97902327066525607</v>
      </c>
      <c r="AY42" s="12">
        <f t="shared" si="3"/>
        <v>0.21254530729607921</v>
      </c>
      <c r="AZ42" s="12">
        <f t="shared" si="4"/>
        <v>0.21894299257712202</v>
      </c>
    </row>
    <row r="43" spans="1:52" x14ac:dyDescent="0.55000000000000004">
      <c r="A43" s="12" t="s">
        <v>352</v>
      </c>
      <c r="B43" s="12" t="s">
        <v>353</v>
      </c>
      <c r="C43" s="12" t="s">
        <v>322</v>
      </c>
      <c r="D43" s="12" t="s">
        <v>9</v>
      </c>
      <c r="E43" s="12">
        <v>1635</v>
      </c>
      <c r="F43" s="12">
        <v>68.301371000000003</v>
      </c>
      <c r="G43" s="12">
        <v>62.983054000000003</v>
      </c>
      <c r="H43" s="14">
        <f t="shared" si="5"/>
        <v>102977.29329</v>
      </c>
      <c r="I43" s="12">
        <v>49.958478999999997</v>
      </c>
      <c r="J43" s="12">
        <v>15.416409</v>
      </c>
      <c r="K43" s="12">
        <v>17.882697</v>
      </c>
      <c r="L43" s="12">
        <v>50.846749000000003</v>
      </c>
      <c r="M43" s="12">
        <v>46.981965000000002</v>
      </c>
      <c r="N43" s="12">
        <v>15.252071000000001</v>
      </c>
      <c r="O43" s="12">
        <v>9.6166140000000002</v>
      </c>
      <c r="P43" s="12">
        <v>49.399374999999999</v>
      </c>
      <c r="Q43" s="12">
        <v>504.20581099999998</v>
      </c>
      <c r="R43" s="15">
        <v>551.70793300000003</v>
      </c>
      <c r="S43" s="15">
        <v>1523.0809770000001</v>
      </c>
      <c r="T43" s="15">
        <v>1526.8940755834974</v>
      </c>
      <c r="AP43" s="12">
        <f t="shared" si="6"/>
        <v>0.80730840711534879</v>
      </c>
      <c r="AQ43" s="12">
        <f t="shared" si="7"/>
        <v>0.78432803528390349</v>
      </c>
      <c r="AU43" s="12">
        <f t="shared" si="8"/>
        <v>0.98253044653847965</v>
      </c>
      <c r="AV43" s="12">
        <f t="shared" si="0"/>
        <v>0.30319360240710769</v>
      </c>
      <c r="AW43" s="12">
        <f t="shared" si="1"/>
        <v>0.35169794237975766</v>
      </c>
      <c r="AX43" s="12">
        <f t="shared" si="2"/>
        <v>0.9510639557686712</v>
      </c>
      <c r="AY43" s="12">
        <f t="shared" si="3"/>
        <v>0.30875028277179623</v>
      </c>
      <c r="AZ43" s="12">
        <f t="shared" si="4"/>
        <v>0.19467076253495111</v>
      </c>
    </row>
    <row r="44" spans="1:52" x14ac:dyDescent="0.55000000000000004">
      <c r="A44" s="12" t="s">
        <v>354</v>
      </c>
      <c r="B44" s="12" t="s">
        <v>355</v>
      </c>
      <c r="C44" s="12" t="s">
        <v>322</v>
      </c>
      <c r="D44" s="12" t="s">
        <v>9</v>
      </c>
      <c r="E44" s="12">
        <v>1550</v>
      </c>
      <c r="F44" s="12">
        <v>69.280484000000001</v>
      </c>
      <c r="G44" s="12">
        <v>44.445504</v>
      </c>
      <c r="H44" s="14">
        <f t="shared" si="5"/>
        <v>68890.531199999998</v>
      </c>
      <c r="I44" s="12">
        <v>47.519356999999999</v>
      </c>
      <c r="J44" s="12">
        <v>10.729582000000001</v>
      </c>
      <c r="K44" s="12">
        <v>20.670332999999999</v>
      </c>
      <c r="L44" s="12">
        <v>48.305926999999997</v>
      </c>
      <c r="M44" s="12">
        <v>34.983860999999997</v>
      </c>
      <c r="N44" s="12">
        <v>19.148685</v>
      </c>
      <c r="O44" s="12">
        <v>11.421379</v>
      </c>
      <c r="P44" s="12">
        <v>36.650602999999997</v>
      </c>
      <c r="Q44" s="12">
        <v>339.59434499999998</v>
      </c>
      <c r="R44" s="15">
        <v>28.192477</v>
      </c>
      <c r="S44" s="15">
        <v>1318.506126</v>
      </c>
      <c r="T44" s="15">
        <v>1318.7237883205164</v>
      </c>
      <c r="AP44" s="12">
        <f t="shared" si="6"/>
        <v>1.0868574468184677</v>
      </c>
      <c r="AQ44" s="12">
        <f t="shared" si="7"/>
        <v>0.82461890858521925</v>
      </c>
      <c r="AU44" s="12">
        <f t="shared" si="8"/>
        <v>0.98371690496696196</v>
      </c>
      <c r="AV44" s="12">
        <f t="shared" si="0"/>
        <v>0.22211729835968164</v>
      </c>
      <c r="AW44" s="12">
        <f t="shared" si="1"/>
        <v>0.4279046958357719</v>
      </c>
      <c r="AX44" s="12">
        <f t="shared" si="2"/>
        <v>0.95452347673515769</v>
      </c>
      <c r="AY44" s="12">
        <f t="shared" si="3"/>
        <v>0.52246575588401645</v>
      </c>
      <c r="AZ44" s="12">
        <f t="shared" si="4"/>
        <v>0.31162867906975505</v>
      </c>
    </row>
    <row r="45" spans="1:52" x14ac:dyDescent="0.55000000000000004">
      <c r="A45" s="12" t="s">
        <v>356</v>
      </c>
      <c r="B45" s="12" t="s">
        <v>357</v>
      </c>
      <c r="C45" s="12" t="s">
        <v>322</v>
      </c>
      <c r="D45" s="12" t="s">
        <v>9</v>
      </c>
      <c r="E45" s="12">
        <v>1721</v>
      </c>
      <c r="F45" s="12">
        <v>66.756241000000003</v>
      </c>
      <c r="G45" s="12">
        <v>59.241959000000001</v>
      </c>
      <c r="H45" s="14">
        <f t="shared" si="5"/>
        <v>101955.411439</v>
      </c>
      <c r="I45" s="12">
        <v>50.931516999999999</v>
      </c>
      <c r="J45" s="12">
        <v>14.076592</v>
      </c>
      <c r="K45" s="12">
        <v>22.202631</v>
      </c>
      <c r="L45" s="12">
        <v>53.851964000000002</v>
      </c>
      <c r="M45" s="12">
        <v>57.174183999999997</v>
      </c>
      <c r="N45" s="12">
        <v>12.090234000000001</v>
      </c>
      <c r="O45" s="12">
        <v>13.749159000000001</v>
      </c>
      <c r="P45" s="12">
        <v>58.582377000000001</v>
      </c>
      <c r="Q45" s="12">
        <v>486.86580900000001</v>
      </c>
      <c r="R45" s="15">
        <v>182.544771</v>
      </c>
      <c r="S45" s="15">
        <v>2282.4179049999998</v>
      </c>
      <c r="T45" s="15">
        <v>2307.9706683637719</v>
      </c>
      <c r="AP45" s="12">
        <f t="shared" si="6"/>
        <v>0.9090172727070015</v>
      </c>
      <c r="AQ45" s="12">
        <f t="shared" si="7"/>
        <v>0.98886630335772652</v>
      </c>
      <c r="AU45" s="12">
        <f t="shared" si="8"/>
        <v>0.94576897882498767</v>
      </c>
      <c r="AV45" s="12">
        <f t="shared" si="0"/>
        <v>0.26139421767421517</v>
      </c>
      <c r="AW45" s="12">
        <f t="shared" si="1"/>
        <v>0.41229008843577181</v>
      </c>
      <c r="AX45" s="12">
        <f t="shared" si="2"/>
        <v>0.97596217374382055</v>
      </c>
      <c r="AY45" s="12">
        <f t="shared" si="3"/>
        <v>0.20638005180295091</v>
      </c>
      <c r="AZ45" s="12">
        <f t="shared" si="4"/>
        <v>0.23469786826847261</v>
      </c>
    </row>
    <row r="46" spans="1:52" x14ac:dyDescent="0.55000000000000004">
      <c r="A46" s="12" t="s">
        <v>40</v>
      </c>
      <c r="B46" s="12" t="s">
        <v>41</v>
      </c>
      <c r="C46" s="12" t="s">
        <v>8</v>
      </c>
      <c r="D46" s="12" t="s">
        <v>9</v>
      </c>
      <c r="E46" s="12">
        <v>1734</v>
      </c>
      <c r="F46" s="12">
        <v>70.646870000000007</v>
      </c>
      <c r="G46" s="12">
        <v>39.935662999999998</v>
      </c>
      <c r="H46" s="14">
        <f>E46*G46</f>
        <v>69248.439641999998</v>
      </c>
      <c r="I46" s="12">
        <v>34.847678999999999</v>
      </c>
      <c r="J46" s="12">
        <v>31.550149000000001</v>
      </c>
      <c r="K46" s="12">
        <v>19.943321000000001</v>
      </c>
      <c r="L46" s="12">
        <v>40.544131999999998</v>
      </c>
      <c r="M46" s="12">
        <v>41.207630999999999</v>
      </c>
      <c r="N46" s="12">
        <v>18.875695</v>
      </c>
      <c r="O46" s="12">
        <v>9.4917619999999996</v>
      </c>
      <c r="P46" s="12">
        <v>45.230195999999999</v>
      </c>
      <c r="Q46" s="12">
        <v>683.702135</v>
      </c>
      <c r="R46" s="15">
        <v>2241.7512969999998</v>
      </c>
      <c r="S46" s="15">
        <v>998.44632000000001</v>
      </c>
      <c r="T46" s="15">
        <v>2246.3165656196984</v>
      </c>
      <c r="AP46" s="12">
        <f t="shared" si="6"/>
        <v>1.0152362313353855</v>
      </c>
      <c r="AQ46" s="12">
        <f t="shared" si="7"/>
        <v>1.1325765644606927</v>
      </c>
      <c r="AU46" s="12">
        <f t="shared" si="8"/>
        <v>0.85949993947336201</v>
      </c>
      <c r="AV46" s="12">
        <f t="shared" si="0"/>
        <v>0.77816807127601106</v>
      </c>
      <c r="AW46" s="12">
        <f t="shared" si="1"/>
        <v>0.49189167497777486</v>
      </c>
      <c r="AX46" s="12">
        <f t="shared" si="2"/>
        <v>0.91106461267600958</v>
      </c>
      <c r="AY46" s="12">
        <f t="shared" si="3"/>
        <v>0.41732507637154614</v>
      </c>
      <c r="AZ46" s="12">
        <f t="shared" si="4"/>
        <v>0.20985454053747632</v>
      </c>
    </row>
    <row r="47" spans="1:52" x14ac:dyDescent="0.55000000000000004">
      <c r="A47" s="14" t="s">
        <v>42</v>
      </c>
      <c r="B47" s="12" t="s">
        <v>43</v>
      </c>
      <c r="C47" s="12" t="s">
        <v>8</v>
      </c>
      <c r="D47" s="12" t="s">
        <v>9</v>
      </c>
      <c r="E47" s="18">
        <v>1330</v>
      </c>
      <c r="F47" s="12">
        <v>68.503430999999992</v>
      </c>
      <c r="G47" s="12">
        <v>44.454549</v>
      </c>
      <c r="H47" s="14">
        <f>E47*G47</f>
        <v>59124.550170000002</v>
      </c>
      <c r="I47" s="12">
        <v>40.469712000000001</v>
      </c>
      <c r="J47" s="12">
        <v>16.061263</v>
      </c>
      <c r="K47" s="12">
        <v>25.168837</v>
      </c>
      <c r="L47" s="12">
        <v>44.724474999999998</v>
      </c>
      <c r="M47" s="12">
        <v>38.470739000000002</v>
      </c>
      <c r="N47" s="12">
        <v>21.327196000000001</v>
      </c>
      <c r="O47" s="12">
        <v>14.408384</v>
      </c>
      <c r="P47" s="12">
        <v>44.137829000000004</v>
      </c>
      <c r="Q47" s="12">
        <v>561.49722299999996</v>
      </c>
      <c r="R47" s="15">
        <v>2462.2709789999999</v>
      </c>
      <c r="S47" s="15">
        <v>1332.1546900000001</v>
      </c>
      <c r="T47" s="15">
        <v>2519.921925959095</v>
      </c>
      <c r="AP47" s="12">
        <f t="shared" si="6"/>
        <v>1.0060719545259587</v>
      </c>
      <c r="AQ47" s="12">
        <f t="shared" si="7"/>
        <v>0.99287541979112204</v>
      </c>
      <c r="AU47" s="12">
        <f t="shared" si="8"/>
        <v>0.90486723432751315</v>
      </c>
      <c r="AV47" s="12">
        <f t="shared" si="0"/>
        <v>0.35911574143687547</v>
      </c>
      <c r="AW47" s="12">
        <f t="shared" si="1"/>
        <v>0.56275310107049892</v>
      </c>
      <c r="AX47" s="12">
        <f t="shared" si="2"/>
        <v>0.8716046953736668</v>
      </c>
      <c r="AY47" s="12">
        <f t="shared" si="3"/>
        <v>0.48319540138686928</v>
      </c>
      <c r="AZ47" s="12">
        <f t="shared" si="4"/>
        <v>0.32644070463909763</v>
      </c>
    </row>
    <row r="48" spans="1:52" x14ac:dyDescent="0.55000000000000004">
      <c r="A48" s="12" t="s">
        <v>44</v>
      </c>
      <c r="B48" s="12" t="s">
        <v>45</v>
      </c>
      <c r="C48" s="12" t="s">
        <v>8</v>
      </c>
      <c r="D48" s="12" t="s">
        <v>9</v>
      </c>
      <c r="E48" s="12">
        <v>1297</v>
      </c>
      <c r="F48" s="12">
        <v>67.587586000000002</v>
      </c>
      <c r="G48" s="12">
        <v>52.001717999999997</v>
      </c>
      <c r="H48" s="14">
        <f t="shared" si="5"/>
        <v>67446.228245999999</v>
      </c>
      <c r="I48" s="12">
        <v>41.237721999999998</v>
      </c>
      <c r="J48" s="12">
        <v>12.868797000000001</v>
      </c>
      <c r="K48" s="12">
        <v>25.581866000000002</v>
      </c>
      <c r="L48" s="12">
        <v>42.153903999999997</v>
      </c>
      <c r="M48" s="12">
        <v>51.233964</v>
      </c>
      <c r="N48" s="12">
        <v>15.985535</v>
      </c>
      <c r="O48" s="12">
        <v>18.511783000000001</v>
      </c>
      <c r="P48" s="12">
        <v>52.247191000000001</v>
      </c>
      <c r="Q48" s="12">
        <v>642.248424</v>
      </c>
      <c r="R48" s="15">
        <v>1436.553388</v>
      </c>
      <c r="S48" s="15">
        <v>438.96203200000002</v>
      </c>
      <c r="T48" s="15">
        <v>1440.5295151842663</v>
      </c>
      <c r="AP48" s="12">
        <f t="shared" si="6"/>
        <v>0.81062521818990674</v>
      </c>
      <c r="AQ48" s="12">
        <f t="shared" si="7"/>
        <v>1.0047204786580322</v>
      </c>
      <c r="AU48" s="12">
        <f t="shared" si="8"/>
        <v>0.97826578529950636</v>
      </c>
      <c r="AV48" s="12">
        <f t="shared" si="0"/>
        <v>0.30528126173082337</v>
      </c>
      <c r="AW48" s="12">
        <f t="shared" si="1"/>
        <v>0.60686825115889631</v>
      </c>
      <c r="AX48" s="12">
        <f t="shared" si="2"/>
        <v>0.98060705311410901</v>
      </c>
      <c r="AY48" s="12">
        <f t="shared" si="3"/>
        <v>0.30595970221633545</v>
      </c>
      <c r="AZ48" s="12">
        <f t="shared" si="4"/>
        <v>0.35431154566759387</v>
      </c>
    </row>
    <row r="49" spans="1:52" x14ac:dyDescent="0.55000000000000004">
      <c r="A49" s="12" t="s">
        <v>46</v>
      </c>
      <c r="B49" s="12" t="s">
        <v>47</v>
      </c>
      <c r="C49" s="12" t="s">
        <v>8</v>
      </c>
      <c r="D49" s="12" t="s">
        <v>9</v>
      </c>
      <c r="E49" s="12">
        <v>1568</v>
      </c>
      <c r="F49" s="12">
        <v>70.421459999999996</v>
      </c>
      <c r="G49" s="12">
        <v>36.797459000000003</v>
      </c>
      <c r="H49" s="14">
        <f t="shared" si="5"/>
        <v>57698.415712000002</v>
      </c>
      <c r="I49" s="12">
        <v>56.857056999999998</v>
      </c>
      <c r="J49" s="12">
        <v>12.084630000000001</v>
      </c>
      <c r="K49" s="12">
        <v>17.185072000000002</v>
      </c>
      <c r="L49" s="12">
        <v>57.040621999999999</v>
      </c>
      <c r="M49" s="12">
        <v>40.089517999999998</v>
      </c>
      <c r="N49" s="12">
        <v>12.863671999999999</v>
      </c>
      <c r="O49" s="12">
        <v>9.2872260000000004</v>
      </c>
      <c r="P49" s="12">
        <v>41.299821000000001</v>
      </c>
      <c r="Q49" s="12">
        <v>372.46071599999999</v>
      </c>
      <c r="R49" s="15">
        <v>217.408794</v>
      </c>
      <c r="S49" s="15">
        <v>1669.9479229999999</v>
      </c>
      <c r="T49" s="15">
        <v>1670.6750864033688</v>
      </c>
      <c r="AP49" s="12">
        <f t="shared" si="6"/>
        <v>1.550123936546814</v>
      </c>
      <c r="AQ49" s="12">
        <f t="shared" si="7"/>
        <v>1.1223552419747242</v>
      </c>
      <c r="AU49" s="12">
        <f t="shared" si="8"/>
        <v>0.99678185486827264</v>
      </c>
      <c r="AV49" s="12">
        <f t="shared" si="0"/>
        <v>0.21186006702381333</v>
      </c>
      <c r="AW49" s="12">
        <f t="shared" si="1"/>
        <v>0.30127778059643184</v>
      </c>
      <c r="AX49" s="12">
        <f t="shared" si="2"/>
        <v>0.97069471560179399</v>
      </c>
      <c r="AY49" s="12">
        <f t="shared" si="3"/>
        <v>0.31147040564655232</v>
      </c>
      <c r="AZ49" s="12">
        <f t="shared" si="4"/>
        <v>0.22487327487448433</v>
      </c>
    </row>
    <row r="50" spans="1:52" x14ac:dyDescent="0.55000000000000004">
      <c r="A50" s="12" t="s">
        <v>48</v>
      </c>
      <c r="B50" s="12" t="s">
        <v>36</v>
      </c>
      <c r="C50" s="12" t="s">
        <v>8</v>
      </c>
      <c r="D50" s="12" t="s">
        <v>9</v>
      </c>
      <c r="E50" s="12">
        <v>1720</v>
      </c>
      <c r="F50" s="12">
        <v>75.664417</v>
      </c>
      <c r="G50" s="12">
        <v>49.829411</v>
      </c>
      <c r="H50" s="14">
        <f t="shared" si="5"/>
        <v>85706.586920000002</v>
      </c>
      <c r="I50" s="12">
        <v>48.177430999999999</v>
      </c>
      <c r="J50" s="12">
        <v>12.185074999999999</v>
      </c>
      <c r="K50" s="12">
        <v>21.481632000000001</v>
      </c>
      <c r="L50" s="12">
        <v>49.600920000000002</v>
      </c>
      <c r="M50" s="12">
        <v>56.772933999999999</v>
      </c>
      <c r="N50" s="12">
        <v>16.778324999999999</v>
      </c>
      <c r="O50" s="12">
        <v>14.155618</v>
      </c>
      <c r="P50" s="12">
        <v>58.599609000000001</v>
      </c>
      <c r="Q50" s="12">
        <v>1254.7148729999999</v>
      </c>
      <c r="R50" s="15">
        <v>2159.4414320000001</v>
      </c>
      <c r="S50" s="15">
        <v>1210.8499449999999</v>
      </c>
      <c r="T50" s="15">
        <v>2193.7724122478057</v>
      </c>
      <c r="AP50" s="12">
        <f t="shared" si="6"/>
        <v>0.99541453540359937</v>
      </c>
      <c r="AQ50" s="12">
        <f t="shared" si="7"/>
        <v>1.1760044484571572</v>
      </c>
      <c r="AU50" s="12">
        <f t="shared" si="8"/>
        <v>0.9713011573172432</v>
      </c>
      <c r="AV50" s="12">
        <f t="shared" si="0"/>
        <v>0.24566227803839119</v>
      </c>
      <c r="AW50" s="12">
        <f t="shared" si="1"/>
        <v>0.43308938624525511</v>
      </c>
      <c r="AX50" s="12">
        <f t="shared" si="2"/>
        <v>0.96882786368079687</v>
      </c>
      <c r="AY50" s="12">
        <f t="shared" si="3"/>
        <v>0.28632144968748852</v>
      </c>
      <c r="AZ50" s="12">
        <f t="shared" si="4"/>
        <v>0.24156505890679236</v>
      </c>
    </row>
    <row r="51" spans="1:52" x14ac:dyDescent="0.55000000000000004">
      <c r="A51" s="12" t="s">
        <v>49</v>
      </c>
      <c r="B51" s="12" t="s">
        <v>50</v>
      </c>
      <c r="C51" s="12" t="s">
        <v>51</v>
      </c>
      <c r="D51" s="12" t="s">
        <v>9</v>
      </c>
      <c r="E51" s="12">
        <v>1248</v>
      </c>
      <c r="F51" s="12">
        <v>66.860294999999994</v>
      </c>
      <c r="G51" s="12">
        <v>50.285342</v>
      </c>
      <c r="H51" s="14">
        <f t="shared" si="5"/>
        <v>62756.106816</v>
      </c>
      <c r="I51" s="12">
        <v>41.540526999999997</v>
      </c>
      <c r="J51" s="12">
        <v>27.693617</v>
      </c>
      <c r="K51" s="12">
        <v>25.849937000000001</v>
      </c>
      <c r="L51" s="12">
        <v>47.584401999999997</v>
      </c>
      <c r="M51" s="12">
        <v>44.072536999999997</v>
      </c>
      <c r="N51" s="12">
        <v>18.252670999999999</v>
      </c>
      <c r="O51" s="12">
        <v>16.438746999999999</v>
      </c>
      <c r="P51" s="12">
        <v>48.291640999999998</v>
      </c>
      <c r="Q51" s="12">
        <v>627.44653800000003</v>
      </c>
      <c r="R51" s="15">
        <v>450.367773</v>
      </c>
      <c r="S51" s="15">
        <v>1657.25595</v>
      </c>
      <c r="T51" s="15">
        <v>1771.6235306846609</v>
      </c>
      <c r="AP51" s="12">
        <f t="shared" si="6"/>
        <v>0.94628772734607225</v>
      </c>
      <c r="AQ51" s="12">
        <f t="shared" si="7"/>
        <v>0.96035224340325653</v>
      </c>
      <c r="AU51" s="12">
        <f t="shared" si="8"/>
        <v>0.8729862151046891</v>
      </c>
      <c r="AV51" s="12">
        <f t="shared" si="0"/>
        <v>0.58198938803518008</v>
      </c>
      <c r="AW51" s="12">
        <f t="shared" si="1"/>
        <v>0.54324391845882614</v>
      </c>
      <c r="AX51" s="12">
        <f t="shared" si="2"/>
        <v>0.91263283018276387</v>
      </c>
      <c r="AY51" s="12">
        <f t="shared" si="3"/>
        <v>0.37796750373423837</v>
      </c>
      <c r="AZ51" s="12">
        <f t="shared" si="4"/>
        <v>0.34040564080230779</v>
      </c>
    </row>
    <row r="52" spans="1:52" x14ac:dyDescent="0.55000000000000004">
      <c r="A52" s="12" t="s">
        <v>52</v>
      </c>
      <c r="B52" s="12" t="s">
        <v>45</v>
      </c>
      <c r="C52" s="12" t="s">
        <v>8</v>
      </c>
      <c r="D52" s="12" t="s">
        <v>9</v>
      </c>
      <c r="E52" s="12">
        <v>1279</v>
      </c>
      <c r="F52" s="12">
        <v>71.024285999999989</v>
      </c>
      <c r="G52" s="12">
        <v>40.290927000000003</v>
      </c>
      <c r="H52" s="14">
        <f t="shared" si="5"/>
        <v>51532.095633000004</v>
      </c>
      <c r="I52" s="12">
        <v>43.443924000000003</v>
      </c>
      <c r="J52" s="12">
        <v>17.147789</v>
      </c>
      <c r="K52" s="12">
        <v>24.786313</v>
      </c>
      <c r="L52" s="12">
        <v>46.255136999999998</v>
      </c>
      <c r="M52" s="12">
        <v>44.120010000000001</v>
      </c>
      <c r="N52" s="12">
        <v>15.624784</v>
      </c>
      <c r="O52" s="12">
        <v>10.850312000000001</v>
      </c>
      <c r="P52" s="12">
        <v>46.048186000000001</v>
      </c>
      <c r="Q52" s="12">
        <v>423.547819</v>
      </c>
      <c r="R52" s="15">
        <v>540.78845200000001</v>
      </c>
      <c r="S52" s="15">
        <v>1272.3926750000001</v>
      </c>
      <c r="T52" s="15">
        <v>1272.4057104985641</v>
      </c>
      <c r="AP52" s="12">
        <f t="shared" si="6"/>
        <v>1.1480286119999172</v>
      </c>
      <c r="AQ52" s="12">
        <f t="shared" si="7"/>
        <v>1.1428921950592001</v>
      </c>
      <c r="AU52" s="12">
        <f t="shared" si="8"/>
        <v>0.93922376664888063</v>
      </c>
      <c r="AV52" s="12">
        <f t="shared" si="0"/>
        <v>0.37072182923163755</v>
      </c>
      <c r="AW52" s="12">
        <f t="shared" si="1"/>
        <v>0.53586076288132067</v>
      </c>
      <c r="AX52" s="12">
        <f t="shared" si="2"/>
        <v>0.95812699331956308</v>
      </c>
      <c r="AY52" s="12">
        <f t="shared" si="3"/>
        <v>0.33931377883159175</v>
      </c>
      <c r="AZ52" s="12">
        <f t="shared" si="4"/>
        <v>0.2356295207806883</v>
      </c>
    </row>
    <row r="53" spans="1:52" x14ac:dyDescent="0.55000000000000004">
      <c r="A53" s="12" t="s">
        <v>53</v>
      </c>
      <c r="B53" s="12" t="s">
        <v>54</v>
      </c>
      <c r="C53" s="12" t="s">
        <v>8</v>
      </c>
      <c r="D53" s="12" t="s">
        <v>9</v>
      </c>
      <c r="E53" s="12">
        <v>1849</v>
      </c>
      <c r="F53" s="12">
        <v>76.559345999999991</v>
      </c>
      <c r="G53" s="12">
        <v>53.046540999999998</v>
      </c>
      <c r="H53" s="14">
        <f t="shared" si="5"/>
        <v>98083.054308999999</v>
      </c>
      <c r="I53" s="12">
        <v>132.14009999999999</v>
      </c>
      <c r="J53" s="12">
        <v>15.474985999999999</v>
      </c>
      <c r="K53" s="12">
        <v>30.920573000000001</v>
      </c>
      <c r="L53" s="12">
        <v>135.62388000000001</v>
      </c>
      <c r="M53" s="12">
        <v>43.092936000000002</v>
      </c>
      <c r="N53" s="12">
        <v>22.893443999999999</v>
      </c>
      <c r="O53" s="12">
        <v>6.653842</v>
      </c>
      <c r="P53" s="12">
        <v>48.025039</v>
      </c>
      <c r="Q53" s="12">
        <v>574.68824600000005</v>
      </c>
      <c r="R53" s="15">
        <v>14.092062</v>
      </c>
      <c r="S53" s="15">
        <v>1799.3946759999999</v>
      </c>
      <c r="T53" s="15">
        <v>1803.0976244596498</v>
      </c>
      <c r="AP53" s="12">
        <f t="shared" si="6"/>
        <v>2.5566960152972089</v>
      </c>
      <c r="AQ53" s="12">
        <f t="shared" si="7"/>
        <v>0.90533780515491102</v>
      </c>
      <c r="AU53" s="12">
        <f t="shared" si="8"/>
        <v>0.97431293073166747</v>
      </c>
      <c r="AV53" s="12">
        <f t="shared" si="0"/>
        <v>0.11410222152617959</v>
      </c>
      <c r="AW53" s="12">
        <f t="shared" si="1"/>
        <v>0.22798767444199353</v>
      </c>
      <c r="AX53" s="12">
        <f t="shared" si="2"/>
        <v>0.8973014264496485</v>
      </c>
      <c r="AY53" s="12">
        <f t="shared" si="3"/>
        <v>0.47669808243154155</v>
      </c>
      <c r="AZ53" s="12">
        <f t="shared" si="4"/>
        <v>0.13854943459806457</v>
      </c>
    </row>
    <row r="54" spans="1:52" x14ac:dyDescent="0.55000000000000004">
      <c r="A54" s="12" t="s">
        <v>55</v>
      </c>
      <c r="B54" s="12" t="s">
        <v>56</v>
      </c>
      <c r="C54" s="12" t="s">
        <v>8</v>
      </c>
      <c r="D54" s="12" t="s">
        <v>9</v>
      </c>
      <c r="E54" s="12">
        <v>2074</v>
      </c>
      <c r="F54" s="12">
        <v>70.431140999999997</v>
      </c>
      <c r="G54" s="12">
        <v>49.789960999999998</v>
      </c>
      <c r="H54" s="14">
        <f t="shared" si="5"/>
        <v>103264.379114</v>
      </c>
      <c r="I54" s="12">
        <v>171.73191800000001</v>
      </c>
      <c r="J54" s="12">
        <v>57.514997999999999</v>
      </c>
      <c r="K54" s="12">
        <v>52.875328000000003</v>
      </c>
      <c r="L54" s="12">
        <v>180.293871</v>
      </c>
      <c r="M54" s="12">
        <v>42.505637999999998</v>
      </c>
      <c r="N54" s="12">
        <v>8.0381610000000006</v>
      </c>
      <c r="O54" s="12">
        <v>14.590057</v>
      </c>
      <c r="P54" s="12">
        <v>43.157347000000001</v>
      </c>
      <c r="Q54" s="12">
        <v>1000.8133340000001</v>
      </c>
      <c r="R54" s="15">
        <v>366.015717</v>
      </c>
      <c r="S54" s="15">
        <v>1361.4044730000001</v>
      </c>
      <c r="T54" s="15">
        <v>1421.0425248044771</v>
      </c>
      <c r="AP54" s="12">
        <f t="shared" si="6"/>
        <v>3.6210888174827049</v>
      </c>
      <c r="AQ54" s="12">
        <f t="shared" si="7"/>
        <v>0.86678812622488299</v>
      </c>
      <c r="AU54" s="12">
        <f t="shared" si="8"/>
        <v>0.95251112557231643</v>
      </c>
      <c r="AV54" s="12">
        <f t="shared" si="0"/>
        <v>0.31900695060233081</v>
      </c>
      <c r="AW54" s="12">
        <f t="shared" si="1"/>
        <v>0.29327301980220949</v>
      </c>
      <c r="AX54" s="12">
        <f t="shared" si="2"/>
        <v>0.9848992339589363</v>
      </c>
      <c r="AY54" s="12">
        <f t="shared" si="3"/>
        <v>0.18625243576719394</v>
      </c>
      <c r="AZ54" s="12">
        <f t="shared" si="4"/>
        <v>0.33806658690118274</v>
      </c>
    </row>
    <row r="55" spans="1:52" x14ac:dyDescent="0.55000000000000004">
      <c r="A55" s="12" t="s">
        <v>57</v>
      </c>
      <c r="B55" s="12" t="s">
        <v>58</v>
      </c>
      <c r="C55" s="12" t="s">
        <v>8</v>
      </c>
      <c r="D55" s="12" t="s">
        <v>9</v>
      </c>
      <c r="E55" s="12">
        <v>1914</v>
      </c>
      <c r="F55" s="12">
        <v>73.960031999999998</v>
      </c>
      <c r="G55" s="12">
        <v>61.545642999999998</v>
      </c>
      <c r="H55" s="14">
        <f t="shared" si="5"/>
        <v>117798.36070199999</v>
      </c>
      <c r="I55" s="12">
        <v>44.676577999999999</v>
      </c>
      <c r="J55" s="12">
        <v>16.186173</v>
      </c>
      <c r="K55" s="12">
        <v>18.786593</v>
      </c>
      <c r="L55" s="12">
        <v>46.466085</v>
      </c>
      <c r="M55" s="12">
        <v>42.652141</v>
      </c>
      <c r="N55" s="12">
        <v>15.933147999999999</v>
      </c>
      <c r="O55" s="12">
        <v>19.449876</v>
      </c>
      <c r="P55" s="12">
        <v>47.437705000000001</v>
      </c>
      <c r="Q55" s="12">
        <v>535.15770699999996</v>
      </c>
      <c r="R55" s="15">
        <v>190.239563</v>
      </c>
      <c r="S55" s="15">
        <v>969.28960199999995</v>
      </c>
      <c r="T55" s="15">
        <v>1106.7621222324583</v>
      </c>
      <c r="AP55" s="12">
        <f t="shared" si="6"/>
        <v>0.75498577535374845</v>
      </c>
      <c r="AQ55" s="12">
        <f t="shared" si="7"/>
        <v>0.77077275803260359</v>
      </c>
      <c r="AU55" s="12">
        <f t="shared" si="8"/>
        <v>0.96148788950048192</v>
      </c>
      <c r="AV55" s="12">
        <f t="shared" si="0"/>
        <v>0.3483438081775127</v>
      </c>
      <c r="AW55" s="12">
        <f t="shared" si="1"/>
        <v>0.4043076364191216</v>
      </c>
      <c r="AX55" s="12">
        <f t="shared" si="2"/>
        <v>0.89911898140940838</v>
      </c>
      <c r="AY55" s="12">
        <f t="shared" si="3"/>
        <v>0.33587518620472889</v>
      </c>
      <c r="AZ55" s="12">
        <f t="shared" si="4"/>
        <v>0.41000878942183228</v>
      </c>
    </row>
    <row r="56" spans="1:52" x14ac:dyDescent="0.55000000000000004">
      <c r="A56" s="12" t="s">
        <v>358</v>
      </c>
      <c r="B56" s="12" t="s">
        <v>359</v>
      </c>
      <c r="C56" s="12" t="s">
        <v>322</v>
      </c>
      <c r="D56" s="12" t="s">
        <v>9</v>
      </c>
      <c r="E56" s="12">
        <v>1670</v>
      </c>
      <c r="F56" s="12">
        <v>60.779139999999998</v>
      </c>
      <c r="G56" s="12">
        <v>66.216887999999997</v>
      </c>
      <c r="H56" s="14">
        <f t="shared" si="5"/>
        <v>110582.20296</v>
      </c>
      <c r="I56" s="12">
        <v>43.087128999999997</v>
      </c>
      <c r="J56" s="12">
        <v>28.676299</v>
      </c>
      <c r="K56" s="12">
        <v>27.760211999999999</v>
      </c>
      <c r="L56" s="12">
        <v>52.153263000000003</v>
      </c>
      <c r="M56" s="12">
        <v>43.790429000000003</v>
      </c>
      <c r="N56" s="12">
        <v>22.234724</v>
      </c>
      <c r="O56" s="12">
        <v>9.2561110000000006</v>
      </c>
      <c r="P56" s="12">
        <v>46.758898000000002</v>
      </c>
      <c r="Q56" s="12">
        <v>347.63709299999999</v>
      </c>
      <c r="R56" s="15">
        <v>478.12953399999998</v>
      </c>
      <c r="S56" s="15">
        <v>1621.270618</v>
      </c>
      <c r="T56" s="15">
        <v>1633.4734515043203</v>
      </c>
      <c r="AP56" s="12">
        <f t="shared" si="6"/>
        <v>0.78761271595850302</v>
      </c>
      <c r="AQ56" s="12">
        <f t="shared" si="7"/>
        <v>0.70614762203865578</v>
      </c>
      <c r="AU56" s="12">
        <f t="shared" si="8"/>
        <v>0.82616362853461334</v>
      </c>
      <c r="AV56" s="12">
        <f t="shared" si="0"/>
        <v>0.54984668936246617</v>
      </c>
      <c r="AW56" s="12">
        <f t="shared" si="1"/>
        <v>0.53228140298719173</v>
      </c>
      <c r="AX56" s="12">
        <f t="shared" si="2"/>
        <v>0.93651542001695598</v>
      </c>
      <c r="AY56" s="12">
        <f t="shared" si="3"/>
        <v>0.47551856333312215</v>
      </c>
      <c r="AZ56" s="12">
        <f t="shared" si="4"/>
        <v>0.1979540022521489</v>
      </c>
    </row>
    <row r="57" spans="1:52" x14ac:dyDescent="0.55000000000000004">
      <c r="A57" s="12" t="s">
        <v>360</v>
      </c>
      <c r="B57" s="12" t="s">
        <v>361</v>
      </c>
      <c r="C57" s="12" t="s">
        <v>322</v>
      </c>
      <c r="D57" s="12" t="s">
        <v>9</v>
      </c>
      <c r="E57" s="12">
        <v>1697</v>
      </c>
      <c r="F57" s="12">
        <v>66.55116799999999</v>
      </c>
      <c r="G57" s="12">
        <v>40.783017000000001</v>
      </c>
      <c r="H57" s="14">
        <f t="shared" si="5"/>
        <v>69208.779848999999</v>
      </c>
      <c r="I57" s="12">
        <v>41.226922000000002</v>
      </c>
      <c r="J57" s="12">
        <v>13.043697999999999</v>
      </c>
      <c r="K57" s="12">
        <v>18.774560999999999</v>
      </c>
      <c r="L57" s="12">
        <v>44.342143</v>
      </c>
      <c r="M57" s="12">
        <v>48.713639999999998</v>
      </c>
      <c r="N57" s="12">
        <v>14.03012</v>
      </c>
      <c r="O57" s="12">
        <v>10.795588</v>
      </c>
      <c r="P57" s="12">
        <v>50.061982999999998</v>
      </c>
      <c r="Q57" s="12">
        <v>458.25146699999999</v>
      </c>
      <c r="R57" s="15">
        <v>389.732553</v>
      </c>
      <c r="S57" s="15">
        <v>1708.726128</v>
      </c>
      <c r="T57" s="15">
        <v>1709.0513017306828</v>
      </c>
      <c r="AP57" s="12">
        <f t="shared" si="6"/>
        <v>1.0872698064490913</v>
      </c>
      <c r="AQ57" s="12">
        <f t="shared" si="7"/>
        <v>1.2275203425975081</v>
      </c>
      <c r="AU57" s="12">
        <f t="shared" si="8"/>
        <v>0.92974581765252085</v>
      </c>
      <c r="AV57" s="12">
        <f t="shared" si="0"/>
        <v>0.29416029802619142</v>
      </c>
      <c r="AW57" s="12">
        <f t="shared" si="1"/>
        <v>0.42340220227966879</v>
      </c>
      <c r="AX57" s="12">
        <f t="shared" si="2"/>
        <v>0.97306652834746876</v>
      </c>
      <c r="AY57" s="12">
        <f t="shared" si="3"/>
        <v>0.28025497911259328</v>
      </c>
      <c r="AZ57" s="12">
        <f t="shared" si="4"/>
        <v>0.215644434220674</v>
      </c>
    </row>
    <row r="58" spans="1:52" x14ac:dyDescent="0.55000000000000004">
      <c r="A58" s="12" t="s">
        <v>362</v>
      </c>
      <c r="B58" s="12" t="s">
        <v>363</v>
      </c>
      <c r="C58" s="12" t="s">
        <v>322</v>
      </c>
      <c r="D58" s="12" t="s">
        <v>9</v>
      </c>
      <c r="E58" s="12">
        <v>2193</v>
      </c>
      <c r="F58" s="12">
        <v>70.820031999999998</v>
      </c>
      <c r="G58" s="12">
        <v>62.813253000000003</v>
      </c>
      <c r="H58" s="14">
        <f t="shared" si="5"/>
        <v>137749.46382900001</v>
      </c>
      <c r="I58" s="12">
        <v>37.214475999999998</v>
      </c>
      <c r="J58" s="12">
        <v>13.867798000000001</v>
      </c>
      <c r="K58" s="12">
        <v>25.152747000000002</v>
      </c>
      <c r="L58" s="12">
        <v>40.370204999999999</v>
      </c>
      <c r="M58" s="12">
        <v>41.664943999999998</v>
      </c>
      <c r="N58" s="12">
        <v>17.248076999999999</v>
      </c>
      <c r="O58" s="12">
        <v>20.896903999999999</v>
      </c>
      <c r="P58" s="12">
        <v>47.450986999999998</v>
      </c>
      <c r="Q58" s="12">
        <v>655.25432499999999</v>
      </c>
      <c r="R58" s="15">
        <v>1518.7022549999999</v>
      </c>
      <c r="S58" s="15">
        <v>1361.5464830000001</v>
      </c>
      <c r="T58" s="15">
        <v>1530.0461757421217</v>
      </c>
      <c r="AP58" s="12">
        <f t="shared" si="6"/>
        <v>0.64270202659301845</v>
      </c>
      <c r="AQ58" s="12">
        <f t="shared" si="7"/>
        <v>0.75542954287051489</v>
      </c>
      <c r="AU58" s="12">
        <f t="shared" si="8"/>
        <v>0.92183024584591533</v>
      </c>
      <c r="AV58" s="12">
        <f t="shared" si="0"/>
        <v>0.34351566953895829</v>
      </c>
      <c r="AW58" s="12">
        <f t="shared" si="1"/>
        <v>0.62305224855806407</v>
      </c>
      <c r="AX58" s="12">
        <f t="shared" si="2"/>
        <v>0.87806274714580757</v>
      </c>
      <c r="AY58" s="12">
        <f t="shared" si="3"/>
        <v>0.36349248119960076</v>
      </c>
      <c r="AZ58" s="12">
        <f t="shared" si="4"/>
        <v>0.44038923784662265</v>
      </c>
    </row>
    <row r="59" spans="1:52" x14ac:dyDescent="0.55000000000000004">
      <c r="A59" s="12" t="s">
        <v>59</v>
      </c>
      <c r="B59" s="12" t="s">
        <v>60</v>
      </c>
      <c r="C59" s="12" t="s">
        <v>8</v>
      </c>
      <c r="D59" s="12" t="s">
        <v>9</v>
      </c>
      <c r="E59" s="12">
        <v>1614</v>
      </c>
      <c r="F59" s="12">
        <v>70.786011999999999</v>
      </c>
      <c r="G59" s="12">
        <v>34.165664</v>
      </c>
      <c r="H59" s="14">
        <f t="shared" si="5"/>
        <v>55143.381695999997</v>
      </c>
      <c r="I59" s="12">
        <v>30.164256999999999</v>
      </c>
      <c r="J59" s="12">
        <v>22.877654</v>
      </c>
      <c r="K59" s="12">
        <v>26.467734</v>
      </c>
      <c r="L59" s="12">
        <v>44.321418999999999</v>
      </c>
      <c r="M59" s="12">
        <v>42.921174999999998</v>
      </c>
      <c r="N59" s="12">
        <v>17.474668999999999</v>
      </c>
      <c r="O59" s="12">
        <v>12.811061</v>
      </c>
      <c r="P59" s="12">
        <v>46.095647</v>
      </c>
      <c r="Q59" s="12">
        <v>491.67857500000002</v>
      </c>
      <c r="R59" s="15">
        <v>507.28275500000001</v>
      </c>
      <c r="S59" s="15">
        <v>1134.0579069999999</v>
      </c>
      <c r="T59" s="15">
        <v>1140.2121201576081</v>
      </c>
      <c r="AP59" s="12">
        <f t="shared" si="6"/>
        <v>1.2972503329658689</v>
      </c>
      <c r="AQ59" s="12">
        <f t="shared" si="7"/>
        <v>1.3491804813159785</v>
      </c>
      <c r="AU59" s="12">
        <f t="shared" si="8"/>
        <v>0.68057967638626371</v>
      </c>
      <c r="AV59" s="12">
        <f t="shared" si="0"/>
        <v>0.51617602766734527</v>
      </c>
      <c r="AW59" s="12">
        <f t="shared" si="1"/>
        <v>0.5971770443541079</v>
      </c>
      <c r="AX59" s="12">
        <f t="shared" si="2"/>
        <v>0.93113293322469248</v>
      </c>
      <c r="AY59" s="12">
        <f t="shared" si="3"/>
        <v>0.37909586126429679</v>
      </c>
      <c r="AZ59" s="12">
        <f t="shared" si="4"/>
        <v>0.27792344470183922</v>
      </c>
    </row>
    <row r="60" spans="1:52" x14ac:dyDescent="0.55000000000000004">
      <c r="A60" s="12" t="s">
        <v>61</v>
      </c>
      <c r="B60" s="12" t="s">
        <v>62</v>
      </c>
      <c r="C60" s="12" t="s">
        <v>8</v>
      </c>
      <c r="D60" s="12" t="s">
        <v>9</v>
      </c>
      <c r="E60" s="12">
        <v>1678</v>
      </c>
      <c r="F60" s="12">
        <v>72.023580999999993</v>
      </c>
      <c r="G60" s="12">
        <v>51.394908000000001</v>
      </c>
      <c r="H60" s="14">
        <f t="shared" si="5"/>
        <v>86240.655624000006</v>
      </c>
      <c r="I60" s="12">
        <v>78.765665999999996</v>
      </c>
      <c r="J60" s="12">
        <v>19.165171999999998</v>
      </c>
      <c r="K60" s="12">
        <v>18.113209999999999</v>
      </c>
      <c r="L60" s="12">
        <v>80.239031999999995</v>
      </c>
      <c r="M60" s="12">
        <v>51.716631999999997</v>
      </c>
      <c r="N60" s="12">
        <v>20.272632000000002</v>
      </c>
      <c r="O60" s="12">
        <v>17.537711000000002</v>
      </c>
      <c r="P60" s="12">
        <v>54.715468000000001</v>
      </c>
      <c r="Q60" s="12">
        <v>1418.197392</v>
      </c>
      <c r="R60" s="15">
        <v>265.87330600000001</v>
      </c>
      <c r="S60" s="15">
        <v>1323.32719</v>
      </c>
      <c r="T60" s="15">
        <v>1639.1765585106252</v>
      </c>
      <c r="AP60" s="12">
        <f t="shared" si="6"/>
        <v>1.561225326057593</v>
      </c>
      <c r="AQ60" s="12">
        <f t="shared" si="7"/>
        <v>1.0646087351688616</v>
      </c>
      <c r="AU60" s="12">
        <f t="shared" si="8"/>
        <v>0.98163778944890567</v>
      </c>
      <c r="AV60" s="12">
        <f t="shared" si="0"/>
        <v>0.23885098713553773</v>
      </c>
      <c r="AW60" s="12">
        <f t="shared" si="1"/>
        <v>0.22574063455800414</v>
      </c>
      <c r="AX60" s="12">
        <f t="shared" si="2"/>
        <v>0.94519217125219501</v>
      </c>
      <c r="AY60" s="12">
        <f t="shared" si="3"/>
        <v>0.37051007221577636</v>
      </c>
      <c r="AZ60" s="12">
        <f t="shared" si="4"/>
        <v>0.32052565099141622</v>
      </c>
    </row>
    <row r="61" spans="1:52" x14ac:dyDescent="0.55000000000000004">
      <c r="A61" s="12" t="s">
        <v>63</v>
      </c>
      <c r="B61" s="12" t="s">
        <v>64</v>
      </c>
      <c r="C61" s="12" t="s">
        <v>8</v>
      </c>
      <c r="D61" s="12" t="s">
        <v>9</v>
      </c>
      <c r="E61" s="12">
        <v>1902</v>
      </c>
      <c r="F61" s="12">
        <v>70.907535999999993</v>
      </c>
      <c r="G61" s="12">
        <v>62.269196999999998</v>
      </c>
      <c r="H61" s="14">
        <f t="shared" si="5"/>
        <v>118436.01269399999</v>
      </c>
      <c r="I61" s="12">
        <v>46.673403999999998</v>
      </c>
      <c r="J61" s="12">
        <v>17.473669000000001</v>
      </c>
      <c r="K61" s="12">
        <v>30.62472</v>
      </c>
      <c r="L61" s="12">
        <v>50.545442999999999</v>
      </c>
      <c r="M61" s="12">
        <v>58.367846</v>
      </c>
      <c r="N61" s="12">
        <v>17.366786999999999</v>
      </c>
      <c r="O61" s="12">
        <v>11.813891999999999</v>
      </c>
      <c r="P61" s="12">
        <v>58.915816</v>
      </c>
      <c r="Q61" s="12">
        <v>763.35542999999996</v>
      </c>
      <c r="R61" s="15">
        <v>78.088594999999998</v>
      </c>
      <c r="S61" s="15">
        <v>1434.763357</v>
      </c>
      <c r="T61" s="15">
        <v>1494.7424534953416</v>
      </c>
      <c r="AP61" s="12">
        <f t="shared" si="6"/>
        <v>0.81172466380126918</v>
      </c>
      <c r="AQ61" s="12">
        <f t="shared" si="7"/>
        <v>0.9461470331791817</v>
      </c>
      <c r="AU61" s="12">
        <f t="shared" si="8"/>
        <v>0.92339489437257483</v>
      </c>
      <c r="AV61" s="12">
        <f t="shared" si="0"/>
        <v>0.34570216349671723</v>
      </c>
      <c r="AW61" s="12">
        <f t="shared" si="1"/>
        <v>0.60588488659600825</v>
      </c>
      <c r="AX61" s="12">
        <f t="shared" si="2"/>
        <v>0.9906991019185748</v>
      </c>
      <c r="AY61" s="12">
        <f t="shared" si="3"/>
        <v>0.29477291802255612</v>
      </c>
      <c r="AZ61" s="12">
        <f t="shared" si="4"/>
        <v>0.20052157132135789</v>
      </c>
    </row>
    <row r="62" spans="1:52" x14ac:dyDescent="0.55000000000000004">
      <c r="A62" s="12" t="s">
        <v>364</v>
      </c>
      <c r="B62" s="12" t="s">
        <v>365</v>
      </c>
      <c r="C62" s="12" t="s">
        <v>322</v>
      </c>
      <c r="D62" s="12" t="s">
        <v>9</v>
      </c>
      <c r="E62" s="12">
        <v>2086</v>
      </c>
      <c r="F62" s="12">
        <v>69.141153000000003</v>
      </c>
      <c r="G62" s="12">
        <v>37.668565000000001</v>
      </c>
      <c r="H62" s="14">
        <f t="shared" si="5"/>
        <v>78576.62659</v>
      </c>
      <c r="I62" s="12">
        <v>42.611502999999999</v>
      </c>
      <c r="J62" s="12">
        <v>12.228320999999999</v>
      </c>
      <c r="K62" s="12">
        <v>26.272041000000002</v>
      </c>
      <c r="L62" s="12">
        <v>48.598560999999997</v>
      </c>
      <c r="M62" s="12">
        <v>41.945599999999999</v>
      </c>
      <c r="N62" s="12">
        <v>14.033931000000001</v>
      </c>
      <c r="O62" s="12">
        <v>11.431894</v>
      </c>
      <c r="P62" s="12">
        <v>42.473582</v>
      </c>
      <c r="Q62" s="12">
        <v>624.17748500000005</v>
      </c>
      <c r="R62" s="15">
        <v>1017.609607</v>
      </c>
      <c r="S62" s="15">
        <v>1265.9174210000001</v>
      </c>
      <c r="T62" s="15">
        <v>1268.3695467204748</v>
      </c>
      <c r="AP62" s="12">
        <f t="shared" si="6"/>
        <v>1.2901622612913446</v>
      </c>
      <c r="AQ62" s="12">
        <f t="shared" si="7"/>
        <v>1.1275603941907528</v>
      </c>
      <c r="AU62" s="12">
        <f t="shared" si="8"/>
        <v>0.87680585851091353</v>
      </c>
      <c r="AV62" s="12">
        <f t="shared" si="0"/>
        <v>0.25161899341011351</v>
      </c>
      <c r="AW62" s="12">
        <f t="shared" si="1"/>
        <v>0.54059298175515946</v>
      </c>
      <c r="AX62" s="12">
        <f t="shared" si="2"/>
        <v>0.98756916711192377</v>
      </c>
      <c r="AY62" s="12">
        <f t="shared" si="3"/>
        <v>0.33041552746834491</v>
      </c>
      <c r="AZ62" s="12">
        <f t="shared" si="4"/>
        <v>0.26915304671030571</v>
      </c>
    </row>
    <row r="63" spans="1:52" x14ac:dyDescent="0.55000000000000004">
      <c r="A63" s="12" t="s">
        <v>489</v>
      </c>
      <c r="B63" s="12" t="s">
        <v>490</v>
      </c>
      <c r="C63" s="12" t="s">
        <v>485</v>
      </c>
      <c r="D63" s="12" t="s">
        <v>9</v>
      </c>
      <c r="E63" s="12">
        <v>2010</v>
      </c>
      <c r="F63" s="12">
        <v>69.502419000000003</v>
      </c>
      <c r="G63" s="12">
        <v>35.270304000000003</v>
      </c>
      <c r="H63" s="14">
        <f t="shared" si="5"/>
        <v>70893.311040000001</v>
      </c>
      <c r="I63" s="12">
        <v>38.012836999999998</v>
      </c>
      <c r="J63" s="12">
        <v>22.347404999999998</v>
      </c>
      <c r="K63" s="12">
        <v>18.028472000000001</v>
      </c>
      <c r="L63" s="12">
        <v>38.19097</v>
      </c>
      <c r="M63" s="12">
        <v>45.895344000000001</v>
      </c>
      <c r="N63" s="12">
        <v>19.441641000000001</v>
      </c>
      <c r="O63" s="12">
        <v>9.2099469999999997</v>
      </c>
      <c r="P63" s="12">
        <v>48.581339</v>
      </c>
      <c r="Q63" s="12">
        <v>306.92589700000002</v>
      </c>
      <c r="R63" s="15">
        <v>41.833123999999998</v>
      </c>
      <c r="S63" s="15">
        <v>1422.7804639999999</v>
      </c>
      <c r="T63" s="15">
        <v>1422.9116808072752</v>
      </c>
      <c r="AP63" s="12">
        <f t="shared" si="6"/>
        <v>1.0828080755981009</v>
      </c>
      <c r="AQ63" s="12">
        <f t="shared" si="7"/>
        <v>1.3774006314206988</v>
      </c>
      <c r="AU63" s="12">
        <f t="shared" si="8"/>
        <v>0.99533572988588659</v>
      </c>
      <c r="AV63" s="12">
        <f t="shared" si="0"/>
        <v>0.5851489239472053</v>
      </c>
      <c r="AW63" s="12">
        <f t="shared" si="1"/>
        <v>0.47206111811247531</v>
      </c>
      <c r="AX63" s="12">
        <f t="shared" si="2"/>
        <v>0.94471138393283072</v>
      </c>
      <c r="AY63" s="12">
        <f t="shared" si="3"/>
        <v>0.40018742587560219</v>
      </c>
      <c r="AZ63" s="12">
        <f t="shared" si="4"/>
        <v>0.18957787474733867</v>
      </c>
    </row>
    <row r="64" spans="1:52" x14ac:dyDescent="0.55000000000000004">
      <c r="A64" s="12" t="s">
        <v>65</v>
      </c>
      <c r="B64" s="12" t="s">
        <v>66</v>
      </c>
      <c r="C64" s="12" t="s">
        <v>8</v>
      </c>
      <c r="D64" s="12" t="s">
        <v>9</v>
      </c>
      <c r="E64" s="12">
        <v>1520</v>
      </c>
      <c r="F64" s="12">
        <v>71.403272999999999</v>
      </c>
      <c r="G64" s="12">
        <v>38.363688000000003</v>
      </c>
      <c r="H64" s="14">
        <f t="shared" si="5"/>
        <v>58312.805760000003</v>
      </c>
      <c r="I64" s="12">
        <v>56.508465999999999</v>
      </c>
      <c r="J64" s="12">
        <v>49.539116</v>
      </c>
      <c r="K64" s="12">
        <v>30.464262999999999</v>
      </c>
      <c r="L64" s="12">
        <v>78.965935999999999</v>
      </c>
      <c r="M64" s="12">
        <v>39.276572999999999</v>
      </c>
      <c r="N64" s="12">
        <v>15.021751999999999</v>
      </c>
      <c r="O64" s="12">
        <v>9.3720210000000002</v>
      </c>
      <c r="P64" s="12">
        <v>42.016235999999999</v>
      </c>
      <c r="Q64" s="12">
        <v>302.57135099999999</v>
      </c>
      <c r="R64" s="15">
        <v>1151.5655730000001</v>
      </c>
      <c r="S64" s="15">
        <v>988.95773399999996</v>
      </c>
      <c r="T64" s="15">
        <v>1152.531818248284</v>
      </c>
      <c r="AP64" s="12">
        <f t="shared" si="6"/>
        <v>2.058351011508591</v>
      </c>
      <c r="AQ64" s="12">
        <f t="shared" si="7"/>
        <v>1.095208469008506</v>
      </c>
      <c r="AU64" s="12">
        <f t="shared" si="8"/>
        <v>0.71560559986270533</v>
      </c>
      <c r="AV64" s="12">
        <f t="shared" si="0"/>
        <v>0.62734792379336835</v>
      </c>
      <c r="AW64" s="12">
        <f t="shared" si="1"/>
        <v>0.38578993098999043</v>
      </c>
      <c r="AX64" s="12">
        <f t="shared" si="2"/>
        <v>0.93479513490927646</v>
      </c>
      <c r="AY64" s="12">
        <f t="shared" si="3"/>
        <v>0.35752255390035415</v>
      </c>
      <c r="AZ64" s="12">
        <f t="shared" si="4"/>
        <v>0.2230571296296032</v>
      </c>
    </row>
    <row r="65" spans="1:52" x14ac:dyDescent="0.55000000000000004">
      <c r="A65" s="12" t="s">
        <v>366</v>
      </c>
      <c r="B65" s="12" t="s">
        <v>367</v>
      </c>
      <c r="C65" s="12" t="s">
        <v>322</v>
      </c>
      <c r="D65" s="12" t="s">
        <v>9</v>
      </c>
      <c r="E65" s="12">
        <v>2232</v>
      </c>
      <c r="F65" s="12">
        <v>71.358148</v>
      </c>
      <c r="G65" s="12">
        <v>36.483756</v>
      </c>
      <c r="H65" s="14">
        <f t="shared" si="5"/>
        <v>81431.743392000004</v>
      </c>
      <c r="I65" s="12">
        <v>35.949657000000002</v>
      </c>
      <c r="J65" s="12">
        <v>13.089570999999999</v>
      </c>
      <c r="K65" s="12">
        <v>27.736542</v>
      </c>
      <c r="L65" s="12">
        <v>45.242213999999997</v>
      </c>
      <c r="M65" s="12">
        <v>39.337252999999997</v>
      </c>
      <c r="N65" s="12">
        <v>16.161397999999998</v>
      </c>
      <c r="O65" s="12">
        <v>13.514033</v>
      </c>
      <c r="P65" s="12">
        <v>43.896729000000001</v>
      </c>
      <c r="Q65" s="12">
        <v>537.78153299999997</v>
      </c>
      <c r="R65" s="15">
        <v>181.686578</v>
      </c>
      <c r="S65" s="15">
        <v>1260.695616</v>
      </c>
      <c r="T65" s="15">
        <v>1282.6582302858822</v>
      </c>
      <c r="AP65" s="12">
        <f t="shared" si="6"/>
        <v>1.2400645920337807</v>
      </c>
      <c r="AQ65" s="12">
        <f t="shared" si="7"/>
        <v>1.2031855766166182</v>
      </c>
      <c r="AU65" s="12">
        <f t="shared" si="8"/>
        <v>0.79460428262860883</v>
      </c>
      <c r="AV65" s="12">
        <f t="shared" si="0"/>
        <v>0.28932206987040909</v>
      </c>
      <c r="AW65" s="12">
        <f t="shared" si="1"/>
        <v>0.61306774244072149</v>
      </c>
      <c r="AX65" s="12">
        <f t="shared" si="2"/>
        <v>0.8961317596124303</v>
      </c>
      <c r="AY65" s="12">
        <f t="shared" si="3"/>
        <v>0.36816861684614355</v>
      </c>
      <c r="AZ65" s="12">
        <f t="shared" si="4"/>
        <v>0.30785968129880475</v>
      </c>
    </row>
    <row r="66" spans="1:52" x14ac:dyDescent="0.55000000000000004">
      <c r="A66" s="12" t="s">
        <v>67</v>
      </c>
      <c r="B66" s="12" t="s">
        <v>56</v>
      </c>
      <c r="C66" s="12" t="s">
        <v>8</v>
      </c>
      <c r="D66" s="12" t="s">
        <v>9</v>
      </c>
      <c r="E66" s="12">
        <v>2092</v>
      </c>
      <c r="F66" s="12">
        <v>72.441648999999998</v>
      </c>
      <c r="G66" s="12">
        <v>48.867538000000003</v>
      </c>
      <c r="H66" s="14">
        <f t="shared" si="5"/>
        <v>102230.889496</v>
      </c>
      <c r="I66" s="12">
        <v>44.929535999999999</v>
      </c>
      <c r="J66" s="12">
        <v>12.820586</v>
      </c>
      <c r="K66" s="12">
        <v>33.784714000000001</v>
      </c>
      <c r="L66" s="12">
        <v>53.044145</v>
      </c>
      <c r="M66" s="12">
        <v>45.292929000000001</v>
      </c>
      <c r="N66" s="12">
        <v>8.4746229999999994</v>
      </c>
      <c r="O66" s="12">
        <v>16.431349000000001</v>
      </c>
      <c r="P66" s="12">
        <v>47.662759000000001</v>
      </c>
      <c r="Q66" s="12">
        <v>384.38290999999998</v>
      </c>
      <c r="R66" s="15">
        <v>605.35509200000001</v>
      </c>
      <c r="S66" s="15">
        <v>1513.18136</v>
      </c>
      <c r="T66" s="15">
        <v>1518.8482300473945</v>
      </c>
      <c r="AP66" s="12">
        <f t="shared" ref="AP66:AP129" si="9">L66/G66</f>
        <v>1.0854679235119231</v>
      </c>
      <c r="AQ66" s="12">
        <f t="shared" ref="AQ66:AQ129" si="10">P66/G66</f>
        <v>0.97534602623115574</v>
      </c>
      <c r="AU66" s="12">
        <f t="shared" ref="AU66:AU129" si="11">I66/$L66</f>
        <v>0.84702158928190852</v>
      </c>
      <c r="AV66" s="12">
        <f t="shared" ref="AV66:AV129" si="12">J66/$L66</f>
        <v>0.24169653408495886</v>
      </c>
      <c r="AW66" s="12">
        <f t="shared" ref="AW66:AW129" si="13">K66/$L66</f>
        <v>0.63691693022858609</v>
      </c>
      <c r="AX66" s="12">
        <f t="shared" ref="AX66:AX129" si="14">M66/$P66</f>
        <v>0.95027921065165366</v>
      </c>
      <c r="AY66" s="12">
        <f t="shared" ref="AY66:AY129" si="15">N66/$P66</f>
        <v>0.17780386989347383</v>
      </c>
      <c r="AZ66" s="12">
        <f t="shared" ref="AZ66:AZ129" si="16">O66/$P66</f>
        <v>0.34474187698618119</v>
      </c>
    </row>
    <row r="67" spans="1:52" x14ac:dyDescent="0.55000000000000004">
      <c r="A67" s="12" t="s">
        <v>491</v>
      </c>
      <c r="B67" s="12" t="s">
        <v>490</v>
      </c>
      <c r="C67" s="12" t="s">
        <v>485</v>
      </c>
      <c r="D67" s="12" t="s">
        <v>9</v>
      </c>
      <c r="E67" s="12">
        <v>2014</v>
      </c>
      <c r="F67" s="12">
        <v>70.359946999999991</v>
      </c>
      <c r="G67" s="12">
        <v>38.042565000000003</v>
      </c>
      <c r="H67" s="14">
        <f t="shared" ref="H67:H130" si="17">E67*G67</f>
        <v>76617.725910000008</v>
      </c>
      <c r="I67" s="12">
        <v>37.430151000000002</v>
      </c>
      <c r="J67" s="12">
        <v>23.094273999999999</v>
      </c>
      <c r="K67" s="12">
        <v>20.023651999999998</v>
      </c>
      <c r="L67" s="12">
        <v>40.562846</v>
      </c>
      <c r="M67" s="12">
        <v>48.055655000000002</v>
      </c>
      <c r="N67" s="12">
        <v>22.167525000000001</v>
      </c>
      <c r="O67" s="12">
        <v>9.5946219999999993</v>
      </c>
      <c r="P67" s="12">
        <v>52.776651000000001</v>
      </c>
      <c r="Q67" s="12">
        <v>349.387315</v>
      </c>
      <c r="R67" s="15">
        <v>30.143274999999999</v>
      </c>
      <c r="S67" s="15">
        <v>1275.986046</v>
      </c>
      <c r="T67" s="15">
        <v>1282.9400570737271</v>
      </c>
      <c r="AP67" s="12">
        <f t="shared" si="9"/>
        <v>1.0662489766397192</v>
      </c>
      <c r="AQ67" s="12">
        <f t="shared" si="10"/>
        <v>1.3873052723968533</v>
      </c>
      <c r="AU67" s="12">
        <f t="shared" si="11"/>
        <v>0.9227693490737805</v>
      </c>
      <c r="AV67" s="12">
        <f t="shared" si="12"/>
        <v>0.5693455040112323</v>
      </c>
      <c r="AW67" s="12">
        <f t="shared" si="13"/>
        <v>0.49364514511629676</v>
      </c>
      <c r="AX67" s="12">
        <f t="shared" si="14"/>
        <v>0.91054763971287223</v>
      </c>
      <c r="AY67" s="12">
        <f t="shared" si="15"/>
        <v>0.4200252304754995</v>
      </c>
      <c r="AZ67" s="12">
        <f t="shared" si="16"/>
        <v>0.18179671915900839</v>
      </c>
    </row>
    <row r="68" spans="1:52" x14ac:dyDescent="0.55000000000000004">
      <c r="A68" s="12" t="s">
        <v>492</v>
      </c>
      <c r="B68" s="12" t="s">
        <v>493</v>
      </c>
      <c r="C68" s="12" t="s">
        <v>485</v>
      </c>
      <c r="D68" s="12" t="s">
        <v>9</v>
      </c>
      <c r="E68" s="12">
        <v>2026</v>
      </c>
      <c r="F68" s="12">
        <v>71.381330000000005</v>
      </c>
      <c r="G68" s="12">
        <v>45.811892</v>
      </c>
      <c r="H68" s="14">
        <f t="shared" si="17"/>
        <v>92814.893192000003</v>
      </c>
      <c r="I68" s="12">
        <v>67.667760000000001</v>
      </c>
      <c r="J68" s="12">
        <v>18.624181</v>
      </c>
      <c r="K68" s="12">
        <v>27.459163</v>
      </c>
      <c r="L68" s="12">
        <v>71.765437000000006</v>
      </c>
      <c r="M68" s="12">
        <v>49.500664</v>
      </c>
      <c r="N68" s="12">
        <v>17.827558</v>
      </c>
      <c r="O68" s="12">
        <v>11.124912999999999</v>
      </c>
      <c r="P68" s="12">
        <v>50.969419000000002</v>
      </c>
      <c r="Q68" s="12">
        <v>552.03046500000005</v>
      </c>
      <c r="R68" s="15">
        <v>225.745474</v>
      </c>
      <c r="S68" s="15">
        <v>1989.0721590000001</v>
      </c>
      <c r="T68" s="15">
        <v>2003.4585046164359</v>
      </c>
      <c r="AP68" s="12">
        <f t="shared" si="9"/>
        <v>1.5665241898326314</v>
      </c>
      <c r="AQ68" s="12">
        <f t="shared" si="10"/>
        <v>1.1125805282174333</v>
      </c>
      <c r="AU68" s="12">
        <f t="shared" si="11"/>
        <v>0.94290180383072142</v>
      </c>
      <c r="AV68" s="12">
        <f t="shared" si="12"/>
        <v>0.25951463237101169</v>
      </c>
      <c r="AW68" s="12">
        <f t="shared" si="13"/>
        <v>0.38262378308934419</v>
      </c>
      <c r="AX68" s="12">
        <f t="shared" si="14"/>
        <v>0.97118360325041175</v>
      </c>
      <c r="AY68" s="12">
        <f t="shared" si="15"/>
        <v>0.34976969229333377</v>
      </c>
      <c r="AZ68" s="12">
        <f t="shared" si="16"/>
        <v>0.21826642756120093</v>
      </c>
    </row>
    <row r="69" spans="1:52" x14ac:dyDescent="0.55000000000000004">
      <c r="A69" s="12" t="s">
        <v>368</v>
      </c>
      <c r="B69" s="12" t="s">
        <v>369</v>
      </c>
      <c r="C69" s="12" t="s">
        <v>322</v>
      </c>
      <c r="D69" s="12" t="s">
        <v>9</v>
      </c>
      <c r="E69" s="12">
        <v>2098</v>
      </c>
      <c r="F69" s="12">
        <v>69.334687000000002</v>
      </c>
      <c r="G69" s="12">
        <v>38.955249000000002</v>
      </c>
      <c r="H69" s="14">
        <f t="shared" si="17"/>
        <v>81728.112401999999</v>
      </c>
      <c r="I69" s="12">
        <v>70.963768999999999</v>
      </c>
      <c r="J69" s="12">
        <v>19.56419</v>
      </c>
      <c r="K69" s="12">
        <v>52.528872999999997</v>
      </c>
      <c r="L69" s="12">
        <v>86.871065000000002</v>
      </c>
      <c r="M69" s="12">
        <v>49.596573999999997</v>
      </c>
      <c r="N69" s="12">
        <v>21.220061999999999</v>
      </c>
      <c r="O69" s="12">
        <v>22.158311999999999</v>
      </c>
      <c r="P69" s="12">
        <v>55.622211999999998</v>
      </c>
      <c r="Q69" s="12">
        <v>614.69061099999999</v>
      </c>
      <c r="R69" s="15">
        <v>1849.521144</v>
      </c>
      <c r="S69" s="15">
        <v>2154.3807689999999</v>
      </c>
      <c r="T69" s="15">
        <v>2155.3289480523113</v>
      </c>
      <c r="AP69" s="12">
        <f t="shared" si="9"/>
        <v>2.2300220696830868</v>
      </c>
      <c r="AQ69" s="12">
        <f t="shared" si="10"/>
        <v>1.427848965873636</v>
      </c>
      <c r="AU69" s="12">
        <f t="shared" si="11"/>
        <v>0.81688614039669016</v>
      </c>
      <c r="AV69" s="12">
        <f t="shared" si="12"/>
        <v>0.22520951020918184</v>
      </c>
      <c r="AW69" s="12">
        <f t="shared" si="13"/>
        <v>0.6046762866323786</v>
      </c>
      <c r="AX69" s="12">
        <f t="shared" si="14"/>
        <v>0.89166849387435365</v>
      </c>
      <c r="AY69" s="12">
        <f t="shared" si="15"/>
        <v>0.38150338213805662</v>
      </c>
      <c r="AZ69" s="12">
        <f t="shared" si="16"/>
        <v>0.39837164332838831</v>
      </c>
    </row>
    <row r="70" spans="1:52" x14ac:dyDescent="0.55000000000000004">
      <c r="A70" s="12" t="s">
        <v>370</v>
      </c>
      <c r="B70" s="12" t="s">
        <v>371</v>
      </c>
      <c r="C70" s="12" t="s">
        <v>322</v>
      </c>
      <c r="D70" s="12" t="s">
        <v>9</v>
      </c>
      <c r="E70" s="12">
        <v>2076</v>
      </c>
      <c r="F70" s="12">
        <v>71.060332000000002</v>
      </c>
      <c r="G70" s="12">
        <v>48.226812000000002</v>
      </c>
      <c r="H70" s="14">
        <f t="shared" si="17"/>
        <v>100118.861712</v>
      </c>
      <c r="I70" s="12">
        <v>48.994019000000002</v>
      </c>
      <c r="J70" s="12">
        <v>10.011697</v>
      </c>
      <c r="K70" s="12">
        <v>13.513206</v>
      </c>
      <c r="L70" s="12">
        <v>49.274603999999997</v>
      </c>
      <c r="M70" s="12">
        <v>39.872940999999997</v>
      </c>
      <c r="N70" s="12">
        <v>12.972242</v>
      </c>
      <c r="O70" s="12">
        <v>15.745187</v>
      </c>
      <c r="P70" s="12">
        <v>44.049263000000003</v>
      </c>
      <c r="Q70" s="12">
        <v>387.32733400000001</v>
      </c>
      <c r="R70" s="15">
        <v>61.998710000000003</v>
      </c>
      <c r="S70" s="15">
        <v>1245.959427</v>
      </c>
      <c r="T70" s="15">
        <v>1246.0511109149313</v>
      </c>
      <c r="AP70" s="12">
        <f t="shared" si="9"/>
        <v>1.021726337623146</v>
      </c>
      <c r="AQ70" s="12">
        <f t="shared" si="10"/>
        <v>0.91337704428814415</v>
      </c>
      <c r="AU70" s="12">
        <f t="shared" si="11"/>
        <v>0.99430568736787828</v>
      </c>
      <c r="AV70" s="12">
        <f t="shared" si="12"/>
        <v>0.20318168361129804</v>
      </c>
      <c r="AW70" s="12">
        <f t="shared" si="13"/>
        <v>0.2742428127885107</v>
      </c>
      <c r="AX70" s="12">
        <f t="shared" si="14"/>
        <v>0.90518974176707556</v>
      </c>
      <c r="AY70" s="12">
        <f t="shared" si="15"/>
        <v>0.29449396236209441</v>
      </c>
      <c r="AZ70" s="12">
        <f t="shared" si="16"/>
        <v>0.35744495884074151</v>
      </c>
    </row>
    <row r="71" spans="1:52" x14ac:dyDescent="0.55000000000000004">
      <c r="A71" s="12" t="s">
        <v>372</v>
      </c>
      <c r="B71" s="12" t="s">
        <v>373</v>
      </c>
      <c r="C71" s="12" t="s">
        <v>322</v>
      </c>
      <c r="D71" s="12" t="s">
        <v>9</v>
      </c>
      <c r="E71" s="12">
        <v>1952</v>
      </c>
      <c r="F71" s="12">
        <v>70.218153000000001</v>
      </c>
      <c r="G71" s="12">
        <v>38.900148999999999</v>
      </c>
      <c r="H71" s="14">
        <f t="shared" si="17"/>
        <v>75933.090847999993</v>
      </c>
      <c r="I71" s="12">
        <v>45.509520000000002</v>
      </c>
      <c r="J71" s="12">
        <v>18.260479</v>
      </c>
      <c r="K71" s="12">
        <v>21.157012000000002</v>
      </c>
      <c r="L71" s="12">
        <v>46.678454000000002</v>
      </c>
      <c r="M71" s="12">
        <v>42.080401999999999</v>
      </c>
      <c r="N71" s="12">
        <v>12.297681000000001</v>
      </c>
      <c r="O71" s="12">
        <v>14.653426</v>
      </c>
      <c r="P71" s="12">
        <v>45.282949000000002</v>
      </c>
      <c r="Q71" s="12">
        <v>327.35089900000003</v>
      </c>
      <c r="R71" s="15">
        <v>22.409229</v>
      </c>
      <c r="S71" s="15">
        <v>1992.048761</v>
      </c>
      <c r="T71" s="15">
        <v>1992.6805253494683</v>
      </c>
      <c r="AP71" s="12">
        <f t="shared" si="9"/>
        <v>1.1999556608382143</v>
      </c>
      <c r="AQ71" s="12">
        <f t="shared" si="10"/>
        <v>1.1640816337233053</v>
      </c>
      <c r="AU71" s="12">
        <f t="shared" si="11"/>
        <v>0.97495773960294396</v>
      </c>
      <c r="AV71" s="12">
        <f t="shared" si="12"/>
        <v>0.39119716775538449</v>
      </c>
      <c r="AW71" s="12">
        <f t="shared" si="13"/>
        <v>0.45325005836740012</v>
      </c>
      <c r="AX71" s="12">
        <f t="shared" si="14"/>
        <v>0.92927697796360387</v>
      </c>
      <c r="AY71" s="12">
        <f t="shared" si="15"/>
        <v>0.27157420776637142</v>
      </c>
      <c r="AZ71" s="12">
        <f t="shared" si="16"/>
        <v>0.32359699011652265</v>
      </c>
    </row>
    <row r="72" spans="1:52" x14ac:dyDescent="0.55000000000000004">
      <c r="A72" s="12" t="s">
        <v>374</v>
      </c>
      <c r="B72" s="12" t="s">
        <v>375</v>
      </c>
      <c r="C72" s="12" t="s">
        <v>322</v>
      </c>
      <c r="D72" s="12" t="s">
        <v>9</v>
      </c>
      <c r="E72" s="12">
        <v>1996</v>
      </c>
      <c r="F72" s="12">
        <v>71.457732000000007</v>
      </c>
      <c r="G72" s="12">
        <v>79.964777999999995</v>
      </c>
      <c r="H72" s="14">
        <f t="shared" si="17"/>
        <v>159609.69688799998</v>
      </c>
      <c r="I72" s="12">
        <v>93.053652</v>
      </c>
      <c r="J72" s="12">
        <v>39.346403000000002</v>
      </c>
      <c r="K72" s="12">
        <v>40.574829999999999</v>
      </c>
      <c r="L72" s="12">
        <v>101.05332</v>
      </c>
      <c r="M72" s="12">
        <v>46.428114000000001</v>
      </c>
      <c r="N72" s="12">
        <v>20.682158999999999</v>
      </c>
      <c r="O72" s="12">
        <v>19.172975999999998</v>
      </c>
      <c r="P72" s="12">
        <v>47.781058999999999</v>
      </c>
      <c r="Q72" s="12">
        <v>850.96516699999995</v>
      </c>
      <c r="R72" s="15">
        <v>1577.530295</v>
      </c>
      <c r="S72" s="15">
        <v>2022.9001820000001</v>
      </c>
      <c r="T72" s="15">
        <v>2023.7628227399566</v>
      </c>
      <c r="AP72" s="12">
        <f t="shared" si="9"/>
        <v>1.2637228855934548</v>
      </c>
      <c r="AQ72" s="12">
        <f t="shared" si="10"/>
        <v>0.59752631339763118</v>
      </c>
      <c r="AU72" s="12">
        <f t="shared" si="11"/>
        <v>0.92083715804686084</v>
      </c>
      <c r="AV72" s="12">
        <f t="shared" si="12"/>
        <v>0.38936279382013378</v>
      </c>
      <c r="AW72" s="12">
        <f t="shared" si="13"/>
        <v>0.40151901986001054</v>
      </c>
      <c r="AX72" s="12">
        <f t="shared" si="14"/>
        <v>0.97168449112858724</v>
      </c>
      <c r="AY72" s="12">
        <f t="shared" si="15"/>
        <v>0.4328526707622784</v>
      </c>
      <c r="AZ72" s="12">
        <f t="shared" si="16"/>
        <v>0.40126728878068607</v>
      </c>
    </row>
    <row r="73" spans="1:52" x14ac:dyDescent="0.55000000000000004">
      <c r="A73" s="12" t="s">
        <v>376</v>
      </c>
      <c r="B73" s="12" t="s">
        <v>377</v>
      </c>
      <c r="C73" s="12" t="s">
        <v>322</v>
      </c>
      <c r="D73" s="12" t="s">
        <v>9</v>
      </c>
      <c r="E73" s="12">
        <v>1916</v>
      </c>
      <c r="F73" s="12">
        <v>70.361940000000004</v>
      </c>
      <c r="G73" s="12">
        <v>42.611449</v>
      </c>
      <c r="H73" s="14">
        <f t="shared" si="17"/>
        <v>81643.536284000002</v>
      </c>
      <c r="I73" s="12">
        <v>115.350629</v>
      </c>
      <c r="J73" s="12">
        <v>21.820121</v>
      </c>
      <c r="K73" s="12">
        <v>24.963559</v>
      </c>
      <c r="L73" s="12">
        <v>117.511303</v>
      </c>
      <c r="M73" s="12">
        <v>48.446240000000003</v>
      </c>
      <c r="N73" s="12">
        <v>15.714316</v>
      </c>
      <c r="O73" s="12">
        <v>22.390153999999999</v>
      </c>
      <c r="P73" s="12">
        <v>48.942988</v>
      </c>
      <c r="Q73" s="12">
        <v>1397.212278</v>
      </c>
      <c r="R73" s="15">
        <v>89.777651000000006</v>
      </c>
      <c r="S73" s="15">
        <v>2909.9677200000001</v>
      </c>
      <c r="T73" s="15">
        <v>3002.3034348329893</v>
      </c>
      <c r="AP73" s="12">
        <f t="shared" si="9"/>
        <v>2.757740132235353</v>
      </c>
      <c r="AQ73" s="12">
        <f t="shared" si="10"/>
        <v>1.1485877422286204</v>
      </c>
      <c r="AU73" s="12">
        <f t="shared" si="11"/>
        <v>0.98161305385236008</v>
      </c>
      <c r="AV73" s="12">
        <f t="shared" si="12"/>
        <v>0.18568529531154973</v>
      </c>
      <c r="AW73" s="12">
        <f t="shared" si="13"/>
        <v>0.21243538589645289</v>
      </c>
      <c r="AX73" s="12">
        <f t="shared" si="14"/>
        <v>0.98985047664029024</v>
      </c>
      <c r="AY73" s="12">
        <f t="shared" si="15"/>
        <v>0.32107389928869895</v>
      </c>
      <c r="AZ73" s="12">
        <f t="shared" si="16"/>
        <v>0.45747419426047298</v>
      </c>
    </row>
    <row r="74" spans="1:52" x14ac:dyDescent="0.55000000000000004">
      <c r="A74" s="12" t="s">
        <v>378</v>
      </c>
      <c r="B74" s="12" t="s">
        <v>379</v>
      </c>
      <c r="C74" s="12" t="s">
        <v>322</v>
      </c>
      <c r="D74" s="12" t="s">
        <v>9</v>
      </c>
      <c r="E74" s="12">
        <v>2054</v>
      </c>
      <c r="F74" s="12">
        <v>71.843710999999999</v>
      </c>
      <c r="G74" s="12">
        <v>55.884152</v>
      </c>
      <c r="H74" s="14">
        <f t="shared" si="17"/>
        <v>114786.04820800001</v>
      </c>
      <c r="I74" s="12">
        <v>81.201275999999993</v>
      </c>
      <c r="J74" s="12">
        <v>28.060518999999999</v>
      </c>
      <c r="K74" s="12">
        <v>22.848137999999999</v>
      </c>
      <c r="L74" s="12">
        <v>87.146185000000003</v>
      </c>
      <c r="M74" s="12">
        <v>44.271321999999998</v>
      </c>
      <c r="N74" s="12">
        <v>18.995343999999999</v>
      </c>
      <c r="O74" s="12">
        <v>15.159770999999999</v>
      </c>
      <c r="P74" s="12">
        <v>46.492404000000001</v>
      </c>
      <c r="Q74" s="12">
        <v>525.63421000000005</v>
      </c>
      <c r="R74" s="15">
        <v>300.59689500000002</v>
      </c>
      <c r="S74" s="15">
        <v>1061.841369</v>
      </c>
      <c r="T74" s="15">
        <v>1134.8820853460616</v>
      </c>
      <c r="AP74" s="12">
        <f t="shared" si="9"/>
        <v>1.5594078442847268</v>
      </c>
      <c r="AQ74" s="12">
        <f t="shared" si="10"/>
        <v>0.83194255144105966</v>
      </c>
      <c r="AU74" s="12">
        <f t="shared" si="11"/>
        <v>0.93178233791875098</v>
      </c>
      <c r="AV74" s="12">
        <f t="shared" si="12"/>
        <v>0.32199365927492979</v>
      </c>
      <c r="AW74" s="12">
        <f t="shared" si="13"/>
        <v>0.2621817352073415</v>
      </c>
      <c r="AX74" s="12">
        <f t="shared" si="14"/>
        <v>0.95222699174686676</v>
      </c>
      <c r="AY74" s="12">
        <f t="shared" si="15"/>
        <v>0.40856876318978902</v>
      </c>
      <c r="AZ74" s="12">
        <f t="shared" si="16"/>
        <v>0.32606984573221892</v>
      </c>
    </row>
    <row r="75" spans="1:52" x14ac:dyDescent="0.55000000000000004">
      <c r="A75" s="12" t="s">
        <v>68</v>
      </c>
      <c r="B75" s="12" t="s">
        <v>69</v>
      </c>
      <c r="C75" s="12" t="s">
        <v>8</v>
      </c>
      <c r="D75" s="12" t="s">
        <v>9</v>
      </c>
      <c r="E75" s="12">
        <v>1644</v>
      </c>
      <c r="F75" s="12">
        <v>67.479410000000001</v>
      </c>
      <c r="G75" s="12">
        <v>37.226773000000001</v>
      </c>
      <c r="H75" s="14">
        <f t="shared" si="17"/>
        <v>61200.814812000004</v>
      </c>
      <c r="I75" s="12">
        <v>258.09911799999998</v>
      </c>
      <c r="J75" s="12">
        <v>106.51496400000001</v>
      </c>
      <c r="K75" s="12">
        <v>229.44343499999999</v>
      </c>
      <c r="L75" s="12">
        <v>359.40427899999997</v>
      </c>
      <c r="M75" s="12">
        <v>36.184604</v>
      </c>
      <c r="N75" s="12">
        <v>20.975068</v>
      </c>
      <c r="O75" s="12">
        <v>29.549468999999998</v>
      </c>
      <c r="P75" s="12">
        <v>40.484791999999999</v>
      </c>
      <c r="Q75" s="12">
        <v>1197.2692509999999</v>
      </c>
      <c r="R75" s="15">
        <v>4166.8344429999997</v>
      </c>
      <c r="S75" s="15">
        <v>1805.0310730000001</v>
      </c>
      <c r="T75" s="15">
        <v>4167.7947322345735</v>
      </c>
      <c r="AP75" s="12">
        <f t="shared" si="9"/>
        <v>9.6544569952383448</v>
      </c>
      <c r="AQ75" s="12">
        <f t="shared" si="10"/>
        <v>1.0875181687115345</v>
      </c>
      <c r="AU75" s="12">
        <f t="shared" si="11"/>
        <v>0.71813034257168651</v>
      </c>
      <c r="AV75" s="12">
        <f t="shared" si="12"/>
        <v>0.29636531956816242</v>
      </c>
      <c r="AW75" s="12">
        <f t="shared" si="13"/>
        <v>0.63839928572469784</v>
      </c>
      <c r="AX75" s="12">
        <f t="shared" si="14"/>
        <v>0.89378263324163798</v>
      </c>
      <c r="AY75" s="12">
        <f t="shared" si="15"/>
        <v>0.51809746237550147</v>
      </c>
      <c r="AZ75" s="12">
        <f t="shared" si="16"/>
        <v>0.72989059694316816</v>
      </c>
    </row>
    <row r="76" spans="1:52" x14ac:dyDescent="0.55000000000000004">
      <c r="A76" s="12" t="s">
        <v>380</v>
      </c>
      <c r="B76" s="12" t="s">
        <v>381</v>
      </c>
      <c r="C76" s="12" t="s">
        <v>322</v>
      </c>
      <c r="D76" s="12" t="s">
        <v>9</v>
      </c>
      <c r="E76" s="12">
        <v>2122</v>
      </c>
      <c r="F76" s="12">
        <v>70.387922999999986</v>
      </c>
      <c r="G76" s="12">
        <v>56.029125000000001</v>
      </c>
      <c r="H76" s="14">
        <f t="shared" si="17"/>
        <v>118893.80325</v>
      </c>
      <c r="I76" s="12">
        <v>94.076329999999999</v>
      </c>
      <c r="J76" s="12">
        <v>14.556454</v>
      </c>
      <c r="K76" s="12">
        <v>19.535743</v>
      </c>
      <c r="L76" s="12">
        <v>94.551297000000005</v>
      </c>
      <c r="M76" s="12">
        <v>58.006850999999997</v>
      </c>
      <c r="N76" s="12">
        <v>16.039860000000001</v>
      </c>
      <c r="O76" s="12">
        <v>18.954944999999999</v>
      </c>
      <c r="P76" s="12">
        <v>60.552970999999999</v>
      </c>
      <c r="Q76" s="12">
        <v>1337.9222279999999</v>
      </c>
      <c r="R76" s="15">
        <v>38.408768000000002</v>
      </c>
      <c r="S76" s="15">
        <v>1952.4933060000001</v>
      </c>
      <c r="T76" s="15">
        <v>2364.5386211593964</v>
      </c>
      <c r="AP76" s="12">
        <f t="shared" si="9"/>
        <v>1.6875383472435095</v>
      </c>
      <c r="AQ76" s="12">
        <f t="shared" si="10"/>
        <v>1.0807409717713778</v>
      </c>
      <c r="AU76" s="12">
        <f t="shared" si="11"/>
        <v>0.99497662099759454</v>
      </c>
      <c r="AV76" s="12">
        <f t="shared" si="12"/>
        <v>0.15395298067672197</v>
      </c>
      <c r="AW76" s="12">
        <f t="shared" si="13"/>
        <v>0.20661528313038369</v>
      </c>
      <c r="AX76" s="12">
        <f t="shared" si="14"/>
        <v>0.95795218701985729</v>
      </c>
      <c r="AY76" s="12">
        <f t="shared" si="15"/>
        <v>0.26488972770634162</v>
      </c>
      <c r="AZ76" s="12">
        <f t="shared" si="16"/>
        <v>0.31303080075129591</v>
      </c>
    </row>
    <row r="77" spans="1:52" x14ac:dyDescent="0.55000000000000004">
      <c r="A77" s="12" t="s">
        <v>494</v>
      </c>
      <c r="B77" s="12" t="s">
        <v>495</v>
      </c>
      <c r="C77" s="12" t="s">
        <v>485</v>
      </c>
      <c r="D77" s="12" t="s">
        <v>9</v>
      </c>
      <c r="E77" s="12">
        <v>2056</v>
      </c>
      <c r="F77" s="12">
        <v>71.451756000000003</v>
      </c>
      <c r="G77" s="12">
        <v>38.629671999999999</v>
      </c>
      <c r="H77" s="14">
        <f t="shared" si="17"/>
        <v>79422.605631999992</v>
      </c>
      <c r="I77" s="12">
        <v>78.046700000000001</v>
      </c>
      <c r="J77" s="12">
        <v>30.366161999999999</v>
      </c>
      <c r="K77" s="12">
        <v>25.001231000000001</v>
      </c>
      <c r="L77" s="12">
        <v>85.625711999999993</v>
      </c>
      <c r="M77" s="12">
        <v>40.253551000000002</v>
      </c>
      <c r="N77" s="12">
        <v>15.718310000000001</v>
      </c>
      <c r="O77" s="12">
        <v>15.354677000000001</v>
      </c>
      <c r="P77" s="12">
        <v>42.700009000000001</v>
      </c>
      <c r="Q77" s="12">
        <v>514.26245400000005</v>
      </c>
      <c r="R77" s="15">
        <v>238.746768</v>
      </c>
      <c r="S77" s="15">
        <v>1401.892126</v>
      </c>
      <c r="T77" s="15">
        <v>1402.9143559901938</v>
      </c>
      <c r="AP77" s="12">
        <f t="shared" si="9"/>
        <v>2.2165787998407027</v>
      </c>
      <c r="AQ77" s="12">
        <f t="shared" si="10"/>
        <v>1.1053681480909288</v>
      </c>
      <c r="AU77" s="12">
        <f t="shared" si="11"/>
        <v>0.91148672725781255</v>
      </c>
      <c r="AV77" s="12">
        <f t="shared" si="12"/>
        <v>0.35463835909475416</v>
      </c>
      <c r="AW77" s="12">
        <f t="shared" si="13"/>
        <v>0.29198275162955728</v>
      </c>
      <c r="AX77" s="12">
        <f t="shared" si="14"/>
        <v>0.94270591371538115</v>
      </c>
      <c r="AY77" s="12">
        <f t="shared" si="15"/>
        <v>0.36811022686201306</v>
      </c>
      <c r="AZ77" s="12">
        <f t="shared" si="16"/>
        <v>0.35959423334079393</v>
      </c>
    </row>
    <row r="78" spans="1:52" x14ac:dyDescent="0.55000000000000004">
      <c r="A78" s="12" t="s">
        <v>524</v>
      </c>
      <c r="B78" s="12" t="s">
        <v>525</v>
      </c>
      <c r="C78" s="12" t="s">
        <v>515</v>
      </c>
      <c r="D78" s="12" t="s">
        <v>9</v>
      </c>
      <c r="E78" s="12">
        <v>2456</v>
      </c>
      <c r="F78" s="12">
        <v>70.361230000000006</v>
      </c>
      <c r="G78" s="12">
        <v>43.185122999999997</v>
      </c>
      <c r="H78" s="14">
        <f t="shared" si="17"/>
        <v>106062.662088</v>
      </c>
      <c r="I78" s="12">
        <v>40.578564999999998</v>
      </c>
      <c r="J78" s="12">
        <v>18.492622000000001</v>
      </c>
      <c r="K78" s="12">
        <v>17.320506000000002</v>
      </c>
      <c r="L78" s="12">
        <v>45.664752999999997</v>
      </c>
      <c r="M78" s="12">
        <v>35.121327999999998</v>
      </c>
      <c r="N78" s="12">
        <v>14.815275</v>
      </c>
      <c r="O78" s="12">
        <v>6.1876410000000002</v>
      </c>
      <c r="P78" s="12">
        <v>36.778143</v>
      </c>
      <c r="Q78" s="12">
        <v>518.97076900000002</v>
      </c>
      <c r="R78" s="15">
        <v>98.795801999999995</v>
      </c>
      <c r="S78" s="15">
        <v>1463.3528510000001</v>
      </c>
      <c r="T78" s="15">
        <v>1466.2823942309874</v>
      </c>
      <c r="AP78" s="12">
        <f t="shared" si="9"/>
        <v>1.0574186161285219</v>
      </c>
      <c r="AQ78" s="12">
        <f t="shared" si="10"/>
        <v>0.85163918602246436</v>
      </c>
      <c r="AU78" s="12">
        <f t="shared" si="11"/>
        <v>0.88861895300298677</v>
      </c>
      <c r="AV78" s="12">
        <f t="shared" si="12"/>
        <v>0.40496489710565176</v>
      </c>
      <c r="AW78" s="12">
        <f t="shared" si="13"/>
        <v>0.37929704776898721</v>
      </c>
      <c r="AX78" s="12">
        <f t="shared" si="14"/>
        <v>0.95495109690557234</v>
      </c>
      <c r="AY78" s="12">
        <f t="shared" si="15"/>
        <v>0.40282825046386928</v>
      </c>
      <c r="AZ78" s="12">
        <f t="shared" si="16"/>
        <v>0.1682423443728521</v>
      </c>
    </row>
    <row r="79" spans="1:52" x14ac:dyDescent="0.55000000000000004">
      <c r="A79" s="12" t="s">
        <v>70</v>
      </c>
      <c r="B79" s="12" t="s">
        <v>69</v>
      </c>
      <c r="C79" s="12" t="s">
        <v>8</v>
      </c>
      <c r="D79" s="12" t="s">
        <v>9</v>
      </c>
      <c r="E79" s="12">
        <v>1627</v>
      </c>
      <c r="F79" s="12">
        <v>69.073356000000004</v>
      </c>
      <c r="G79" s="12">
        <v>31.436682000000001</v>
      </c>
      <c r="H79" s="14">
        <f t="shared" si="17"/>
        <v>51147.481614000004</v>
      </c>
      <c r="I79" s="12">
        <v>43.789551000000003</v>
      </c>
      <c r="J79" s="12">
        <v>25.754318000000001</v>
      </c>
      <c r="K79" s="12">
        <v>32.812266000000001</v>
      </c>
      <c r="L79" s="12">
        <v>48.410668999999999</v>
      </c>
      <c r="M79" s="12">
        <v>32.838377000000001</v>
      </c>
      <c r="N79" s="12">
        <v>17.083998999999999</v>
      </c>
      <c r="O79" s="12">
        <v>14.265473</v>
      </c>
      <c r="P79" s="12">
        <v>36.517964999999997</v>
      </c>
      <c r="Q79" s="12">
        <v>782.03495199999998</v>
      </c>
      <c r="R79" s="15">
        <v>3208.3134399999999</v>
      </c>
      <c r="S79" s="15">
        <v>1302.6379119999999</v>
      </c>
      <c r="T79" s="15">
        <v>3297.3486339579044</v>
      </c>
      <c r="AP79" s="12">
        <f t="shared" si="9"/>
        <v>1.5399420651327007</v>
      </c>
      <c r="AQ79" s="12">
        <f t="shared" si="10"/>
        <v>1.161635474125418</v>
      </c>
      <c r="AU79" s="12">
        <f t="shared" si="11"/>
        <v>0.9045433972416288</v>
      </c>
      <c r="AV79" s="12">
        <f t="shared" si="12"/>
        <v>0.5319967381570373</v>
      </c>
      <c r="AW79" s="12">
        <f t="shared" si="13"/>
        <v>0.67778997228895976</v>
      </c>
      <c r="AX79" s="12">
        <f t="shared" si="14"/>
        <v>0.89923896361694866</v>
      </c>
      <c r="AY79" s="12">
        <f t="shared" si="15"/>
        <v>0.46782450774570816</v>
      </c>
      <c r="AZ79" s="12">
        <f t="shared" si="16"/>
        <v>0.39064260563259756</v>
      </c>
    </row>
    <row r="80" spans="1:52" x14ac:dyDescent="0.55000000000000004">
      <c r="A80" s="12" t="s">
        <v>71</v>
      </c>
      <c r="B80" s="12" t="s">
        <v>72</v>
      </c>
      <c r="C80" s="12" t="s">
        <v>8</v>
      </c>
      <c r="D80" s="12" t="s">
        <v>9</v>
      </c>
      <c r="E80" s="12">
        <v>1730</v>
      </c>
      <c r="F80" s="12">
        <v>72.207373000000004</v>
      </c>
      <c r="G80" s="12">
        <v>39.997083000000003</v>
      </c>
      <c r="H80" s="14">
        <f t="shared" si="17"/>
        <v>69194.953590000005</v>
      </c>
      <c r="I80" s="12">
        <v>40.274166999999998</v>
      </c>
      <c r="J80" s="12">
        <v>13.317748999999999</v>
      </c>
      <c r="K80" s="12">
        <v>21.191679000000001</v>
      </c>
      <c r="L80" s="12">
        <v>42.857826000000003</v>
      </c>
      <c r="M80" s="12">
        <v>34.339556999999999</v>
      </c>
      <c r="N80" s="12">
        <v>16.461556999999999</v>
      </c>
      <c r="O80" s="12">
        <v>11.641252</v>
      </c>
      <c r="P80" s="12">
        <v>37.850223</v>
      </c>
      <c r="Q80" s="12">
        <v>659.845732</v>
      </c>
      <c r="R80" s="15">
        <v>55.758823999999997</v>
      </c>
      <c r="S80" s="15">
        <v>1030.6701599999999</v>
      </c>
      <c r="T80" s="15">
        <v>1141.4825046715525</v>
      </c>
      <c r="AP80" s="12">
        <f t="shared" si="9"/>
        <v>1.0715237908724493</v>
      </c>
      <c r="AQ80" s="12">
        <f t="shared" si="10"/>
        <v>0.94632458572041356</v>
      </c>
      <c r="AU80" s="12">
        <f t="shared" si="11"/>
        <v>0.93971558426692003</v>
      </c>
      <c r="AV80" s="12">
        <f t="shared" si="12"/>
        <v>0.31074252343084313</v>
      </c>
      <c r="AW80" s="12">
        <f t="shared" si="13"/>
        <v>0.49446462823382592</v>
      </c>
      <c r="AX80" s="12">
        <f t="shared" si="14"/>
        <v>0.90724847248588203</v>
      </c>
      <c r="AY80" s="12">
        <f t="shared" si="15"/>
        <v>0.43491307831924791</v>
      </c>
      <c r="AZ80" s="12">
        <f t="shared" si="16"/>
        <v>0.30756098847819208</v>
      </c>
    </row>
    <row r="81" spans="1:52" x14ac:dyDescent="0.55000000000000004">
      <c r="A81" s="12" t="s">
        <v>73</v>
      </c>
      <c r="B81" s="12" t="s">
        <v>74</v>
      </c>
      <c r="C81" s="12" t="s">
        <v>8</v>
      </c>
      <c r="D81" s="12" t="s">
        <v>9</v>
      </c>
      <c r="E81" s="12">
        <v>1598</v>
      </c>
      <c r="F81" s="12">
        <v>70.150265000000005</v>
      </c>
      <c r="G81" s="12">
        <v>45.640614999999997</v>
      </c>
      <c r="H81" s="14">
        <f t="shared" si="17"/>
        <v>72933.702769999989</v>
      </c>
      <c r="I81" s="12">
        <v>43.421194</v>
      </c>
      <c r="J81" s="12">
        <v>23.827318999999999</v>
      </c>
      <c r="K81" s="12">
        <v>17.116226000000001</v>
      </c>
      <c r="L81" s="12">
        <v>44.539448</v>
      </c>
      <c r="M81" s="12">
        <v>43.700943000000002</v>
      </c>
      <c r="N81" s="12">
        <v>16.731120000000001</v>
      </c>
      <c r="O81" s="12">
        <v>6.404191</v>
      </c>
      <c r="P81" s="12">
        <v>45.785020000000003</v>
      </c>
      <c r="Q81" s="12">
        <v>547.74221599999998</v>
      </c>
      <c r="R81" s="15">
        <v>747.88561800000002</v>
      </c>
      <c r="S81" s="15">
        <v>1026.4938979999999</v>
      </c>
      <c r="T81" s="15">
        <v>1028.3072860129191</v>
      </c>
      <c r="AP81" s="12">
        <f t="shared" si="9"/>
        <v>0.97587309022895519</v>
      </c>
      <c r="AQ81" s="12">
        <f t="shared" si="10"/>
        <v>1.0031639582420178</v>
      </c>
      <c r="AU81" s="12">
        <f t="shared" si="11"/>
        <v>0.97489295332084047</v>
      </c>
      <c r="AV81" s="12">
        <f t="shared" si="12"/>
        <v>0.5349711339035903</v>
      </c>
      <c r="AW81" s="12">
        <f t="shared" si="13"/>
        <v>0.38429362662958916</v>
      </c>
      <c r="AX81" s="12">
        <f t="shared" si="14"/>
        <v>0.95448124735994433</v>
      </c>
      <c r="AY81" s="12">
        <f t="shared" si="15"/>
        <v>0.3654278189678633</v>
      </c>
      <c r="AZ81" s="12">
        <f t="shared" si="16"/>
        <v>0.13987524740624771</v>
      </c>
    </row>
    <row r="82" spans="1:52" x14ac:dyDescent="0.55000000000000004">
      <c r="A82" s="12" t="s">
        <v>75</v>
      </c>
      <c r="B82" s="12" t="s">
        <v>76</v>
      </c>
      <c r="C82" s="12" t="s">
        <v>8</v>
      </c>
      <c r="D82" s="12" t="s">
        <v>9</v>
      </c>
      <c r="E82" s="12">
        <v>1576</v>
      </c>
      <c r="F82" s="12">
        <v>70.113527999999988</v>
      </c>
      <c r="G82" s="12">
        <v>62.618588000000003</v>
      </c>
      <c r="H82" s="14">
        <f t="shared" si="17"/>
        <v>98686.894688</v>
      </c>
      <c r="I82" s="12">
        <v>87.030456999999998</v>
      </c>
      <c r="J82" s="12">
        <v>25.034134000000002</v>
      </c>
      <c r="K82" s="12">
        <v>28.396052999999998</v>
      </c>
      <c r="L82" s="12">
        <v>92.560462000000001</v>
      </c>
      <c r="M82" s="12">
        <v>46.376877</v>
      </c>
      <c r="N82" s="12">
        <v>17.206745999999999</v>
      </c>
      <c r="O82" s="12">
        <v>7.5194749999999999</v>
      </c>
      <c r="P82" s="12">
        <v>48.213343999999999</v>
      </c>
      <c r="Q82" s="12">
        <v>431.09112299999998</v>
      </c>
      <c r="R82" s="15">
        <v>229.840902</v>
      </c>
      <c r="S82" s="15">
        <v>1493.4491069999999</v>
      </c>
      <c r="T82" s="15">
        <v>1494.0718569851063</v>
      </c>
      <c r="AP82" s="12">
        <f t="shared" si="9"/>
        <v>1.4781627142406979</v>
      </c>
      <c r="AQ82" s="12">
        <f t="shared" si="10"/>
        <v>0.76995258979649939</v>
      </c>
      <c r="AU82" s="12">
        <f t="shared" si="11"/>
        <v>0.94025521393789069</v>
      </c>
      <c r="AV82" s="12">
        <f t="shared" si="12"/>
        <v>0.2704625005004837</v>
      </c>
      <c r="AW82" s="12">
        <f t="shared" si="13"/>
        <v>0.30678382957941586</v>
      </c>
      <c r="AX82" s="12">
        <f t="shared" si="14"/>
        <v>0.96190957009744027</v>
      </c>
      <c r="AY82" s="12">
        <f t="shared" si="15"/>
        <v>0.35688762845406447</v>
      </c>
      <c r="AZ82" s="12">
        <f t="shared" si="16"/>
        <v>0.15596252771846733</v>
      </c>
    </row>
    <row r="83" spans="1:52" x14ac:dyDescent="0.55000000000000004">
      <c r="A83" s="12" t="s">
        <v>77</v>
      </c>
      <c r="B83" s="12" t="s">
        <v>78</v>
      </c>
      <c r="C83" s="12" t="s">
        <v>8</v>
      </c>
      <c r="D83" s="12" t="s">
        <v>9</v>
      </c>
      <c r="E83" s="12">
        <v>1696</v>
      </c>
      <c r="F83" s="12">
        <v>68.154015000000001</v>
      </c>
      <c r="G83" s="12">
        <v>33.861314</v>
      </c>
      <c r="H83" s="14">
        <f t="shared" si="17"/>
        <v>57428.788544000003</v>
      </c>
      <c r="I83" s="12">
        <v>42.571786000000003</v>
      </c>
      <c r="J83" s="12">
        <v>21.614450000000001</v>
      </c>
      <c r="K83" s="12">
        <v>21.913627000000002</v>
      </c>
      <c r="L83" s="12">
        <v>48.452480000000001</v>
      </c>
      <c r="M83" s="12">
        <v>31.901713000000001</v>
      </c>
      <c r="N83" s="12">
        <v>14.895595</v>
      </c>
      <c r="O83" s="12">
        <v>5.4935309999999999</v>
      </c>
      <c r="P83" s="12">
        <v>33.958345999999999</v>
      </c>
      <c r="Q83" s="12">
        <v>435.684864</v>
      </c>
      <c r="R83" s="15">
        <v>55.755394000000003</v>
      </c>
      <c r="S83" s="15">
        <v>1051.6274060000001</v>
      </c>
      <c r="T83" s="15">
        <v>1068.7027756316911</v>
      </c>
      <c r="AP83" s="12">
        <f t="shared" si="9"/>
        <v>1.4309096215226615</v>
      </c>
      <c r="AQ83" s="12">
        <f t="shared" si="10"/>
        <v>1.0028655710171199</v>
      </c>
      <c r="AU83" s="12">
        <f t="shared" si="11"/>
        <v>0.87862965941062254</v>
      </c>
      <c r="AV83" s="12">
        <f t="shared" si="12"/>
        <v>0.44609584483601256</v>
      </c>
      <c r="AW83" s="12">
        <f t="shared" si="13"/>
        <v>0.45227049265589708</v>
      </c>
      <c r="AX83" s="12">
        <f t="shared" si="14"/>
        <v>0.93943659682364988</v>
      </c>
      <c r="AY83" s="12">
        <f t="shared" si="15"/>
        <v>0.43864312472698169</v>
      </c>
      <c r="AZ83" s="12">
        <f t="shared" si="16"/>
        <v>0.16177263168235578</v>
      </c>
    </row>
    <row r="84" spans="1:52" x14ac:dyDescent="0.55000000000000004">
      <c r="A84" s="12" t="s">
        <v>79</v>
      </c>
      <c r="B84" s="12" t="s">
        <v>80</v>
      </c>
      <c r="C84" s="12" t="s">
        <v>8</v>
      </c>
      <c r="D84" s="12" t="s">
        <v>9</v>
      </c>
      <c r="E84" s="12">
        <v>1652</v>
      </c>
      <c r="F84" s="12">
        <v>69.265118000000001</v>
      </c>
      <c r="G84" s="12">
        <v>36.625549999999997</v>
      </c>
      <c r="H84" s="14">
        <f t="shared" si="17"/>
        <v>60505.408599999995</v>
      </c>
      <c r="I84" s="12">
        <v>59.884177000000001</v>
      </c>
      <c r="J84" s="12">
        <v>19.946261</v>
      </c>
      <c r="K84" s="12">
        <v>29.937308000000002</v>
      </c>
      <c r="L84" s="12">
        <v>63.808596000000001</v>
      </c>
      <c r="M84" s="12">
        <v>43.631587000000003</v>
      </c>
      <c r="N84" s="12">
        <v>15.985597</v>
      </c>
      <c r="O84" s="12">
        <v>10.035621000000001</v>
      </c>
      <c r="P84" s="12">
        <v>45.647036</v>
      </c>
      <c r="Q84" s="12">
        <v>368.33454</v>
      </c>
      <c r="R84" s="15">
        <v>472.39088800000002</v>
      </c>
      <c r="S84" s="15">
        <v>1609.257402</v>
      </c>
      <c r="T84" s="15">
        <v>1609.2585263556921</v>
      </c>
      <c r="AP84" s="12">
        <f t="shared" si="9"/>
        <v>1.7421880627048605</v>
      </c>
      <c r="AQ84" s="12">
        <f t="shared" si="10"/>
        <v>1.2463167379056426</v>
      </c>
      <c r="AU84" s="12">
        <f t="shared" si="11"/>
        <v>0.93849701692229681</v>
      </c>
      <c r="AV84" s="12">
        <f t="shared" si="12"/>
        <v>0.31259520269024565</v>
      </c>
      <c r="AW84" s="12">
        <f t="shared" si="13"/>
        <v>0.46917358908821627</v>
      </c>
      <c r="AX84" s="12">
        <f t="shared" si="14"/>
        <v>0.95584710034623066</v>
      </c>
      <c r="AY84" s="12">
        <f t="shared" si="15"/>
        <v>0.35020010937840523</v>
      </c>
      <c r="AZ84" s="12">
        <f t="shared" si="16"/>
        <v>0.21985263183353243</v>
      </c>
    </row>
    <row r="85" spans="1:52" x14ac:dyDescent="0.55000000000000004">
      <c r="A85" s="12" t="s">
        <v>81</v>
      </c>
      <c r="B85" s="12" t="s">
        <v>82</v>
      </c>
      <c r="C85" s="12" t="s">
        <v>8</v>
      </c>
      <c r="D85" s="12" t="s">
        <v>9</v>
      </c>
      <c r="E85" s="12">
        <v>1847</v>
      </c>
      <c r="F85" s="12">
        <v>69.896450000000002</v>
      </c>
      <c r="G85" s="12">
        <v>56.138672</v>
      </c>
      <c r="H85" s="14">
        <f t="shared" si="17"/>
        <v>103688.127184</v>
      </c>
      <c r="I85" s="12">
        <v>41.269134999999999</v>
      </c>
      <c r="J85" s="12">
        <v>14.546443</v>
      </c>
      <c r="K85" s="12">
        <v>31.498093000000001</v>
      </c>
      <c r="L85" s="12">
        <v>53.701044000000003</v>
      </c>
      <c r="M85" s="12">
        <v>44.626637000000002</v>
      </c>
      <c r="N85" s="12">
        <v>22.140218000000001</v>
      </c>
      <c r="O85" s="12">
        <v>11.310279</v>
      </c>
      <c r="P85" s="12">
        <v>50.555441999999999</v>
      </c>
      <c r="Q85" s="12">
        <v>607.91430800000001</v>
      </c>
      <c r="R85" s="15">
        <v>965.98684900000001</v>
      </c>
      <c r="S85" s="15">
        <v>1493.319348</v>
      </c>
      <c r="T85" s="15">
        <v>1582.7468373627994</v>
      </c>
      <c r="AP85" s="12">
        <f t="shared" si="9"/>
        <v>0.95657845272862896</v>
      </c>
      <c r="AQ85" s="12">
        <f t="shared" si="10"/>
        <v>0.9005457414453979</v>
      </c>
      <c r="AU85" s="12">
        <f t="shared" si="11"/>
        <v>0.76849781542422146</v>
      </c>
      <c r="AV85" s="12">
        <f t="shared" si="12"/>
        <v>0.27087821607341561</v>
      </c>
      <c r="AW85" s="12">
        <f t="shared" si="13"/>
        <v>0.58654526344031599</v>
      </c>
      <c r="AX85" s="12">
        <f t="shared" si="14"/>
        <v>0.88272667065199439</v>
      </c>
      <c r="AY85" s="12">
        <f t="shared" si="15"/>
        <v>0.43793936170115971</v>
      </c>
      <c r="AZ85" s="12">
        <f t="shared" si="16"/>
        <v>0.22372030690583219</v>
      </c>
    </row>
    <row r="86" spans="1:52" x14ac:dyDescent="0.55000000000000004">
      <c r="A86" s="12" t="s">
        <v>83</v>
      </c>
      <c r="B86" s="12" t="s">
        <v>84</v>
      </c>
      <c r="C86" s="12" t="s">
        <v>8</v>
      </c>
      <c r="D86" s="12" t="s">
        <v>9</v>
      </c>
      <c r="E86" s="12">
        <v>1430</v>
      </c>
      <c r="F86" s="12">
        <v>69.944812999999996</v>
      </c>
      <c r="G86" s="12">
        <v>37.145249999999997</v>
      </c>
      <c r="H86" s="14">
        <f t="shared" si="17"/>
        <v>53117.707499999997</v>
      </c>
      <c r="I86" s="12">
        <v>107.88215099999999</v>
      </c>
      <c r="J86" s="12">
        <v>19.101081000000001</v>
      </c>
      <c r="K86" s="12">
        <v>39.944595</v>
      </c>
      <c r="L86" s="12">
        <v>116.573026</v>
      </c>
      <c r="M86" s="12">
        <v>46.714463000000002</v>
      </c>
      <c r="N86" s="12">
        <v>18.239946</v>
      </c>
      <c r="O86" s="12">
        <v>10.129566000000001</v>
      </c>
      <c r="P86" s="12">
        <v>49.760460999999999</v>
      </c>
      <c r="Q86" s="12">
        <v>525.40614600000004</v>
      </c>
      <c r="R86" s="15">
        <v>509.07234</v>
      </c>
      <c r="S86" s="15">
        <v>1172.579254</v>
      </c>
      <c r="T86" s="15">
        <v>1196.0664429009421</v>
      </c>
      <c r="AP86" s="12">
        <f t="shared" si="9"/>
        <v>3.1383023670590453</v>
      </c>
      <c r="AQ86" s="12">
        <f t="shared" si="10"/>
        <v>1.3396184168904504</v>
      </c>
      <c r="AU86" s="12">
        <f t="shared" si="11"/>
        <v>0.92544694687774509</v>
      </c>
      <c r="AV86" s="12">
        <f t="shared" si="12"/>
        <v>0.16385506712333264</v>
      </c>
      <c r="AW86" s="12">
        <f t="shared" si="13"/>
        <v>0.3426572713313627</v>
      </c>
      <c r="AX86" s="12">
        <f t="shared" si="14"/>
        <v>0.93878678093436474</v>
      </c>
      <c r="AY86" s="12">
        <f t="shared" si="15"/>
        <v>0.36655500438390232</v>
      </c>
      <c r="AZ86" s="12">
        <f t="shared" si="16"/>
        <v>0.20356656261685357</v>
      </c>
    </row>
    <row r="87" spans="1:52" x14ac:dyDescent="0.55000000000000004">
      <c r="A87" s="12" t="s">
        <v>382</v>
      </c>
      <c r="B87" s="12" t="s">
        <v>383</v>
      </c>
      <c r="C87" s="12" t="s">
        <v>322</v>
      </c>
      <c r="D87" s="12" t="s">
        <v>9</v>
      </c>
      <c r="E87" s="12">
        <v>1540</v>
      </c>
      <c r="F87" s="12">
        <v>63.906029999999994</v>
      </c>
      <c r="G87" s="12">
        <v>48.090397000000003</v>
      </c>
      <c r="H87" s="14">
        <f t="shared" si="17"/>
        <v>74059.211380000008</v>
      </c>
      <c r="I87" s="12">
        <v>52.928136000000002</v>
      </c>
      <c r="J87" s="12">
        <v>32.479469000000002</v>
      </c>
      <c r="K87" s="12">
        <v>33.145538000000002</v>
      </c>
      <c r="L87" s="12">
        <v>64.741893000000005</v>
      </c>
      <c r="M87" s="12">
        <v>43.440747999999999</v>
      </c>
      <c r="N87" s="12">
        <v>22.348564</v>
      </c>
      <c r="O87" s="12">
        <v>15.544026000000001</v>
      </c>
      <c r="P87" s="12">
        <v>47.731343000000003</v>
      </c>
      <c r="Q87" s="12">
        <v>873.38225799999998</v>
      </c>
      <c r="R87" s="15">
        <v>2593.0880259999999</v>
      </c>
      <c r="S87" s="15">
        <v>1890.2182270000001</v>
      </c>
      <c r="T87" s="15">
        <v>2734.9525555634791</v>
      </c>
      <c r="AP87" s="12">
        <f t="shared" si="9"/>
        <v>1.3462540764635402</v>
      </c>
      <c r="AQ87" s="12">
        <f t="shared" si="10"/>
        <v>0.99253376926790604</v>
      </c>
      <c r="AU87" s="12">
        <f t="shared" si="11"/>
        <v>0.81752530776324384</v>
      </c>
      <c r="AV87" s="12">
        <f t="shared" si="12"/>
        <v>0.50167623303816589</v>
      </c>
      <c r="AW87" s="12">
        <f t="shared" si="13"/>
        <v>0.51196430107473068</v>
      </c>
      <c r="AX87" s="12">
        <f t="shared" si="14"/>
        <v>0.91010948508195122</v>
      </c>
      <c r="AY87" s="12">
        <f t="shared" si="15"/>
        <v>0.46821569634024329</v>
      </c>
      <c r="AZ87" s="12">
        <f t="shared" si="16"/>
        <v>0.32565658167213102</v>
      </c>
    </row>
    <row r="88" spans="1:52" x14ac:dyDescent="0.55000000000000004">
      <c r="A88" s="12" t="s">
        <v>526</v>
      </c>
      <c r="B88" s="12" t="s">
        <v>527</v>
      </c>
      <c r="C88" s="12" t="s">
        <v>515</v>
      </c>
      <c r="D88" s="12" t="s">
        <v>9</v>
      </c>
      <c r="E88" s="12">
        <v>2300</v>
      </c>
      <c r="F88" s="12">
        <v>72.106394000000009</v>
      </c>
      <c r="G88" s="12">
        <v>36.788462000000003</v>
      </c>
      <c r="H88" s="14">
        <f t="shared" si="17"/>
        <v>84613.462599999999</v>
      </c>
      <c r="I88" s="12">
        <v>65.809774000000004</v>
      </c>
      <c r="J88" s="12">
        <v>33.221038999999998</v>
      </c>
      <c r="K88" s="12">
        <v>30.882822000000001</v>
      </c>
      <c r="L88" s="12">
        <v>71.559268000000003</v>
      </c>
      <c r="M88" s="12">
        <v>37.056972000000002</v>
      </c>
      <c r="N88" s="12">
        <v>20.399201000000001</v>
      </c>
      <c r="O88" s="12">
        <v>14.651996</v>
      </c>
      <c r="P88" s="12">
        <v>40.062493000000003</v>
      </c>
      <c r="Q88" s="12">
        <v>475.43809800000002</v>
      </c>
      <c r="R88" s="15">
        <v>212.99156099999999</v>
      </c>
      <c r="S88" s="15">
        <v>1537.33889</v>
      </c>
      <c r="T88" s="15">
        <v>1568.1566453226765</v>
      </c>
      <c r="AP88" s="12">
        <f t="shared" si="9"/>
        <v>1.9451551956697728</v>
      </c>
      <c r="AQ88" s="12">
        <f t="shared" si="10"/>
        <v>1.0889961368866141</v>
      </c>
      <c r="AU88" s="12">
        <f t="shared" si="11"/>
        <v>0.91965409707656598</v>
      </c>
      <c r="AV88" s="12">
        <f t="shared" si="12"/>
        <v>0.46424509261330055</v>
      </c>
      <c r="AW88" s="12">
        <f t="shared" si="13"/>
        <v>0.43156984221806183</v>
      </c>
      <c r="AX88" s="12">
        <f t="shared" si="14"/>
        <v>0.92497918189963857</v>
      </c>
      <c r="AY88" s="12">
        <f t="shared" si="15"/>
        <v>0.50918451330525039</v>
      </c>
      <c r="AZ88" s="12">
        <f t="shared" si="16"/>
        <v>0.36572851320061384</v>
      </c>
    </row>
    <row r="89" spans="1:52" x14ac:dyDescent="0.55000000000000004">
      <c r="A89" s="12" t="s">
        <v>384</v>
      </c>
      <c r="B89" s="12" t="s">
        <v>385</v>
      </c>
      <c r="C89" s="12" t="s">
        <v>322</v>
      </c>
      <c r="D89" s="12" t="s">
        <v>9</v>
      </c>
      <c r="E89" s="12">
        <v>1742</v>
      </c>
      <c r="F89" s="12">
        <v>69.476821999999999</v>
      </c>
      <c r="G89" s="12">
        <v>42.508834999999998</v>
      </c>
      <c r="H89" s="14">
        <f t="shared" si="17"/>
        <v>74050.390570000003</v>
      </c>
      <c r="I89" s="12">
        <v>55.310744</v>
      </c>
      <c r="J89" s="12">
        <v>13.974988</v>
      </c>
      <c r="K89" s="12">
        <v>30.830089000000001</v>
      </c>
      <c r="L89" s="12">
        <v>60.523322999999998</v>
      </c>
      <c r="M89" s="12">
        <v>52.702947000000002</v>
      </c>
      <c r="N89" s="12">
        <v>15.583662</v>
      </c>
      <c r="O89" s="12">
        <v>13.837370999999999</v>
      </c>
      <c r="P89" s="12">
        <v>55.183616000000001</v>
      </c>
      <c r="Q89" s="12">
        <v>404.33210300000002</v>
      </c>
      <c r="R89" s="15">
        <v>35.508692000000003</v>
      </c>
      <c r="S89" s="15">
        <v>2735.3441969999999</v>
      </c>
      <c r="T89" s="15">
        <v>2737.0478085406276</v>
      </c>
      <c r="AP89" s="12">
        <f t="shared" si="9"/>
        <v>1.4237822090396033</v>
      </c>
      <c r="AQ89" s="12">
        <f t="shared" si="10"/>
        <v>1.2981681572783634</v>
      </c>
      <c r="AU89" s="12">
        <f t="shared" si="11"/>
        <v>0.91387487101460052</v>
      </c>
      <c r="AV89" s="12">
        <f t="shared" si="12"/>
        <v>0.23090252331320274</v>
      </c>
      <c r="AW89" s="12">
        <f t="shared" si="13"/>
        <v>0.50939187526104612</v>
      </c>
      <c r="AX89" s="12">
        <f t="shared" si="14"/>
        <v>0.95504700163178868</v>
      </c>
      <c r="AY89" s="12">
        <f t="shared" si="15"/>
        <v>0.28239653595733921</v>
      </c>
      <c r="AZ89" s="12">
        <f t="shared" si="16"/>
        <v>0.25075143680327144</v>
      </c>
    </row>
    <row r="90" spans="1:52" x14ac:dyDescent="0.55000000000000004">
      <c r="A90" s="12" t="s">
        <v>85</v>
      </c>
      <c r="B90" s="12" t="s">
        <v>86</v>
      </c>
      <c r="C90" s="12" t="s">
        <v>8</v>
      </c>
      <c r="D90" s="12" t="s">
        <v>9</v>
      </c>
      <c r="E90" s="12">
        <v>1558</v>
      </c>
      <c r="F90" s="12">
        <v>70.183374000000001</v>
      </c>
      <c r="G90" s="12">
        <v>38.475569</v>
      </c>
      <c r="H90" s="14">
        <f t="shared" si="17"/>
        <v>59944.936501999997</v>
      </c>
      <c r="I90" s="12">
        <v>38.976188</v>
      </c>
      <c r="J90" s="12">
        <v>12.252833000000001</v>
      </c>
      <c r="K90" s="12">
        <v>25.354277</v>
      </c>
      <c r="L90" s="12">
        <v>41.791285000000002</v>
      </c>
      <c r="M90" s="12">
        <v>35.987074999999997</v>
      </c>
      <c r="N90" s="12">
        <v>11.5045</v>
      </c>
      <c r="O90" s="12">
        <v>11.036692</v>
      </c>
      <c r="P90" s="12">
        <v>37.318209000000003</v>
      </c>
      <c r="Q90" s="12">
        <v>402.35270100000002</v>
      </c>
      <c r="R90" s="15">
        <v>114.182481</v>
      </c>
      <c r="S90" s="15">
        <v>967.05183299999999</v>
      </c>
      <c r="T90" s="15">
        <v>1023.9643939112824</v>
      </c>
      <c r="AP90" s="12">
        <f t="shared" si="9"/>
        <v>1.086177179082134</v>
      </c>
      <c r="AQ90" s="12">
        <f t="shared" si="10"/>
        <v>0.96991961314464259</v>
      </c>
      <c r="AU90" s="12">
        <f t="shared" si="11"/>
        <v>0.9326391375618146</v>
      </c>
      <c r="AV90" s="12">
        <f t="shared" si="12"/>
        <v>0.29319110431756285</v>
      </c>
      <c r="AW90" s="12">
        <f t="shared" si="13"/>
        <v>0.60668814084084755</v>
      </c>
      <c r="AX90" s="12">
        <f t="shared" si="14"/>
        <v>0.96433017458045733</v>
      </c>
      <c r="AY90" s="12">
        <f t="shared" si="15"/>
        <v>0.30828113964418813</v>
      </c>
      <c r="AZ90" s="12">
        <f t="shared" si="16"/>
        <v>0.29574548982240811</v>
      </c>
    </row>
    <row r="91" spans="1:52" x14ac:dyDescent="0.55000000000000004">
      <c r="A91" s="12" t="s">
        <v>87</v>
      </c>
      <c r="B91" s="12" t="s">
        <v>88</v>
      </c>
      <c r="C91" s="12" t="s">
        <v>8</v>
      </c>
      <c r="D91" s="12" t="s">
        <v>9</v>
      </c>
      <c r="E91" s="12">
        <v>1617</v>
      </c>
      <c r="F91" s="12">
        <v>69.19906499999999</v>
      </c>
      <c r="G91" s="12">
        <v>44.372598000000004</v>
      </c>
      <c r="H91" s="14">
        <f t="shared" si="17"/>
        <v>71750.490966000012</v>
      </c>
      <c r="I91" s="12">
        <v>40.565264999999997</v>
      </c>
      <c r="J91" s="12">
        <v>16.643193</v>
      </c>
      <c r="K91" s="12">
        <v>28.745062999999998</v>
      </c>
      <c r="L91" s="12">
        <v>46.403798999999999</v>
      </c>
      <c r="M91" s="12">
        <v>33.306483999999998</v>
      </c>
      <c r="N91" s="12">
        <v>21.655024999999998</v>
      </c>
      <c r="O91" s="12">
        <v>10.759912999999999</v>
      </c>
      <c r="P91" s="12">
        <v>39.495493000000003</v>
      </c>
      <c r="Q91" s="12">
        <v>481.60902900000002</v>
      </c>
      <c r="R91" s="15">
        <v>1604.487431</v>
      </c>
      <c r="S91" s="15">
        <v>1240.0699950000001</v>
      </c>
      <c r="T91" s="15">
        <v>1605.666588984175</v>
      </c>
      <c r="AP91" s="12">
        <f t="shared" si="9"/>
        <v>1.0457760214986735</v>
      </c>
      <c r="AQ91" s="12">
        <f t="shared" si="10"/>
        <v>0.89008745893129815</v>
      </c>
      <c r="AU91" s="12">
        <f t="shared" si="11"/>
        <v>0.87417982738870148</v>
      </c>
      <c r="AV91" s="12">
        <f t="shared" si="12"/>
        <v>0.35866013901146326</v>
      </c>
      <c r="AW91" s="12">
        <f t="shared" si="13"/>
        <v>0.61945495022939823</v>
      </c>
      <c r="AX91" s="12">
        <f t="shared" si="14"/>
        <v>0.84329834799125036</v>
      </c>
      <c r="AY91" s="12">
        <f t="shared" si="15"/>
        <v>0.54829104171455711</v>
      </c>
      <c r="AZ91" s="12">
        <f t="shared" si="16"/>
        <v>0.27243394581756453</v>
      </c>
    </row>
    <row r="92" spans="1:52" x14ac:dyDescent="0.55000000000000004">
      <c r="A92" s="12" t="s">
        <v>89</v>
      </c>
      <c r="B92" s="12" t="s">
        <v>84</v>
      </c>
      <c r="C92" s="12" t="s">
        <v>8</v>
      </c>
      <c r="D92" s="12" t="s">
        <v>9</v>
      </c>
      <c r="E92" s="12">
        <v>1432</v>
      </c>
      <c r="F92" s="12">
        <v>66.572528000000005</v>
      </c>
      <c r="G92" s="12">
        <v>35.876693000000003</v>
      </c>
      <c r="H92" s="14">
        <f t="shared" si="17"/>
        <v>51375.424376000003</v>
      </c>
      <c r="I92" s="12">
        <v>101.15822199999999</v>
      </c>
      <c r="J92" s="12">
        <v>59.927672000000001</v>
      </c>
      <c r="K92" s="12">
        <v>56.542864000000002</v>
      </c>
      <c r="L92" s="12">
        <v>107.33037299999999</v>
      </c>
      <c r="M92" s="12">
        <v>47.029164999999999</v>
      </c>
      <c r="N92" s="12">
        <v>19.900952</v>
      </c>
      <c r="O92" s="12">
        <v>12.837838</v>
      </c>
      <c r="P92" s="12">
        <v>50.673603</v>
      </c>
      <c r="Q92" s="12">
        <v>731.48700199999996</v>
      </c>
      <c r="R92" s="15">
        <v>886.70310800000004</v>
      </c>
      <c r="S92" s="15">
        <v>2312.1742490000001</v>
      </c>
      <c r="T92" s="15">
        <v>2344.9829687598381</v>
      </c>
      <c r="AP92" s="12">
        <f t="shared" si="9"/>
        <v>2.9916462200125298</v>
      </c>
      <c r="AQ92" s="12">
        <f t="shared" si="10"/>
        <v>1.4124379579801292</v>
      </c>
      <c r="AU92" s="12">
        <f t="shared" si="11"/>
        <v>0.94249390151658186</v>
      </c>
      <c r="AV92" s="12">
        <f t="shared" si="12"/>
        <v>0.5583477474731221</v>
      </c>
      <c r="AW92" s="12">
        <f t="shared" si="13"/>
        <v>0.52681139941626776</v>
      </c>
      <c r="AX92" s="12">
        <f t="shared" si="14"/>
        <v>0.92808014855387333</v>
      </c>
      <c r="AY92" s="12">
        <f t="shared" si="15"/>
        <v>0.39272818236350787</v>
      </c>
      <c r="AZ92" s="12">
        <f t="shared" si="16"/>
        <v>0.25334369849327665</v>
      </c>
    </row>
    <row r="93" spans="1:52" x14ac:dyDescent="0.55000000000000004">
      <c r="A93" s="12" t="s">
        <v>90</v>
      </c>
      <c r="B93" s="12" t="s">
        <v>91</v>
      </c>
      <c r="C93" s="12" t="s">
        <v>8</v>
      </c>
      <c r="D93" s="12" t="s">
        <v>9</v>
      </c>
      <c r="E93" s="12">
        <v>1416</v>
      </c>
      <c r="F93" s="12">
        <v>68.826125000000005</v>
      </c>
      <c r="G93" s="12">
        <v>34.585388999999999</v>
      </c>
      <c r="H93" s="14">
        <f t="shared" si="17"/>
        <v>48972.910823999999</v>
      </c>
      <c r="I93" s="12">
        <v>112.154321</v>
      </c>
      <c r="J93" s="12">
        <v>37.357424000000002</v>
      </c>
      <c r="K93" s="12">
        <v>43.360923999999997</v>
      </c>
      <c r="L93" s="12">
        <v>122.042959</v>
      </c>
      <c r="M93" s="12">
        <v>66.571543000000005</v>
      </c>
      <c r="N93" s="12">
        <v>23.215399000000001</v>
      </c>
      <c r="O93" s="12">
        <v>21.446635000000001</v>
      </c>
      <c r="P93" s="12">
        <v>71.264411999999993</v>
      </c>
      <c r="Q93" s="12">
        <v>1606.7815539999999</v>
      </c>
      <c r="R93" s="15">
        <v>89.742086999999998</v>
      </c>
      <c r="S93" s="15">
        <v>2794.6628679999999</v>
      </c>
      <c r="T93" s="15">
        <v>3086.7939261623501</v>
      </c>
      <c r="AP93" s="12">
        <f t="shared" si="9"/>
        <v>3.528743279423574</v>
      </c>
      <c r="AQ93" s="12">
        <f t="shared" si="10"/>
        <v>2.060535216186234</v>
      </c>
      <c r="AU93" s="12">
        <f t="shared" si="11"/>
        <v>0.91897412123545774</v>
      </c>
      <c r="AV93" s="12">
        <f t="shared" si="12"/>
        <v>0.3061006083931479</v>
      </c>
      <c r="AW93" s="12">
        <f t="shared" si="13"/>
        <v>0.35529230326183747</v>
      </c>
      <c r="AX93" s="12">
        <f t="shared" si="14"/>
        <v>0.93414849195696736</v>
      </c>
      <c r="AY93" s="12">
        <f t="shared" si="15"/>
        <v>0.32576426786486368</v>
      </c>
      <c r="AZ93" s="12">
        <f t="shared" si="16"/>
        <v>0.30094453034987512</v>
      </c>
    </row>
    <row r="94" spans="1:52" x14ac:dyDescent="0.55000000000000004">
      <c r="A94" s="12" t="s">
        <v>92</v>
      </c>
      <c r="B94" s="12" t="s">
        <v>93</v>
      </c>
      <c r="C94" s="12" t="s">
        <v>8</v>
      </c>
      <c r="D94" s="12" t="s">
        <v>9</v>
      </c>
      <c r="E94" s="12">
        <v>1412</v>
      </c>
      <c r="F94" s="12">
        <v>65.652470999999991</v>
      </c>
      <c r="G94" s="12">
        <v>44.687247999999997</v>
      </c>
      <c r="H94" s="14">
        <f t="shared" si="17"/>
        <v>63098.394175999994</v>
      </c>
      <c r="I94" s="12">
        <v>53.402374999999999</v>
      </c>
      <c r="J94" s="12">
        <v>15.048736999999999</v>
      </c>
      <c r="K94" s="12">
        <v>29.68355</v>
      </c>
      <c r="L94" s="12">
        <v>54.694330999999998</v>
      </c>
      <c r="M94" s="12">
        <v>33.532350999999998</v>
      </c>
      <c r="N94" s="12">
        <v>18.652159000000001</v>
      </c>
      <c r="O94" s="12">
        <v>15.267382</v>
      </c>
      <c r="P94" s="12">
        <v>39.134061000000003</v>
      </c>
      <c r="Q94" s="12">
        <v>415.35298699999998</v>
      </c>
      <c r="R94" s="15">
        <v>1496.6253400000001</v>
      </c>
      <c r="S94" s="15">
        <v>1472.8229140000001</v>
      </c>
      <c r="T94" s="15">
        <v>1500.8447121498714</v>
      </c>
      <c r="AP94" s="12">
        <f t="shared" si="9"/>
        <v>1.2239359872865745</v>
      </c>
      <c r="AQ94" s="12">
        <f t="shared" si="10"/>
        <v>0.87573217755544053</v>
      </c>
      <c r="AU94" s="12">
        <f t="shared" si="11"/>
        <v>0.97637861225507994</v>
      </c>
      <c r="AV94" s="12">
        <f t="shared" si="12"/>
        <v>0.27514253716715176</v>
      </c>
      <c r="AW94" s="12">
        <f t="shared" si="13"/>
        <v>0.54271712364486191</v>
      </c>
      <c r="AX94" s="12">
        <f t="shared" si="14"/>
        <v>0.8568584538159737</v>
      </c>
      <c r="AY94" s="12">
        <f t="shared" si="15"/>
        <v>0.47662211698397466</v>
      </c>
      <c r="AZ94" s="12">
        <f t="shared" si="16"/>
        <v>0.39013027551625679</v>
      </c>
    </row>
    <row r="95" spans="1:52" x14ac:dyDescent="0.55000000000000004">
      <c r="A95" s="12" t="s">
        <v>94</v>
      </c>
      <c r="B95" s="12" t="s">
        <v>95</v>
      </c>
      <c r="C95" s="12" t="s">
        <v>8</v>
      </c>
      <c r="D95" s="12" t="s">
        <v>9</v>
      </c>
      <c r="E95" s="12">
        <v>1367</v>
      </c>
      <c r="F95" s="12">
        <v>68.881456</v>
      </c>
      <c r="G95" s="12">
        <v>43.384988999999997</v>
      </c>
      <c r="H95" s="14">
        <f t="shared" si="17"/>
        <v>59307.279962999994</v>
      </c>
      <c r="I95" s="12">
        <v>82.659284999999997</v>
      </c>
      <c r="J95" s="12">
        <v>24.45392</v>
      </c>
      <c r="K95" s="12">
        <v>31.282067999999999</v>
      </c>
      <c r="L95" s="12">
        <v>86.616612000000003</v>
      </c>
      <c r="M95" s="12">
        <v>44.339945999999998</v>
      </c>
      <c r="N95" s="12">
        <v>21.002089999999999</v>
      </c>
      <c r="O95" s="12">
        <v>8.6502809999999997</v>
      </c>
      <c r="P95" s="12">
        <v>48.29316</v>
      </c>
      <c r="Q95" s="12">
        <v>1008.695959</v>
      </c>
      <c r="R95" s="15">
        <v>232.018102</v>
      </c>
      <c r="S95" s="15">
        <v>1032.914798</v>
      </c>
      <c r="T95" s="15">
        <v>1337.1892713336963</v>
      </c>
      <c r="AP95" s="12">
        <f t="shared" si="9"/>
        <v>1.9964649985274863</v>
      </c>
      <c r="AQ95" s="12">
        <f t="shared" si="10"/>
        <v>1.1131306268165702</v>
      </c>
      <c r="AU95" s="12">
        <f t="shared" si="11"/>
        <v>0.95431214742040471</v>
      </c>
      <c r="AV95" s="12">
        <f t="shared" si="12"/>
        <v>0.28232367250753237</v>
      </c>
      <c r="AW95" s="12">
        <f t="shared" si="13"/>
        <v>0.36115552522419136</v>
      </c>
      <c r="AX95" s="12">
        <f t="shared" si="14"/>
        <v>0.91814132684628624</v>
      </c>
      <c r="AY95" s="12">
        <f t="shared" si="15"/>
        <v>0.43488746646523024</v>
      </c>
      <c r="AZ95" s="12">
        <f t="shared" si="16"/>
        <v>0.17912021081246288</v>
      </c>
    </row>
    <row r="96" spans="1:52" x14ac:dyDescent="0.55000000000000004">
      <c r="A96" s="12" t="s">
        <v>96</v>
      </c>
      <c r="B96" s="12" t="s">
        <v>97</v>
      </c>
      <c r="C96" s="12" t="s">
        <v>8</v>
      </c>
      <c r="D96" s="12" t="s">
        <v>9</v>
      </c>
      <c r="E96" s="12">
        <v>1408</v>
      </c>
      <c r="F96" s="12">
        <v>66.646856999999997</v>
      </c>
      <c r="G96" s="12">
        <v>41.835034999999998</v>
      </c>
      <c r="H96" s="14">
        <f t="shared" si="17"/>
        <v>58903.72928</v>
      </c>
      <c r="I96" s="12">
        <v>138.24121700000001</v>
      </c>
      <c r="J96" s="12">
        <v>24.402539000000001</v>
      </c>
      <c r="K96" s="12">
        <v>45.946314000000001</v>
      </c>
      <c r="L96" s="12">
        <v>147.25243499999999</v>
      </c>
      <c r="M96" s="12">
        <v>39.873291000000002</v>
      </c>
      <c r="N96" s="12">
        <v>23.982531999999999</v>
      </c>
      <c r="O96" s="12">
        <v>16.972345000000001</v>
      </c>
      <c r="P96" s="12">
        <v>44.509593000000002</v>
      </c>
      <c r="Q96" s="12">
        <v>806.48139200000003</v>
      </c>
      <c r="R96" s="15">
        <v>484.225212</v>
      </c>
      <c r="S96" s="15">
        <v>1709.8595479999999</v>
      </c>
      <c r="T96" s="15">
        <v>1713.975371032358</v>
      </c>
      <c r="AP96" s="12">
        <f t="shared" si="9"/>
        <v>3.5198353485302452</v>
      </c>
      <c r="AQ96" s="12">
        <f t="shared" si="10"/>
        <v>1.063931056828326</v>
      </c>
      <c r="AU96" s="12">
        <f t="shared" si="11"/>
        <v>0.93880428530774396</v>
      </c>
      <c r="AV96" s="12">
        <f t="shared" si="12"/>
        <v>0.16571908641103289</v>
      </c>
      <c r="AW96" s="12">
        <f t="shared" si="13"/>
        <v>0.31202413732581064</v>
      </c>
      <c r="AX96" s="12">
        <f t="shared" si="14"/>
        <v>0.89583589317475898</v>
      </c>
      <c r="AY96" s="12">
        <f t="shared" si="15"/>
        <v>0.53881714892337929</v>
      </c>
      <c r="AZ96" s="12">
        <f t="shared" si="16"/>
        <v>0.38131880918344951</v>
      </c>
    </row>
    <row r="97" spans="1:52" x14ac:dyDescent="0.55000000000000004">
      <c r="A97" s="12" t="s">
        <v>98</v>
      </c>
      <c r="B97" s="12" t="s">
        <v>84</v>
      </c>
      <c r="C97" s="12" t="s">
        <v>8</v>
      </c>
      <c r="D97" s="12" t="s">
        <v>9</v>
      </c>
      <c r="E97" s="12">
        <v>1435</v>
      </c>
      <c r="F97" s="12">
        <v>69.399932000000007</v>
      </c>
      <c r="G97" s="12">
        <v>41.691203000000002</v>
      </c>
      <c r="H97" s="14">
        <f t="shared" si="17"/>
        <v>59826.876305000005</v>
      </c>
      <c r="I97" s="12">
        <v>70.816301999999993</v>
      </c>
      <c r="J97" s="12">
        <v>13.723924999999999</v>
      </c>
      <c r="K97" s="12">
        <v>33.228771999999999</v>
      </c>
      <c r="L97" s="12">
        <v>73.943203999999994</v>
      </c>
      <c r="M97" s="12">
        <v>42.864530000000002</v>
      </c>
      <c r="N97" s="12">
        <v>27.985157999999998</v>
      </c>
      <c r="O97" s="12">
        <v>14.359805</v>
      </c>
      <c r="P97" s="12">
        <v>50.655163000000002</v>
      </c>
      <c r="Q97" s="12">
        <v>365.87426199999999</v>
      </c>
      <c r="R97" s="15">
        <v>76.626523000000006</v>
      </c>
      <c r="S97" s="15">
        <v>1422.803985</v>
      </c>
      <c r="T97" s="15">
        <v>1431.4676399709124</v>
      </c>
      <c r="AP97" s="12">
        <f t="shared" si="9"/>
        <v>1.773592477050854</v>
      </c>
      <c r="AQ97" s="12">
        <f t="shared" si="10"/>
        <v>1.2150084275572475</v>
      </c>
      <c r="AU97" s="12">
        <f t="shared" si="11"/>
        <v>0.9577121110413338</v>
      </c>
      <c r="AV97" s="12">
        <f t="shared" si="12"/>
        <v>0.18560089714262315</v>
      </c>
      <c r="AW97" s="12">
        <f t="shared" si="13"/>
        <v>0.44938236649848173</v>
      </c>
      <c r="AX97" s="12">
        <f t="shared" si="14"/>
        <v>0.84620258748353061</v>
      </c>
      <c r="AY97" s="12">
        <f t="shared" si="15"/>
        <v>0.55246407952531906</v>
      </c>
      <c r="AZ97" s="12">
        <f t="shared" si="16"/>
        <v>0.28348156731822183</v>
      </c>
    </row>
    <row r="98" spans="1:52" x14ac:dyDescent="0.55000000000000004">
      <c r="A98" s="12" t="s">
        <v>99</v>
      </c>
      <c r="B98" s="12" t="s">
        <v>100</v>
      </c>
      <c r="C98" s="12" t="s">
        <v>8</v>
      </c>
      <c r="D98" s="12" t="s">
        <v>9</v>
      </c>
      <c r="E98" s="12">
        <v>1373</v>
      </c>
      <c r="F98" s="12">
        <v>69.548971000000009</v>
      </c>
      <c r="G98" s="12">
        <v>57.317293999999997</v>
      </c>
      <c r="H98" s="14">
        <f t="shared" si="17"/>
        <v>78696.644661999992</v>
      </c>
      <c r="I98" s="12">
        <v>52.403297999999999</v>
      </c>
      <c r="J98" s="12">
        <v>28.159707000000001</v>
      </c>
      <c r="K98" s="12">
        <v>16.489884</v>
      </c>
      <c r="L98" s="12">
        <v>55.719467000000002</v>
      </c>
      <c r="M98" s="12">
        <v>43.551721999999998</v>
      </c>
      <c r="N98" s="12">
        <v>15.884138</v>
      </c>
      <c r="O98" s="12">
        <v>21.543893000000001</v>
      </c>
      <c r="P98" s="12">
        <v>49.596772000000001</v>
      </c>
      <c r="Q98" s="12">
        <v>1244.687169</v>
      </c>
      <c r="R98" s="15">
        <v>1386.0772139999999</v>
      </c>
      <c r="S98" s="15">
        <v>804.65167399999996</v>
      </c>
      <c r="T98" s="15">
        <v>1481.5740931172368</v>
      </c>
      <c r="AP98" s="12">
        <f t="shared" si="9"/>
        <v>0.97212312570094472</v>
      </c>
      <c r="AQ98" s="12">
        <f t="shared" si="10"/>
        <v>0.86530205002350602</v>
      </c>
      <c r="AU98" s="12">
        <f t="shared" si="11"/>
        <v>0.94048455273271003</v>
      </c>
      <c r="AV98" s="12">
        <f t="shared" si="12"/>
        <v>0.50538363907895956</v>
      </c>
      <c r="AW98" s="12">
        <f t="shared" si="13"/>
        <v>0.29594475481971139</v>
      </c>
      <c r="AX98" s="12">
        <f t="shared" si="14"/>
        <v>0.87811605965001105</v>
      </c>
      <c r="AY98" s="12">
        <f t="shared" si="15"/>
        <v>0.32026556083125729</v>
      </c>
      <c r="AZ98" s="12">
        <f t="shared" si="16"/>
        <v>0.43438095124416565</v>
      </c>
    </row>
    <row r="99" spans="1:52" x14ac:dyDescent="0.55000000000000004">
      <c r="A99" s="12" t="s">
        <v>101</v>
      </c>
      <c r="B99" s="12" t="s">
        <v>102</v>
      </c>
      <c r="C99" s="12" t="s">
        <v>8</v>
      </c>
      <c r="D99" s="12" t="s">
        <v>9</v>
      </c>
      <c r="E99" s="12">
        <v>1415</v>
      </c>
      <c r="F99" s="12">
        <v>67.871733000000006</v>
      </c>
      <c r="G99" s="12">
        <v>39.763509999999997</v>
      </c>
      <c r="H99" s="14">
        <f t="shared" si="17"/>
        <v>56265.366649999996</v>
      </c>
      <c r="I99" s="12">
        <v>69.270508000000007</v>
      </c>
      <c r="J99" s="12">
        <v>29.167023</v>
      </c>
      <c r="K99" s="12">
        <v>42.062465000000003</v>
      </c>
      <c r="L99" s="12">
        <v>80.380371999999994</v>
      </c>
      <c r="M99" s="12">
        <v>66.225271000000006</v>
      </c>
      <c r="N99" s="12">
        <v>26.622021</v>
      </c>
      <c r="O99" s="12">
        <v>19.410285999999999</v>
      </c>
      <c r="P99" s="12">
        <v>67.928664999999995</v>
      </c>
      <c r="Q99" s="12">
        <v>921.79821500000003</v>
      </c>
      <c r="R99" s="15">
        <v>44.829127999999997</v>
      </c>
      <c r="S99" s="15">
        <v>2538.2951480000002</v>
      </c>
      <c r="T99" s="15">
        <v>2695.2481367551181</v>
      </c>
      <c r="AP99" s="12">
        <f t="shared" si="9"/>
        <v>2.0214606809107143</v>
      </c>
      <c r="AQ99" s="12">
        <f t="shared" si="10"/>
        <v>1.7083166199362179</v>
      </c>
      <c r="AU99" s="12">
        <f t="shared" si="11"/>
        <v>0.86178386932571061</v>
      </c>
      <c r="AV99" s="12">
        <f t="shared" si="12"/>
        <v>0.36286250329869091</v>
      </c>
      <c r="AW99" s="12">
        <f t="shared" si="13"/>
        <v>0.52329273868003501</v>
      </c>
      <c r="AX99" s="12">
        <f t="shared" si="14"/>
        <v>0.97492378217649367</v>
      </c>
      <c r="AY99" s="12">
        <f t="shared" si="15"/>
        <v>0.3919114412155752</v>
      </c>
      <c r="AZ99" s="12">
        <f t="shared" si="16"/>
        <v>0.28574514161289644</v>
      </c>
    </row>
    <row r="100" spans="1:52" x14ac:dyDescent="0.55000000000000004">
      <c r="A100" s="12" t="s">
        <v>528</v>
      </c>
      <c r="B100" s="12" t="s">
        <v>529</v>
      </c>
      <c r="C100" s="12" t="s">
        <v>515</v>
      </c>
      <c r="D100" s="12" t="s">
        <v>9</v>
      </c>
      <c r="E100" s="12">
        <v>2052</v>
      </c>
      <c r="F100" s="12">
        <v>70.519166999999996</v>
      </c>
      <c r="G100" s="12">
        <v>38.610641000000001</v>
      </c>
      <c r="H100" s="14">
        <f t="shared" si="17"/>
        <v>79229.035331999999</v>
      </c>
      <c r="I100" s="12">
        <v>31.865658</v>
      </c>
      <c r="J100" s="12">
        <v>7.7336159999999996</v>
      </c>
      <c r="K100" s="12">
        <v>26.211546999999999</v>
      </c>
      <c r="L100" s="12">
        <v>36.374256000000003</v>
      </c>
      <c r="M100" s="12">
        <v>27.683575999999999</v>
      </c>
      <c r="N100" s="12">
        <v>13.471014</v>
      </c>
      <c r="O100" s="12">
        <v>13.012339000000001</v>
      </c>
      <c r="P100" s="12">
        <v>31.733847000000001</v>
      </c>
      <c r="Q100" s="12">
        <v>669.05111099999999</v>
      </c>
      <c r="R100" s="15">
        <v>95.222403999999997</v>
      </c>
      <c r="S100" s="15">
        <v>1088.1460569999999</v>
      </c>
      <c r="T100" s="15">
        <v>1088.421935050611</v>
      </c>
      <c r="AP100" s="12">
        <f t="shared" si="9"/>
        <v>0.94207853218494875</v>
      </c>
      <c r="AQ100" s="12">
        <f t="shared" si="10"/>
        <v>0.82189381419490026</v>
      </c>
      <c r="AU100" s="12">
        <f t="shared" si="11"/>
        <v>0.87604975343000824</v>
      </c>
      <c r="AV100" s="12">
        <f t="shared" si="12"/>
        <v>0.21261234868968865</v>
      </c>
      <c r="AW100" s="12">
        <f t="shared" si="13"/>
        <v>0.72060709640356624</v>
      </c>
      <c r="AX100" s="12">
        <f t="shared" si="14"/>
        <v>0.87236747564831951</v>
      </c>
      <c r="AY100" s="12">
        <f t="shared" si="15"/>
        <v>0.42449987232874731</v>
      </c>
      <c r="AZ100" s="12">
        <f t="shared" si="16"/>
        <v>0.4100460621745608</v>
      </c>
    </row>
    <row r="101" spans="1:52" x14ac:dyDescent="0.55000000000000004">
      <c r="A101" s="12" t="s">
        <v>530</v>
      </c>
      <c r="B101" s="12" t="s">
        <v>531</v>
      </c>
      <c r="C101" s="12" t="s">
        <v>515</v>
      </c>
      <c r="D101" s="12" t="s">
        <v>9</v>
      </c>
      <c r="E101" s="12">
        <v>1977</v>
      </c>
      <c r="F101" s="12">
        <v>71.237442000000001</v>
      </c>
      <c r="G101" s="12">
        <v>34.404772000000001</v>
      </c>
      <c r="H101" s="14">
        <f t="shared" si="17"/>
        <v>68018.234244000007</v>
      </c>
      <c r="I101" s="12">
        <v>48.471581</v>
      </c>
      <c r="J101" s="12">
        <v>27.457286</v>
      </c>
      <c r="K101" s="12">
        <v>34.506129000000001</v>
      </c>
      <c r="L101" s="12">
        <v>53.13203</v>
      </c>
      <c r="M101" s="12">
        <v>35.884729999999998</v>
      </c>
      <c r="N101" s="12">
        <v>18.272251000000001</v>
      </c>
      <c r="O101" s="12">
        <v>8.779579</v>
      </c>
      <c r="P101" s="12">
        <v>38.645587999999996</v>
      </c>
      <c r="Q101" s="12">
        <v>480.59722699999998</v>
      </c>
      <c r="R101" s="15">
        <v>81.684580999999994</v>
      </c>
      <c r="S101" s="15">
        <v>1484.7227720000001</v>
      </c>
      <c r="T101" s="15">
        <v>1531.0311990560895</v>
      </c>
      <c r="AP101" s="12">
        <f t="shared" si="9"/>
        <v>1.5443215260952754</v>
      </c>
      <c r="AQ101" s="12">
        <f t="shared" si="10"/>
        <v>1.1232624358039633</v>
      </c>
      <c r="AU101" s="12">
        <f t="shared" si="11"/>
        <v>0.91228550838354938</v>
      </c>
      <c r="AV101" s="12">
        <f t="shared" si="12"/>
        <v>0.51677464610330148</v>
      </c>
      <c r="AW101" s="12">
        <f t="shared" si="13"/>
        <v>0.64944119394647637</v>
      </c>
      <c r="AX101" s="12">
        <f t="shared" si="14"/>
        <v>0.92855955510367705</v>
      </c>
      <c r="AY101" s="12">
        <f t="shared" si="15"/>
        <v>0.47281596543439841</v>
      </c>
      <c r="AZ101" s="12">
        <f t="shared" si="16"/>
        <v>0.22718192306971757</v>
      </c>
    </row>
    <row r="102" spans="1:52" x14ac:dyDescent="0.55000000000000004">
      <c r="A102" s="12" t="s">
        <v>103</v>
      </c>
      <c r="B102" s="12" t="s">
        <v>104</v>
      </c>
      <c r="C102" s="12" t="s">
        <v>8</v>
      </c>
      <c r="D102" s="12" t="s">
        <v>9</v>
      </c>
      <c r="E102" s="12">
        <v>1576</v>
      </c>
      <c r="F102" s="12">
        <v>69.251005000000006</v>
      </c>
      <c r="G102" s="12">
        <v>54.059679000000003</v>
      </c>
      <c r="H102" s="14">
        <f t="shared" si="17"/>
        <v>85198.05410400001</v>
      </c>
      <c r="I102" s="12">
        <v>46.847456000000001</v>
      </c>
      <c r="J102" s="12">
        <v>10.430904</v>
      </c>
      <c r="K102" s="12">
        <v>30.728777000000001</v>
      </c>
      <c r="L102" s="12">
        <v>52.884968000000001</v>
      </c>
      <c r="M102" s="12">
        <v>47.442670999999997</v>
      </c>
      <c r="N102" s="12">
        <v>16.507881000000001</v>
      </c>
      <c r="O102" s="12">
        <v>12.812308</v>
      </c>
      <c r="P102" s="12">
        <v>49.226545999999999</v>
      </c>
      <c r="Q102" s="12">
        <v>417.99177100000003</v>
      </c>
      <c r="R102" s="15">
        <v>2275.5915669999999</v>
      </c>
      <c r="S102" s="15">
        <v>1657.6439350000001</v>
      </c>
      <c r="T102" s="15">
        <v>2310.1336861236059</v>
      </c>
      <c r="AP102" s="12">
        <f t="shared" si="9"/>
        <v>0.97827010774518286</v>
      </c>
      <c r="AQ102" s="12">
        <f t="shared" si="10"/>
        <v>0.9105963429786551</v>
      </c>
      <c r="AU102" s="12">
        <f t="shared" si="11"/>
        <v>0.8858368979253235</v>
      </c>
      <c r="AV102" s="12">
        <f t="shared" si="12"/>
        <v>0.1972375968914267</v>
      </c>
      <c r="AW102" s="12">
        <f t="shared" si="13"/>
        <v>0.58104936359231607</v>
      </c>
      <c r="AX102" s="12">
        <f t="shared" si="14"/>
        <v>0.96376193040234837</v>
      </c>
      <c r="AY102" s="12">
        <f t="shared" si="15"/>
        <v>0.33534510018232849</v>
      </c>
      <c r="AZ102" s="12">
        <f t="shared" si="16"/>
        <v>0.26027233354946333</v>
      </c>
    </row>
    <row r="103" spans="1:52" x14ac:dyDescent="0.55000000000000004">
      <c r="A103" s="12" t="s">
        <v>532</v>
      </c>
      <c r="B103" s="12" t="s">
        <v>533</v>
      </c>
      <c r="C103" s="12" t="s">
        <v>515</v>
      </c>
      <c r="D103" s="12" t="s">
        <v>9</v>
      </c>
      <c r="E103" s="12">
        <v>1756</v>
      </c>
      <c r="F103" s="12">
        <v>70.627556999999996</v>
      </c>
      <c r="G103" s="12">
        <v>31.740237</v>
      </c>
      <c r="H103" s="14">
        <f t="shared" si="17"/>
        <v>55735.856172</v>
      </c>
      <c r="I103" s="12">
        <v>68.911152999999999</v>
      </c>
      <c r="J103" s="12">
        <v>9.7658159999999992</v>
      </c>
      <c r="K103" s="12">
        <v>10.201510000000001</v>
      </c>
      <c r="L103" s="12">
        <v>69.143386000000007</v>
      </c>
      <c r="M103" s="12">
        <v>48.442675000000001</v>
      </c>
      <c r="N103" s="12">
        <v>12.218173999999999</v>
      </c>
      <c r="O103" s="12">
        <v>5.4834880000000004</v>
      </c>
      <c r="P103" s="12">
        <v>48.469406999999997</v>
      </c>
      <c r="Q103" s="12">
        <v>757.22011199999997</v>
      </c>
      <c r="R103" s="15">
        <v>37.471792000000001</v>
      </c>
      <c r="S103" s="15">
        <v>1790.1174040000001</v>
      </c>
      <c r="T103" s="15">
        <v>1914.3850024490475</v>
      </c>
      <c r="AP103" s="12">
        <f t="shared" si="9"/>
        <v>2.1784142947640879</v>
      </c>
      <c r="AQ103" s="12">
        <f t="shared" si="10"/>
        <v>1.5270650625576614</v>
      </c>
      <c r="AU103" s="12">
        <f t="shared" si="11"/>
        <v>0.99664128395447671</v>
      </c>
      <c r="AV103" s="12">
        <f t="shared" si="12"/>
        <v>0.14124006018449831</v>
      </c>
      <c r="AW103" s="12">
        <f t="shared" si="13"/>
        <v>0.14754137149141061</v>
      </c>
      <c r="AX103" s="12">
        <f t="shared" si="14"/>
        <v>0.99944847685056271</v>
      </c>
      <c r="AY103" s="12">
        <f t="shared" si="15"/>
        <v>0.25208012138460867</v>
      </c>
      <c r="AZ103" s="12">
        <f t="shared" si="16"/>
        <v>0.11313297065920366</v>
      </c>
    </row>
    <row r="104" spans="1:52" x14ac:dyDescent="0.55000000000000004">
      <c r="A104" s="12" t="s">
        <v>534</v>
      </c>
      <c r="B104" s="12" t="s">
        <v>535</v>
      </c>
      <c r="C104" s="12" t="s">
        <v>515</v>
      </c>
      <c r="D104" s="12" t="s">
        <v>9</v>
      </c>
      <c r="E104" s="12">
        <v>1726</v>
      </c>
      <c r="F104" s="12">
        <v>67.443090000000012</v>
      </c>
      <c r="G104" s="12">
        <v>35.277006999999998</v>
      </c>
      <c r="H104" s="14">
        <f t="shared" si="17"/>
        <v>60888.114081999993</v>
      </c>
      <c r="I104" s="12">
        <v>57.982906999999997</v>
      </c>
      <c r="J104" s="12">
        <v>14.172292000000001</v>
      </c>
      <c r="K104" s="12">
        <v>18.608442</v>
      </c>
      <c r="L104" s="12">
        <v>60.156844</v>
      </c>
      <c r="M104" s="12">
        <v>32.011803</v>
      </c>
      <c r="N104" s="12">
        <v>14.840908000000001</v>
      </c>
      <c r="O104" s="12">
        <v>9.9790519999999994</v>
      </c>
      <c r="P104" s="12">
        <v>32.686602000000001</v>
      </c>
      <c r="Q104" s="12">
        <v>424.37080099999997</v>
      </c>
      <c r="R104" s="15">
        <v>429.74644999999998</v>
      </c>
      <c r="S104" s="15">
        <v>1135.1210349999999</v>
      </c>
      <c r="T104" s="15">
        <v>1149.5753264384819</v>
      </c>
      <c r="AP104" s="12">
        <f t="shared" si="9"/>
        <v>1.705270631377543</v>
      </c>
      <c r="AQ104" s="12">
        <f t="shared" si="10"/>
        <v>0.92656959248271831</v>
      </c>
      <c r="AU104" s="12">
        <f t="shared" si="11"/>
        <v>0.96386218332863338</v>
      </c>
      <c r="AV104" s="12">
        <f t="shared" si="12"/>
        <v>0.23558902125916048</v>
      </c>
      <c r="AW104" s="12">
        <f t="shared" si="13"/>
        <v>0.30933208530686884</v>
      </c>
      <c r="AX104" s="12">
        <f t="shared" si="14"/>
        <v>0.97935548638552272</v>
      </c>
      <c r="AY104" s="12">
        <f t="shared" si="15"/>
        <v>0.45403642752464757</v>
      </c>
      <c r="AZ104" s="12">
        <f t="shared" si="16"/>
        <v>0.30529487280445972</v>
      </c>
    </row>
    <row r="105" spans="1:52" x14ac:dyDescent="0.55000000000000004">
      <c r="A105" s="12" t="s">
        <v>496</v>
      </c>
      <c r="B105" s="12" t="s">
        <v>497</v>
      </c>
      <c r="C105" s="12" t="s">
        <v>485</v>
      </c>
      <c r="D105" s="12" t="s">
        <v>9</v>
      </c>
      <c r="E105" s="12">
        <v>2028</v>
      </c>
      <c r="F105" s="12">
        <v>76.075042999999994</v>
      </c>
      <c r="G105" s="12">
        <v>35.726526</v>
      </c>
      <c r="H105" s="14">
        <f t="shared" si="17"/>
        <v>72453.394727999999</v>
      </c>
      <c r="I105" s="12">
        <v>133.95677000000001</v>
      </c>
      <c r="J105" s="12">
        <v>14.580643999999999</v>
      </c>
      <c r="K105" s="12">
        <v>41.368861000000003</v>
      </c>
      <c r="L105" s="12">
        <v>140.64503999999999</v>
      </c>
      <c r="M105" s="12">
        <v>51.299075999999999</v>
      </c>
      <c r="N105" s="12">
        <v>18.269748</v>
      </c>
      <c r="O105" s="12">
        <v>15.136338</v>
      </c>
      <c r="P105" s="12">
        <v>54.028674000000002</v>
      </c>
      <c r="Q105" s="12">
        <v>1130.7547460000001</v>
      </c>
      <c r="R105" s="15">
        <v>672.06194600000003</v>
      </c>
      <c r="S105" s="15">
        <v>2012.4368139999999</v>
      </c>
      <c r="T105" s="15">
        <v>2236.7764985946492</v>
      </c>
      <c r="AP105" s="12">
        <f t="shared" si="9"/>
        <v>3.9367118986044152</v>
      </c>
      <c r="AQ105" s="12">
        <f t="shared" si="10"/>
        <v>1.5122845697339842</v>
      </c>
      <c r="AU105" s="12">
        <f t="shared" si="11"/>
        <v>0.9524457456871569</v>
      </c>
      <c r="AV105" s="12">
        <f t="shared" si="12"/>
        <v>0.10366980591708033</v>
      </c>
      <c r="AW105" s="12">
        <f t="shared" si="13"/>
        <v>0.29413665067747857</v>
      </c>
      <c r="AX105" s="12">
        <f t="shared" si="14"/>
        <v>0.94947871569085696</v>
      </c>
      <c r="AY105" s="12">
        <f t="shared" si="15"/>
        <v>0.3381491094895277</v>
      </c>
      <c r="AZ105" s="12">
        <f t="shared" si="16"/>
        <v>0.28015379389099943</v>
      </c>
    </row>
    <row r="106" spans="1:52" x14ac:dyDescent="0.55000000000000004">
      <c r="A106" s="12" t="s">
        <v>498</v>
      </c>
      <c r="B106" s="12" t="s">
        <v>499</v>
      </c>
      <c r="C106" s="12" t="s">
        <v>485</v>
      </c>
      <c r="D106" s="12" t="s">
        <v>9</v>
      </c>
      <c r="E106" s="12">
        <v>2120</v>
      </c>
      <c r="F106" s="12">
        <v>71.251920999999996</v>
      </c>
      <c r="G106" s="12">
        <v>32.824654000000002</v>
      </c>
      <c r="H106" s="14">
        <f t="shared" si="17"/>
        <v>69588.266480000006</v>
      </c>
      <c r="I106" s="12">
        <v>46.631498999999998</v>
      </c>
      <c r="J106" s="12">
        <v>8.4892000000000003</v>
      </c>
      <c r="K106" s="12">
        <v>20.758258999999999</v>
      </c>
      <c r="L106" s="12">
        <v>50.375413999999999</v>
      </c>
      <c r="M106" s="12">
        <v>33.460979000000002</v>
      </c>
      <c r="N106" s="12">
        <v>11.781508000000001</v>
      </c>
      <c r="O106" s="12">
        <v>9.3509869999999999</v>
      </c>
      <c r="P106" s="12">
        <v>34.059043000000003</v>
      </c>
      <c r="Q106" s="12">
        <v>488.402873</v>
      </c>
      <c r="R106" s="15">
        <v>43.134472000000002</v>
      </c>
      <c r="S106" s="15">
        <v>968.35729900000001</v>
      </c>
      <c r="T106" s="15">
        <v>1008.8094161076949</v>
      </c>
      <c r="AP106" s="12">
        <f t="shared" si="9"/>
        <v>1.5346822543811123</v>
      </c>
      <c r="AQ106" s="12">
        <f t="shared" si="10"/>
        <v>1.0376055449053629</v>
      </c>
      <c r="AU106" s="12">
        <f t="shared" si="11"/>
        <v>0.9256797174907585</v>
      </c>
      <c r="AV106" s="12">
        <f t="shared" si="12"/>
        <v>0.16851871430773752</v>
      </c>
      <c r="AW106" s="12">
        <f t="shared" si="13"/>
        <v>0.41207123379670885</v>
      </c>
      <c r="AX106" s="12">
        <f t="shared" si="14"/>
        <v>0.98244037567350317</v>
      </c>
      <c r="AY106" s="12">
        <f t="shared" si="15"/>
        <v>0.34591424074951255</v>
      </c>
      <c r="AZ106" s="12">
        <f t="shared" si="16"/>
        <v>0.27455225327382216</v>
      </c>
    </row>
    <row r="107" spans="1:52" x14ac:dyDescent="0.55000000000000004">
      <c r="A107" s="12" t="s">
        <v>536</v>
      </c>
      <c r="B107" s="12" t="s">
        <v>537</v>
      </c>
      <c r="C107" s="12" t="s">
        <v>515</v>
      </c>
      <c r="D107" s="12" t="s">
        <v>9</v>
      </c>
      <c r="E107" s="12">
        <v>1826</v>
      </c>
      <c r="F107" s="12">
        <v>72.575815000000006</v>
      </c>
      <c r="G107" s="12">
        <v>34.118682999999997</v>
      </c>
      <c r="H107" s="14">
        <f t="shared" si="17"/>
        <v>62300.715157999992</v>
      </c>
      <c r="I107" s="12">
        <v>69.366136999999995</v>
      </c>
      <c r="J107" s="12">
        <v>39.337601999999997</v>
      </c>
      <c r="K107" s="12">
        <v>44.685938999999998</v>
      </c>
      <c r="L107" s="12">
        <v>88.847269999999995</v>
      </c>
      <c r="M107" s="12">
        <v>32.468674999999998</v>
      </c>
      <c r="N107" s="12">
        <v>21.419329000000001</v>
      </c>
      <c r="O107" s="12">
        <v>20.354611999999999</v>
      </c>
      <c r="P107" s="12">
        <v>42.086083000000002</v>
      </c>
      <c r="Q107" s="12">
        <v>321.55407700000001</v>
      </c>
      <c r="R107" s="15">
        <v>922.39014999999995</v>
      </c>
      <c r="S107" s="15">
        <v>1934.1397019999999</v>
      </c>
      <c r="T107" s="15">
        <v>1936.8694402545698</v>
      </c>
      <c r="AP107" s="12">
        <f t="shared" si="9"/>
        <v>2.6040650513972068</v>
      </c>
      <c r="AQ107" s="12">
        <f t="shared" si="10"/>
        <v>1.2335201508217655</v>
      </c>
      <c r="AU107" s="12">
        <f t="shared" si="11"/>
        <v>0.78073459094466269</v>
      </c>
      <c r="AV107" s="12">
        <f t="shared" si="12"/>
        <v>0.44275532607811136</v>
      </c>
      <c r="AW107" s="12">
        <f t="shared" si="13"/>
        <v>0.50295230230484289</v>
      </c>
      <c r="AX107" s="12">
        <f t="shared" si="14"/>
        <v>0.77148246369233264</v>
      </c>
      <c r="AY107" s="12">
        <f t="shared" si="15"/>
        <v>0.50894090096243927</v>
      </c>
      <c r="AZ107" s="12">
        <f t="shared" si="16"/>
        <v>0.48364234799422884</v>
      </c>
    </row>
    <row r="108" spans="1:52" x14ac:dyDescent="0.55000000000000004">
      <c r="A108" s="12" t="s">
        <v>105</v>
      </c>
      <c r="B108" s="12" t="s">
        <v>106</v>
      </c>
      <c r="C108" s="12" t="s">
        <v>8</v>
      </c>
      <c r="D108" s="12" t="s">
        <v>9</v>
      </c>
      <c r="E108" s="12">
        <v>1710</v>
      </c>
      <c r="F108" s="12">
        <v>68.86703</v>
      </c>
      <c r="G108" s="12">
        <v>35.640514000000003</v>
      </c>
      <c r="H108" s="14">
        <f t="shared" si="17"/>
        <v>60945.278940000004</v>
      </c>
      <c r="I108" s="12">
        <v>42.900772000000003</v>
      </c>
      <c r="J108" s="12">
        <v>14.097125</v>
      </c>
      <c r="K108" s="12">
        <v>39.538974000000003</v>
      </c>
      <c r="L108" s="12">
        <v>57.153638999999998</v>
      </c>
      <c r="M108" s="12">
        <v>48.516739999999999</v>
      </c>
      <c r="N108" s="12">
        <v>19.618542000000001</v>
      </c>
      <c r="O108" s="12">
        <v>19.085502000000002</v>
      </c>
      <c r="P108" s="12">
        <v>52.921792000000003</v>
      </c>
      <c r="Q108" s="12">
        <v>528.03745300000003</v>
      </c>
      <c r="R108" s="15">
        <v>118.25427500000001</v>
      </c>
      <c r="S108" s="15">
        <v>1890.1264510000001</v>
      </c>
      <c r="T108" s="15">
        <v>1910.0223422515605</v>
      </c>
      <c r="AP108" s="12">
        <f t="shared" si="9"/>
        <v>1.6036143305901815</v>
      </c>
      <c r="AQ108" s="12">
        <f t="shared" si="10"/>
        <v>1.4848773505342825</v>
      </c>
      <c r="AU108" s="12">
        <f t="shared" si="11"/>
        <v>0.75062188078697845</v>
      </c>
      <c r="AV108" s="12">
        <f t="shared" si="12"/>
        <v>0.24665314836733318</v>
      </c>
      <c r="AW108" s="12">
        <f t="shared" si="13"/>
        <v>0.69180151416080438</v>
      </c>
      <c r="AX108" s="12">
        <f t="shared" si="14"/>
        <v>0.91676298489665653</v>
      </c>
      <c r="AY108" s="12">
        <f t="shared" si="15"/>
        <v>0.37070819521757692</v>
      </c>
      <c r="AZ108" s="12">
        <f t="shared" si="16"/>
        <v>0.36063597392922753</v>
      </c>
    </row>
    <row r="109" spans="1:52" x14ac:dyDescent="0.55000000000000004">
      <c r="A109" s="12" t="s">
        <v>107</v>
      </c>
      <c r="B109" s="12" t="s">
        <v>108</v>
      </c>
      <c r="C109" s="12" t="s">
        <v>8</v>
      </c>
      <c r="D109" s="12" t="s">
        <v>9</v>
      </c>
      <c r="E109" s="12">
        <v>1767</v>
      </c>
      <c r="F109" s="12">
        <v>69.428488999999999</v>
      </c>
      <c r="G109" s="12">
        <v>45.409866000000001</v>
      </c>
      <c r="H109" s="14">
        <f t="shared" si="17"/>
        <v>80239.233221999995</v>
      </c>
      <c r="I109" s="12">
        <v>29.340565999999999</v>
      </c>
      <c r="J109" s="12">
        <v>14.035059</v>
      </c>
      <c r="K109" s="12">
        <v>30.195170999999998</v>
      </c>
      <c r="L109" s="12">
        <v>42.840034000000003</v>
      </c>
      <c r="M109" s="12">
        <v>28.348583999999999</v>
      </c>
      <c r="N109" s="12">
        <v>14.623901</v>
      </c>
      <c r="O109" s="12">
        <v>4.7312979999999998</v>
      </c>
      <c r="P109" s="12">
        <v>30.567999</v>
      </c>
      <c r="Q109" s="12">
        <v>773.47702200000003</v>
      </c>
      <c r="R109" s="15">
        <v>108.368077</v>
      </c>
      <c r="S109" s="15">
        <v>887.58719799999994</v>
      </c>
      <c r="T109" s="15">
        <v>1111.2689568557917</v>
      </c>
      <c r="AP109" s="12">
        <f t="shared" si="9"/>
        <v>0.94340806907468089</v>
      </c>
      <c r="AQ109" s="12">
        <f t="shared" si="10"/>
        <v>0.67315765697260588</v>
      </c>
      <c r="AU109" s="12">
        <f t="shared" si="11"/>
        <v>0.68488661797047123</v>
      </c>
      <c r="AV109" s="12">
        <f t="shared" si="12"/>
        <v>0.32761549629022235</v>
      </c>
      <c r="AW109" s="12">
        <f t="shared" si="13"/>
        <v>0.70483536497660104</v>
      </c>
      <c r="AX109" s="12">
        <f t="shared" si="14"/>
        <v>0.92739416799902408</v>
      </c>
      <c r="AY109" s="12">
        <f t="shared" si="15"/>
        <v>0.47840557047911442</v>
      </c>
      <c r="AZ109" s="12">
        <f t="shared" si="16"/>
        <v>0.15477944761775214</v>
      </c>
    </row>
    <row r="110" spans="1:52" x14ac:dyDescent="0.55000000000000004">
      <c r="A110" s="12" t="s">
        <v>109</v>
      </c>
      <c r="B110" s="12" t="s">
        <v>110</v>
      </c>
      <c r="C110" s="12" t="s">
        <v>8</v>
      </c>
      <c r="D110" s="12" t="s">
        <v>9</v>
      </c>
      <c r="E110" s="12">
        <v>1955</v>
      </c>
      <c r="F110" s="12">
        <v>69.113633000000007</v>
      </c>
      <c r="G110" s="12">
        <v>50.607585999999998</v>
      </c>
      <c r="H110" s="14">
        <f t="shared" si="17"/>
        <v>98937.830629999997</v>
      </c>
      <c r="I110" s="12">
        <v>52.807527999999998</v>
      </c>
      <c r="J110" s="12">
        <v>15.997595</v>
      </c>
      <c r="K110" s="12">
        <v>27.848206000000001</v>
      </c>
      <c r="L110" s="12">
        <v>59.561850999999997</v>
      </c>
      <c r="M110" s="12">
        <v>39.524718</v>
      </c>
      <c r="N110" s="12">
        <v>15.82822</v>
      </c>
      <c r="O110" s="12">
        <v>13.373885</v>
      </c>
      <c r="P110" s="12">
        <v>41.534244999999999</v>
      </c>
      <c r="Q110" s="12">
        <v>442.96885500000002</v>
      </c>
      <c r="R110" s="15">
        <v>222.76212100000001</v>
      </c>
      <c r="S110" s="15">
        <v>1495.4190060000001</v>
      </c>
      <c r="T110" s="15">
        <v>1499.1311251801826</v>
      </c>
      <c r="AP110" s="12">
        <f t="shared" si="9"/>
        <v>1.1769352325953661</v>
      </c>
      <c r="AQ110" s="12">
        <f t="shared" si="10"/>
        <v>0.82071183952540239</v>
      </c>
      <c r="AU110" s="12">
        <f t="shared" si="11"/>
        <v>0.88659984727472629</v>
      </c>
      <c r="AV110" s="12">
        <f t="shared" si="12"/>
        <v>0.26858794230555394</v>
      </c>
      <c r="AW110" s="12">
        <f t="shared" si="13"/>
        <v>0.46755105041984008</v>
      </c>
      <c r="AX110" s="12">
        <f t="shared" si="14"/>
        <v>0.95161758688523168</v>
      </c>
      <c r="AY110" s="12">
        <f t="shared" si="15"/>
        <v>0.38108842474444882</v>
      </c>
      <c r="AZ110" s="12">
        <f t="shared" si="16"/>
        <v>0.32199658378285195</v>
      </c>
    </row>
    <row r="111" spans="1:52" x14ac:dyDescent="0.55000000000000004">
      <c r="A111" s="12" t="s">
        <v>111</v>
      </c>
      <c r="B111" s="12" t="s">
        <v>112</v>
      </c>
      <c r="C111" s="12" t="s">
        <v>8</v>
      </c>
      <c r="D111" s="12" t="s">
        <v>9</v>
      </c>
      <c r="E111" s="12">
        <v>1726</v>
      </c>
      <c r="F111" s="12">
        <v>69.634523000000002</v>
      </c>
      <c r="G111" s="12">
        <v>41.407029999999999</v>
      </c>
      <c r="H111" s="14">
        <f t="shared" si="17"/>
        <v>71468.533779999998</v>
      </c>
      <c r="I111" s="12">
        <v>62.595866999999998</v>
      </c>
      <c r="J111" s="12">
        <v>22.285457999999998</v>
      </c>
      <c r="K111" s="12">
        <v>26.059334</v>
      </c>
      <c r="L111" s="12">
        <v>65.756769000000006</v>
      </c>
      <c r="M111" s="12">
        <v>31.872429</v>
      </c>
      <c r="N111" s="12">
        <v>22.202776</v>
      </c>
      <c r="O111" s="12">
        <v>17.156371</v>
      </c>
      <c r="P111" s="12">
        <v>38.622453999999998</v>
      </c>
      <c r="Q111" s="12">
        <v>274.82521700000001</v>
      </c>
      <c r="R111" s="15">
        <v>658.864373</v>
      </c>
      <c r="S111" s="15">
        <v>1387.6628089999999</v>
      </c>
      <c r="T111" s="15">
        <v>1389.1923912974457</v>
      </c>
      <c r="AP111" s="12">
        <f t="shared" si="9"/>
        <v>1.5880580906189119</v>
      </c>
      <c r="AQ111" s="12">
        <f t="shared" si="10"/>
        <v>0.93275112945796879</v>
      </c>
      <c r="AU111" s="12">
        <f t="shared" si="11"/>
        <v>0.95193039366030885</v>
      </c>
      <c r="AV111" s="12">
        <f t="shared" si="12"/>
        <v>0.33890743628233916</v>
      </c>
      <c r="AW111" s="12">
        <f t="shared" si="13"/>
        <v>0.39629888141249758</v>
      </c>
      <c r="AX111" s="12">
        <f t="shared" si="14"/>
        <v>0.82523055111930488</v>
      </c>
      <c r="AY111" s="12">
        <f t="shared" si="15"/>
        <v>0.57486704495783725</v>
      </c>
      <c r="AZ111" s="12">
        <f t="shared" si="16"/>
        <v>0.44420717026421991</v>
      </c>
    </row>
    <row r="112" spans="1:52" x14ac:dyDescent="0.55000000000000004">
      <c r="A112" s="12" t="s">
        <v>113</v>
      </c>
      <c r="B112" s="12" t="s">
        <v>114</v>
      </c>
      <c r="C112" s="12" t="s">
        <v>8</v>
      </c>
      <c r="D112" s="12" t="s">
        <v>9</v>
      </c>
      <c r="E112" s="12">
        <v>1928</v>
      </c>
      <c r="F112" s="12">
        <v>69.946303999999998</v>
      </c>
      <c r="G112" s="12">
        <v>43.483890000000002</v>
      </c>
      <c r="H112" s="14">
        <f t="shared" si="17"/>
        <v>83836.939920000004</v>
      </c>
      <c r="I112" s="12">
        <v>38.149653000000001</v>
      </c>
      <c r="J112" s="12">
        <v>15.711767</v>
      </c>
      <c r="K112" s="12">
        <v>17.000912</v>
      </c>
      <c r="L112" s="12">
        <v>40.134805999999998</v>
      </c>
      <c r="M112" s="12">
        <v>30.76633</v>
      </c>
      <c r="N112" s="12">
        <v>19.982603000000001</v>
      </c>
      <c r="O112" s="12">
        <v>5.9058710000000003</v>
      </c>
      <c r="P112" s="12">
        <v>35.960456999999998</v>
      </c>
      <c r="Q112" s="12">
        <v>342.01001600000001</v>
      </c>
      <c r="R112" s="15">
        <v>61.835963</v>
      </c>
      <c r="S112" s="15">
        <v>808.19164699999999</v>
      </c>
      <c r="T112" s="15">
        <v>848.82937183061301</v>
      </c>
      <c r="AP112" s="12">
        <f t="shared" si="9"/>
        <v>0.92298103964479705</v>
      </c>
      <c r="AQ112" s="12">
        <f t="shared" si="10"/>
        <v>0.82698344145383484</v>
      </c>
      <c r="AU112" s="12">
        <f t="shared" si="11"/>
        <v>0.95053786979809995</v>
      </c>
      <c r="AV112" s="12">
        <f t="shared" si="12"/>
        <v>0.39147484604759275</v>
      </c>
      <c r="AW112" s="12">
        <f t="shared" si="13"/>
        <v>0.42359522056740478</v>
      </c>
      <c r="AX112" s="12">
        <f t="shared" si="14"/>
        <v>0.85556003918415169</v>
      </c>
      <c r="AY112" s="12">
        <f t="shared" si="15"/>
        <v>0.55568267666898674</v>
      </c>
      <c r="AZ112" s="12">
        <f t="shared" si="16"/>
        <v>0.16423236779221134</v>
      </c>
    </row>
    <row r="113" spans="1:52" x14ac:dyDescent="0.55000000000000004">
      <c r="A113" s="12" t="s">
        <v>115</v>
      </c>
      <c r="B113" s="12" t="s">
        <v>116</v>
      </c>
      <c r="C113" s="12" t="s">
        <v>8</v>
      </c>
      <c r="D113" s="12" t="s">
        <v>9</v>
      </c>
      <c r="E113" s="12">
        <v>1790</v>
      </c>
      <c r="F113" s="12">
        <v>68.768389999999997</v>
      </c>
      <c r="G113" s="12">
        <v>50.295310999999998</v>
      </c>
      <c r="H113" s="14">
        <f t="shared" si="17"/>
        <v>90028.606690000001</v>
      </c>
      <c r="I113" s="12">
        <v>37.798594999999999</v>
      </c>
      <c r="J113" s="12">
        <v>8.7733109999999996</v>
      </c>
      <c r="K113" s="12">
        <v>18.676072999999999</v>
      </c>
      <c r="L113" s="12">
        <v>41.799889</v>
      </c>
      <c r="M113" s="12">
        <v>36.591121000000001</v>
      </c>
      <c r="N113" s="12">
        <v>10.637656</v>
      </c>
      <c r="O113" s="12">
        <v>6.002796</v>
      </c>
      <c r="P113" s="12">
        <v>37.579483000000003</v>
      </c>
      <c r="Q113" s="12">
        <v>522.94044499999995</v>
      </c>
      <c r="R113" s="15">
        <v>48.794649999999997</v>
      </c>
      <c r="S113" s="15">
        <v>1128.6820339999999</v>
      </c>
      <c r="T113" s="15">
        <v>1131.9435641689208</v>
      </c>
      <c r="AP113" s="12">
        <f t="shared" si="9"/>
        <v>0.83108918443709401</v>
      </c>
      <c r="AQ113" s="12">
        <f t="shared" si="10"/>
        <v>0.74717667020689071</v>
      </c>
      <c r="AU113" s="12">
        <f t="shared" si="11"/>
        <v>0.90427500895995194</v>
      </c>
      <c r="AV113" s="12">
        <f t="shared" si="12"/>
        <v>0.20988838032560325</v>
      </c>
      <c r="AW113" s="12">
        <f t="shared" si="13"/>
        <v>0.44679719125569922</v>
      </c>
      <c r="AX113" s="12">
        <f t="shared" si="14"/>
        <v>0.9736994252954464</v>
      </c>
      <c r="AY113" s="12">
        <f t="shared" si="15"/>
        <v>0.28307084480113787</v>
      </c>
      <c r="AZ113" s="12">
        <f t="shared" si="16"/>
        <v>0.15973599211037576</v>
      </c>
    </row>
    <row r="114" spans="1:52" x14ac:dyDescent="0.55000000000000004">
      <c r="A114" s="12" t="s">
        <v>117</v>
      </c>
      <c r="B114" s="12" t="s">
        <v>118</v>
      </c>
      <c r="C114" s="12" t="s">
        <v>8</v>
      </c>
      <c r="D114" s="12" t="s">
        <v>9</v>
      </c>
      <c r="E114" s="12">
        <v>1882</v>
      </c>
      <c r="F114" s="12">
        <v>70.323514000000003</v>
      </c>
      <c r="G114" s="12">
        <v>36.533009999999997</v>
      </c>
      <c r="H114" s="14">
        <f t="shared" si="17"/>
        <v>68755.124819999997</v>
      </c>
      <c r="I114" s="12">
        <v>75.336439999999996</v>
      </c>
      <c r="J114" s="12">
        <v>10.77291</v>
      </c>
      <c r="K114" s="12">
        <v>32.106121999999999</v>
      </c>
      <c r="L114" s="12">
        <v>79.172280000000001</v>
      </c>
      <c r="M114" s="12">
        <v>46.14922</v>
      </c>
      <c r="N114" s="12">
        <v>13.941566</v>
      </c>
      <c r="O114" s="12">
        <v>14.265155999999999</v>
      </c>
      <c r="P114" s="12">
        <v>48.833151000000001</v>
      </c>
      <c r="Q114" s="12">
        <v>913.32842900000003</v>
      </c>
      <c r="R114" s="15">
        <v>1127.5274830000001</v>
      </c>
      <c r="S114" s="15">
        <v>1103.4737259999999</v>
      </c>
      <c r="T114" s="15">
        <v>1183.2455930946971</v>
      </c>
      <c r="AP114" s="12">
        <f t="shared" si="9"/>
        <v>2.1671436325668214</v>
      </c>
      <c r="AQ114" s="12">
        <f t="shared" si="10"/>
        <v>1.3366856713969093</v>
      </c>
      <c r="AU114" s="12">
        <f t="shared" si="11"/>
        <v>0.95155071951950854</v>
      </c>
      <c r="AV114" s="12">
        <f t="shared" si="12"/>
        <v>0.13606921513438794</v>
      </c>
      <c r="AW114" s="12">
        <f t="shared" si="13"/>
        <v>0.40552226107420425</v>
      </c>
      <c r="AX114" s="12">
        <f t="shared" si="14"/>
        <v>0.94503875041772334</v>
      </c>
      <c r="AY114" s="12">
        <f t="shared" si="15"/>
        <v>0.28549388508638324</v>
      </c>
      <c r="AZ114" s="12">
        <f t="shared" si="16"/>
        <v>0.29212032621036471</v>
      </c>
    </row>
    <row r="115" spans="1:52" x14ac:dyDescent="0.55000000000000004">
      <c r="A115" s="12" t="s">
        <v>119</v>
      </c>
      <c r="B115" s="12" t="s">
        <v>120</v>
      </c>
      <c r="C115" s="12" t="s">
        <v>8</v>
      </c>
      <c r="D115" s="12" t="s">
        <v>9</v>
      </c>
      <c r="E115" s="12">
        <v>1784</v>
      </c>
      <c r="F115" s="12">
        <v>68.511178999999998</v>
      </c>
      <c r="G115" s="12">
        <v>37.503200999999997</v>
      </c>
      <c r="H115" s="14">
        <f t="shared" si="17"/>
        <v>66905.710584</v>
      </c>
      <c r="I115" s="12">
        <v>43.790191</v>
      </c>
      <c r="J115" s="12">
        <v>13.962346999999999</v>
      </c>
      <c r="K115" s="12">
        <v>29.313943999999999</v>
      </c>
      <c r="L115" s="12">
        <v>50.690885000000002</v>
      </c>
      <c r="M115" s="12">
        <v>35.864089</v>
      </c>
      <c r="N115" s="12">
        <v>13.066046</v>
      </c>
      <c r="O115" s="12">
        <v>17.832965999999999</v>
      </c>
      <c r="P115" s="12">
        <v>38.799835000000002</v>
      </c>
      <c r="Q115" s="12">
        <v>405.95569499999999</v>
      </c>
      <c r="R115" s="15">
        <v>1841.978842</v>
      </c>
      <c r="S115" s="15">
        <v>2139.4049460000001</v>
      </c>
      <c r="T115" s="15">
        <v>2152.0025677907847</v>
      </c>
      <c r="AP115" s="12">
        <f t="shared" si="9"/>
        <v>1.35164155721001</v>
      </c>
      <c r="AQ115" s="12">
        <f t="shared" si="10"/>
        <v>1.0345739554338309</v>
      </c>
      <c r="AU115" s="12">
        <f t="shared" si="11"/>
        <v>0.86386716270587893</v>
      </c>
      <c r="AV115" s="12">
        <f t="shared" si="12"/>
        <v>0.27544097918195742</v>
      </c>
      <c r="AW115" s="12">
        <f t="shared" si="13"/>
        <v>0.57828826622379936</v>
      </c>
      <c r="AX115" s="12">
        <f t="shared" si="14"/>
        <v>0.92433612153247557</v>
      </c>
      <c r="AY115" s="12">
        <f t="shared" si="15"/>
        <v>0.33675519496410228</v>
      </c>
      <c r="AZ115" s="12">
        <f t="shared" si="16"/>
        <v>0.45961448031931057</v>
      </c>
    </row>
    <row r="116" spans="1:52" x14ac:dyDescent="0.55000000000000004">
      <c r="A116" s="12" t="s">
        <v>121</v>
      </c>
      <c r="B116" s="12" t="s">
        <v>122</v>
      </c>
      <c r="C116" s="12" t="s">
        <v>8</v>
      </c>
      <c r="D116" s="12" t="s">
        <v>9</v>
      </c>
      <c r="E116" s="12">
        <v>1652</v>
      </c>
      <c r="F116" s="12">
        <v>69.914653000000001</v>
      </c>
      <c r="G116" s="12">
        <v>41.848975000000003</v>
      </c>
      <c r="H116" s="14">
        <f t="shared" si="17"/>
        <v>69134.506699999998</v>
      </c>
      <c r="I116" s="12">
        <v>58.856628999999998</v>
      </c>
      <c r="J116" s="12">
        <v>11.755226</v>
      </c>
      <c r="K116" s="12">
        <v>39.031534000000001</v>
      </c>
      <c r="L116" s="12">
        <v>68.241343000000001</v>
      </c>
      <c r="M116" s="12">
        <v>43.938073000000003</v>
      </c>
      <c r="N116" s="12">
        <v>13.035259</v>
      </c>
      <c r="O116" s="12">
        <v>12.999604</v>
      </c>
      <c r="P116" s="12">
        <v>44.607782</v>
      </c>
      <c r="Q116" s="12">
        <v>402.12394699999999</v>
      </c>
      <c r="R116" s="15">
        <v>204.42300900000001</v>
      </c>
      <c r="S116" s="15">
        <v>1589.284339</v>
      </c>
      <c r="T116" s="15">
        <v>1590.4124474081787</v>
      </c>
      <c r="AP116" s="12">
        <f t="shared" si="9"/>
        <v>1.6306574533784877</v>
      </c>
      <c r="AQ116" s="12">
        <f t="shared" si="10"/>
        <v>1.0659229288172529</v>
      </c>
      <c r="AU116" s="12">
        <f t="shared" si="11"/>
        <v>0.86247758928191076</v>
      </c>
      <c r="AV116" s="12">
        <f t="shared" si="12"/>
        <v>0.17225959342564523</v>
      </c>
      <c r="AW116" s="12">
        <f t="shared" si="13"/>
        <v>0.5719631572901489</v>
      </c>
      <c r="AX116" s="12">
        <f t="shared" si="14"/>
        <v>0.98498672272026444</v>
      </c>
      <c r="AY116" s="12">
        <f t="shared" si="15"/>
        <v>0.29221939346816211</v>
      </c>
      <c r="AZ116" s="12">
        <f t="shared" si="16"/>
        <v>0.29142009347158304</v>
      </c>
    </row>
    <row r="117" spans="1:52" x14ac:dyDescent="0.55000000000000004">
      <c r="A117" s="12" t="s">
        <v>123</v>
      </c>
      <c r="B117" s="12" t="s">
        <v>124</v>
      </c>
      <c r="C117" s="12" t="s">
        <v>8</v>
      </c>
      <c r="D117" s="12" t="s">
        <v>9</v>
      </c>
      <c r="E117" s="12">
        <v>1848</v>
      </c>
      <c r="F117" s="12">
        <v>74.656267999999997</v>
      </c>
      <c r="G117" s="12">
        <v>69.104527000000004</v>
      </c>
      <c r="H117" s="14">
        <f t="shared" si="17"/>
        <v>127705.16589600001</v>
      </c>
      <c r="I117" s="12">
        <v>65.398635999999996</v>
      </c>
      <c r="J117" s="12">
        <v>11.191756</v>
      </c>
      <c r="K117" s="12">
        <v>23.246921</v>
      </c>
      <c r="L117" s="12">
        <v>67.279351000000005</v>
      </c>
      <c r="M117" s="12">
        <v>50.292898999999998</v>
      </c>
      <c r="N117" s="12">
        <v>19.903020999999999</v>
      </c>
      <c r="O117" s="12">
        <v>19.528345000000002</v>
      </c>
      <c r="P117" s="12">
        <v>54.958218000000002</v>
      </c>
      <c r="Q117" s="12">
        <v>1241.303723</v>
      </c>
      <c r="R117" s="15">
        <v>129.12047699999999</v>
      </c>
      <c r="S117" s="15">
        <v>1347.2696780000001</v>
      </c>
      <c r="T117" s="15">
        <v>1414.9342248647959</v>
      </c>
      <c r="AP117" s="12">
        <f t="shared" si="9"/>
        <v>0.97358818475090647</v>
      </c>
      <c r="AQ117" s="12">
        <f t="shared" si="10"/>
        <v>0.79529113917529592</v>
      </c>
      <c r="AU117" s="12">
        <f t="shared" si="11"/>
        <v>0.97204617803165183</v>
      </c>
      <c r="AV117" s="12">
        <f t="shared" si="12"/>
        <v>0.16634756182472685</v>
      </c>
      <c r="AW117" s="12">
        <f t="shared" si="13"/>
        <v>0.34552831819082203</v>
      </c>
      <c r="AX117" s="12">
        <f t="shared" si="14"/>
        <v>0.91511153072685136</v>
      </c>
      <c r="AY117" s="12">
        <f t="shared" si="15"/>
        <v>0.36214822321931905</v>
      </c>
      <c r="AZ117" s="12">
        <f t="shared" si="16"/>
        <v>0.3553307532642343</v>
      </c>
    </row>
    <row r="118" spans="1:52" x14ac:dyDescent="0.55000000000000004">
      <c r="A118" s="12" t="s">
        <v>125</v>
      </c>
      <c r="B118" s="12" t="s">
        <v>126</v>
      </c>
      <c r="C118" s="12" t="s">
        <v>8</v>
      </c>
      <c r="D118" s="12" t="s">
        <v>9</v>
      </c>
      <c r="E118" s="12">
        <v>1944</v>
      </c>
      <c r="F118" s="12">
        <v>70.100941000000006</v>
      </c>
      <c r="G118" s="12">
        <v>47.220022999999998</v>
      </c>
      <c r="H118" s="14">
        <f t="shared" si="17"/>
        <v>91795.724711999996</v>
      </c>
      <c r="I118" s="12">
        <v>41.249043</v>
      </c>
      <c r="J118" s="12">
        <v>23.047993000000002</v>
      </c>
      <c r="K118" s="12">
        <v>28.431498000000001</v>
      </c>
      <c r="L118" s="12">
        <v>49.788207</v>
      </c>
      <c r="M118" s="12">
        <v>40.724356999999998</v>
      </c>
      <c r="N118" s="12">
        <v>18.497012000000002</v>
      </c>
      <c r="O118" s="12">
        <v>15.129522</v>
      </c>
      <c r="P118" s="12">
        <v>43.269088000000004</v>
      </c>
      <c r="Q118" s="12">
        <v>382.09536000000003</v>
      </c>
      <c r="R118" s="15">
        <v>1957.7149179999999</v>
      </c>
      <c r="S118" s="15">
        <v>1673.774707</v>
      </c>
      <c r="T118" s="15">
        <v>1990.3032478195694</v>
      </c>
      <c r="AP118" s="12">
        <f t="shared" si="9"/>
        <v>1.05438760586796</v>
      </c>
      <c r="AQ118" s="12">
        <f t="shared" si="10"/>
        <v>0.91632924448173192</v>
      </c>
      <c r="AU118" s="12">
        <f t="shared" si="11"/>
        <v>0.82849022861980148</v>
      </c>
      <c r="AV118" s="12">
        <f t="shared" si="12"/>
        <v>0.46292072739233214</v>
      </c>
      <c r="AW118" s="12">
        <f t="shared" si="13"/>
        <v>0.57104884295190628</v>
      </c>
      <c r="AX118" s="12">
        <f t="shared" si="14"/>
        <v>0.94118824505845822</v>
      </c>
      <c r="AY118" s="12">
        <f t="shared" si="15"/>
        <v>0.42748791007566417</v>
      </c>
      <c r="AZ118" s="12">
        <f t="shared" si="16"/>
        <v>0.34966121772661346</v>
      </c>
    </row>
    <row r="119" spans="1:52" x14ac:dyDescent="0.55000000000000004">
      <c r="A119" s="12" t="s">
        <v>127</v>
      </c>
      <c r="B119" s="12" t="s">
        <v>128</v>
      </c>
      <c r="C119" s="12" t="s">
        <v>8</v>
      </c>
      <c r="D119" s="12" t="s">
        <v>9</v>
      </c>
      <c r="E119" s="12">
        <v>1635</v>
      </c>
      <c r="F119" s="12">
        <v>66.371138000000002</v>
      </c>
      <c r="G119" s="12">
        <v>44.390748000000002</v>
      </c>
      <c r="H119" s="14">
        <f t="shared" si="17"/>
        <v>72578.87298</v>
      </c>
      <c r="I119" s="12">
        <v>34.769070999999997</v>
      </c>
      <c r="J119" s="12">
        <v>17.470614000000001</v>
      </c>
      <c r="K119" s="12">
        <v>15.306407</v>
      </c>
      <c r="L119" s="12">
        <v>39.275236</v>
      </c>
      <c r="M119" s="12">
        <v>31.322931000000001</v>
      </c>
      <c r="N119" s="12">
        <v>8.3944880000000008</v>
      </c>
      <c r="O119" s="12">
        <v>11.565046000000001</v>
      </c>
      <c r="P119" s="12">
        <v>33.22842</v>
      </c>
      <c r="Q119" s="12">
        <v>900.25824899999998</v>
      </c>
      <c r="R119" s="15">
        <v>65.383041000000006</v>
      </c>
      <c r="S119" s="15">
        <v>586.80460200000005</v>
      </c>
      <c r="T119" s="15">
        <v>1017.4440533191572</v>
      </c>
      <c r="AP119" s="12">
        <f t="shared" si="9"/>
        <v>0.88476175260664669</v>
      </c>
      <c r="AQ119" s="12">
        <f t="shared" si="10"/>
        <v>0.7485438181848163</v>
      </c>
      <c r="AU119" s="12">
        <f t="shared" si="11"/>
        <v>0.88526701660048579</v>
      </c>
      <c r="AV119" s="12">
        <f t="shared" si="12"/>
        <v>0.44482518195434906</v>
      </c>
      <c r="AW119" s="12">
        <f t="shared" si="13"/>
        <v>0.38972157926689482</v>
      </c>
      <c r="AX119" s="12">
        <f t="shared" si="14"/>
        <v>0.94265484184923631</v>
      </c>
      <c r="AY119" s="12">
        <f t="shared" si="15"/>
        <v>0.25262976692843059</v>
      </c>
      <c r="AZ119" s="12">
        <f t="shared" si="16"/>
        <v>0.34804682256935482</v>
      </c>
    </row>
    <row r="120" spans="1:52" x14ac:dyDescent="0.55000000000000004">
      <c r="A120" s="12" t="s">
        <v>129</v>
      </c>
      <c r="B120" s="12" t="s">
        <v>130</v>
      </c>
      <c r="C120" s="12" t="s">
        <v>8</v>
      </c>
      <c r="D120" s="12" t="s">
        <v>9</v>
      </c>
      <c r="E120" s="12">
        <v>1708</v>
      </c>
      <c r="F120" s="12">
        <v>68.438992999999996</v>
      </c>
      <c r="G120" s="12">
        <v>40.331533999999998</v>
      </c>
      <c r="H120" s="14">
        <f t="shared" si="17"/>
        <v>68886.26007199999</v>
      </c>
      <c r="I120" s="12">
        <v>46.803669999999997</v>
      </c>
      <c r="J120" s="12">
        <v>13.620995000000001</v>
      </c>
      <c r="K120" s="12">
        <v>19.215561000000001</v>
      </c>
      <c r="L120" s="12">
        <v>50.786650999999999</v>
      </c>
      <c r="M120" s="12">
        <v>43.057043</v>
      </c>
      <c r="N120" s="12">
        <v>14.413501999999999</v>
      </c>
      <c r="O120" s="12">
        <v>9.6825500000000009</v>
      </c>
      <c r="P120" s="12">
        <v>45.656779</v>
      </c>
      <c r="Q120" s="12">
        <v>783.54453699999999</v>
      </c>
      <c r="R120" s="15">
        <v>1805.765218</v>
      </c>
      <c r="S120" s="15">
        <v>1190.255797</v>
      </c>
      <c r="T120" s="15">
        <v>1874.7397920431647</v>
      </c>
      <c r="AP120" s="12">
        <f t="shared" si="9"/>
        <v>1.2592293414874822</v>
      </c>
      <c r="AQ120" s="12">
        <f t="shared" si="10"/>
        <v>1.132036758135706</v>
      </c>
      <c r="AU120" s="12">
        <f t="shared" si="11"/>
        <v>0.92157425383296088</v>
      </c>
      <c r="AV120" s="12">
        <f t="shared" si="12"/>
        <v>0.26820029932668726</v>
      </c>
      <c r="AW120" s="12">
        <f t="shared" si="13"/>
        <v>0.37835849818094919</v>
      </c>
      <c r="AX120" s="12">
        <f t="shared" si="14"/>
        <v>0.94305914571853611</v>
      </c>
      <c r="AY120" s="12">
        <f t="shared" si="15"/>
        <v>0.31569248457058258</v>
      </c>
      <c r="AZ120" s="12">
        <f t="shared" si="16"/>
        <v>0.21207255991492524</v>
      </c>
    </row>
    <row r="121" spans="1:52" x14ac:dyDescent="0.55000000000000004">
      <c r="A121" s="12" t="s">
        <v>131</v>
      </c>
      <c r="B121" s="12" t="s">
        <v>130</v>
      </c>
      <c r="C121" s="12" t="s">
        <v>8</v>
      </c>
      <c r="D121" s="12" t="s">
        <v>9</v>
      </c>
      <c r="E121" s="12">
        <v>1727</v>
      </c>
      <c r="F121" s="12">
        <v>69.675449999999998</v>
      </c>
      <c r="G121" s="12">
        <v>39.590502999999998</v>
      </c>
      <c r="H121" s="14">
        <f t="shared" si="17"/>
        <v>68372.798681</v>
      </c>
      <c r="I121" s="12">
        <v>44.561278999999999</v>
      </c>
      <c r="J121" s="12">
        <v>17.650365000000001</v>
      </c>
      <c r="K121" s="12">
        <v>40.389935000000001</v>
      </c>
      <c r="L121" s="12">
        <v>49.080525999999999</v>
      </c>
      <c r="M121" s="12">
        <v>35.029707999999999</v>
      </c>
      <c r="N121" s="12">
        <v>16.400908000000001</v>
      </c>
      <c r="O121" s="12">
        <v>16.588564000000002</v>
      </c>
      <c r="P121" s="12">
        <v>36.843257999999999</v>
      </c>
      <c r="Q121" s="12">
        <v>727.00556800000004</v>
      </c>
      <c r="R121" s="15">
        <v>3552.5014000000001</v>
      </c>
      <c r="S121" s="15">
        <v>1226.253565</v>
      </c>
      <c r="T121" s="15">
        <v>3616.7076144675093</v>
      </c>
      <c r="AP121" s="12">
        <f t="shared" si="9"/>
        <v>1.2397045321702531</v>
      </c>
      <c r="AQ121" s="12">
        <f t="shared" si="10"/>
        <v>0.93060848456509881</v>
      </c>
      <c r="AU121" s="12">
        <f t="shared" si="11"/>
        <v>0.90792178959125258</v>
      </c>
      <c r="AV121" s="12">
        <f t="shared" si="12"/>
        <v>0.35962053462915211</v>
      </c>
      <c r="AW121" s="12">
        <f t="shared" si="13"/>
        <v>0.82293199139715822</v>
      </c>
      <c r="AX121" s="12">
        <f t="shared" si="14"/>
        <v>0.95077661155807669</v>
      </c>
      <c r="AY121" s="12">
        <f t="shared" si="15"/>
        <v>0.44515357463772615</v>
      </c>
      <c r="AZ121" s="12">
        <f t="shared" si="16"/>
        <v>0.45024693527374809</v>
      </c>
    </row>
    <row r="122" spans="1:52" x14ac:dyDescent="0.55000000000000004">
      <c r="A122" s="12" t="s">
        <v>386</v>
      </c>
      <c r="B122" s="12" t="s">
        <v>387</v>
      </c>
      <c r="C122" s="12" t="s">
        <v>322</v>
      </c>
      <c r="D122" s="12" t="s">
        <v>9</v>
      </c>
      <c r="E122" s="12">
        <v>1981</v>
      </c>
      <c r="F122" s="12">
        <v>71.066293999999999</v>
      </c>
      <c r="G122" s="12">
        <v>37.389214000000003</v>
      </c>
      <c r="H122" s="14">
        <f t="shared" si="17"/>
        <v>74068.032934000003</v>
      </c>
      <c r="I122" s="12">
        <v>87.139438999999996</v>
      </c>
      <c r="J122" s="12">
        <v>26.461281</v>
      </c>
      <c r="K122" s="12">
        <v>42.484876</v>
      </c>
      <c r="L122" s="12">
        <v>99.131983000000005</v>
      </c>
      <c r="M122" s="12">
        <v>38.481028999999999</v>
      </c>
      <c r="N122" s="12">
        <v>14.035428</v>
      </c>
      <c r="O122" s="12">
        <v>8.0323130000000003</v>
      </c>
      <c r="P122" s="12">
        <v>38.543331999999999</v>
      </c>
      <c r="Q122" s="12">
        <v>1221.19418</v>
      </c>
      <c r="R122" s="15">
        <v>521.16506700000002</v>
      </c>
      <c r="S122" s="15">
        <v>1598.3044950000001</v>
      </c>
      <c r="T122" s="15">
        <v>1962.9832158178563</v>
      </c>
      <c r="AP122" s="12">
        <f t="shared" si="9"/>
        <v>2.6513524194437466</v>
      </c>
      <c r="AQ122" s="12">
        <f t="shared" si="10"/>
        <v>1.0308676721580721</v>
      </c>
      <c r="AU122" s="12">
        <f t="shared" si="11"/>
        <v>0.87902447184981658</v>
      </c>
      <c r="AV122" s="12">
        <f t="shared" si="12"/>
        <v>0.26692980609497136</v>
      </c>
      <c r="AW122" s="12">
        <f t="shared" si="13"/>
        <v>0.42856881012861409</v>
      </c>
      <c r="AX122" s="12">
        <f t="shared" si="14"/>
        <v>0.99838355957393621</v>
      </c>
      <c r="AY122" s="12">
        <f t="shared" si="15"/>
        <v>0.36414672192845182</v>
      </c>
      <c r="AZ122" s="12">
        <f t="shared" si="16"/>
        <v>0.20839695436813818</v>
      </c>
    </row>
    <row r="123" spans="1:52" x14ac:dyDescent="0.55000000000000004">
      <c r="A123" s="12" t="s">
        <v>132</v>
      </c>
      <c r="B123" s="12" t="s">
        <v>133</v>
      </c>
      <c r="C123" s="12" t="s">
        <v>134</v>
      </c>
      <c r="D123" s="12" t="s">
        <v>9</v>
      </c>
      <c r="E123" s="12">
        <v>1570</v>
      </c>
      <c r="F123" s="12">
        <v>70.529728000000006</v>
      </c>
      <c r="G123" s="12">
        <v>114.078401</v>
      </c>
      <c r="H123" s="14">
        <f t="shared" si="17"/>
        <v>179103.08957000001</v>
      </c>
      <c r="I123" s="12">
        <v>60.011248999999999</v>
      </c>
      <c r="J123" s="12">
        <v>16.084958</v>
      </c>
      <c r="K123" s="12">
        <v>27.389147000000001</v>
      </c>
      <c r="L123" s="12">
        <v>61.970931999999998</v>
      </c>
      <c r="M123" s="12">
        <v>46.511650000000003</v>
      </c>
      <c r="N123" s="12">
        <v>17.561026999999999</v>
      </c>
      <c r="O123" s="12">
        <v>11.330863000000001</v>
      </c>
      <c r="P123" s="12">
        <v>49.025531000000001</v>
      </c>
      <c r="Q123" s="12">
        <v>556.78175099999999</v>
      </c>
      <c r="R123" s="15">
        <v>1765.1021350000001</v>
      </c>
      <c r="S123" s="15">
        <v>1607.094918</v>
      </c>
      <c r="T123" s="15">
        <v>1777.6920132616085</v>
      </c>
      <c r="AP123" s="12">
        <f t="shared" si="9"/>
        <v>0.54323107141026628</v>
      </c>
      <c r="AQ123" s="12">
        <f t="shared" si="10"/>
        <v>0.42975296436702337</v>
      </c>
      <c r="AU123" s="12">
        <f t="shared" si="11"/>
        <v>0.96837738377082982</v>
      </c>
      <c r="AV123" s="12">
        <f t="shared" si="12"/>
        <v>0.25955649658456004</v>
      </c>
      <c r="AW123" s="12">
        <f t="shared" si="13"/>
        <v>0.44196764702522146</v>
      </c>
      <c r="AX123" s="12">
        <f t="shared" si="14"/>
        <v>0.94872302352013282</v>
      </c>
      <c r="AY123" s="12">
        <f t="shared" si="15"/>
        <v>0.35820166843271922</v>
      </c>
      <c r="AZ123" s="12">
        <f t="shared" si="16"/>
        <v>0.2311216782129295</v>
      </c>
    </row>
    <row r="124" spans="1:52" x14ac:dyDescent="0.55000000000000004">
      <c r="A124" s="12" t="s">
        <v>135</v>
      </c>
      <c r="B124" s="12" t="s">
        <v>136</v>
      </c>
      <c r="C124" s="12" t="s">
        <v>8</v>
      </c>
      <c r="D124" s="12" t="s">
        <v>9</v>
      </c>
      <c r="E124" s="12">
        <v>1660</v>
      </c>
      <c r="F124" s="12">
        <v>80.685102000000001</v>
      </c>
      <c r="G124" s="12">
        <v>82.883977999999999</v>
      </c>
      <c r="H124" s="14">
        <f t="shared" si="17"/>
        <v>137587.40348000001</v>
      </c>
      <c r="I124" s="12">
        <v>39.693404000000001</v>
      </c>
      <c r="J124" s="12">
        <v>11.970751999999999</v>
      </c>
      <c r="K124" s="12">
        <v>18.912638999999999</v>
      </c>
      <c r="L124" s="12">
        <v>43.256174000000001</v>
      </c>
      <c r="M124" s="12">
        <v>37.433568999999999</v>
      </c>
      <c r="N124" s="12">
        <v>16.462394</v>
      </c>
      <c r="O124" s="12">
        <v>6.5055110000000003</v>
      </c>
      <c r="P124" s="12">
        <v>40.625788</v>
      </c>
      <c r="Q124" s="12">
        <v>395.74847999999997</v>
      </c>
      <c r="R124" s="15">
        <v>486.70657199999999</v>
      </c>
      <c r="S124" s="15">
        <v>814.37340700000004</v>
      </c>
      <c r="T124" s="15">
        <v>822.10405879558937</v>
      </c>
      <c r="AP124" s="12">
        <f t="shared" si="9"/>
        <v>0.52188824720743976</v>
      </c>
      <c r="AQ124" s="12">
        <f t="shared" si="10"/>
        <v>0.49015248761346858</v>
      </c>
      <c r="AU124" s="12">
        <f t="shared" si="11"/>
        <v>0.91763557266992679</v>
      </c>
      <c r="AV124" s="12">
        <f t="shared" si="12"/>
        <v>0.2767408879019212</v>
      </c>
      <c r="AW124" s="12">
        <f t="shared" si="13"/>
        <v>0.43722403650401437</v>
      </c>
      <c r="AX124" s="12">
        <f t="shared" si="14"/>
        <v>0.92142382567447056</v>
      </c>
      <c r="AY124" s="12">
        <f t="shared" si="15"/>
        <v>0.40522029997301223</v>
      </c>
      <c r="AZ124" s="12">
        <f t="shared" si="16"/>
        <v>0.16013254930587439</v>
      </c>
    </row>
    <row r="125" spans="1:52" x14ac:dyDescent="0.55000000000000004">
      <c r="A125" s="12" t="s">
        <v>137</v>
      </c>
      <c r="B125" s="12" t="s">
        <v>138</v>
      </c>
      <c r="C125" s="12" t="s">
        <v>8</v>
      </c>
      <c r="D125" s="12" t="s">
        <v>9</v>
      </c>
      <c r="E125" s="12">
        <v>1359</v>
      </c>
      <c r="F125" s="12">
        <v>68.985742000000002</v>
      </c>
      <c r="G125" s="12">
        <v>43.228679</v>
      </c>
      <c r="H125" s="14">
        <f t="shared" si="17"/>
        <v>58747.774761000001</v>
      </c>
      <c r="I125" s="12">
        <v>49.603811</v>
      </c>
      <c r="J125" s="12">
        <v>10.864182</v>
      </c>
      <c r="K125" s="12">
        <v>27.304068000000001</v>
      </c>
      <c r="L125" s="12">
        <v>56.354346</v>
      </c>
      <c r="M125" s="12">
        <v>43.346476000000003</v>
      </c>
      <c r="N125" s="12">
        <v>10.782861</v>
      </c>
      <c r="O125" s="12">
        <v>7.7435650000000003</v>
      </c>
      <c r="P125" s="12">
        <v>43.922182999999997</v>
      </c>
      <c r="Q125" s="12">
        <v>589.95522500000004</v>
      </c>
      <c r="R125" s="15">
        <v>157.434774</v>
      </c>
      <c r="S125" s="15">
        <v>1240.63679</v>
      </c>
      <c r="T125" s="15">
        <v>1348.6421676897019</v>
      </c>
      <c r="AP125" s="12">
        <f t="shared" si="9"/>
        <v>1.3036333125053394</v>
      </c>
      <c r="AQ125" s="12">
        <f t="shared" si="10"/>
        <v>1.0160426831456033</v>
      </c>
      <c r="AU125" s="12">
        <f t="shared" si="11"/>
        <v>0.88021269912350686</v>
      </c>
      <c r="AV125" s="12">
        <f t="shared" si="12"/>
        <v>0.19278339242904174</v>
      </c>
      <c r="AW125" s="12">
        <f t="shared" si="13"/>
        <v>0.48450687370234058</v>
      </c>
      <c r="AX125" s="12">
        <f t="shared" si="14"/>
        <v>0.98689256861390529</v>
      </c>
      <c r="AY125" s="12">
        <f t="shared" si="15"/>
        <v>0.24549920480956061</v>
      </c>
      <c r="AZ125" s="12">
        <f t="shared" si="16"/>
        <v>0.176301915594678</v>
      </c>
    </row>
    <row r="126" spans="1:52" x14ac:dyDescent="0.55000000000000004">
      <c r="A126" s="12" t="s">
        <v>139</v>
      </c>
      <c r="B126" s="12" t="s">
        <v>140</v>
      </c>
      <c r="C126" s="12" t="s">
        <v>8</v>
      </c>
      <c r="D126" s="12" t="s">
        <v>9</v>
      </c>
      <c r="E126" s="12">
        <v>1682</v>
      </c>
      <c r="F126" s="12">
        <v>66.160422999999994</v>
      </c>
      <c r="G126" s="12">
        <v>60.098872999999998</v>
      </c>
      <c r="H126" s="14">
        <f t="shared" si="17"/>
        <v>101086.30438599999</v>
      </c>
      <c r="I126" s="12">
        <v>48.082808999999997</v>
      </c>
      <c r="J126" s="12">
        <v>15.335775999999999</v>
      </c>
      <c r="K126" s="12">
        <v>31.864013</v>
      </c>
      <c r="L126" s="12">
        <v>57.139176999999997</v>
      </c>
      <c r="M126" s="12">
        <v>40.526927000000001</v>
      </c>
      <c r="N126" s="12">
        <v>13.484173999999999</v>
      </c>
      <c r="O126" s="12">
        <v>21.555097</v>
      </c>
      <c r="P126" s="12">
        <v>42.88494</v>
      </c>
      <c r="Q126" s="12">
        <v>492.67235399999998</v>
      </c>
      <c r="R126" s="15">
        <v>766.24545799999999</v>
      </c>
      <c r="S126" s="15">
        <v>1815.055912</v>
      </c>
      <c r="T126" s="15">
        <v>1851.2312641853382</v>
      </c>
      <c r="AP126" s="12">
        <f t="shared" si="9"/>
        <v>0.95075288683034043</v>
      </c>
      <c r="AQ126" s="12">
        <f t="shared" si="10"/>
        <v>0.71357311475707708</v>
      </c>
      <c r="AU126" s="12">
        <f t="shared" si="11"/>
        <v>0.84150335241965424</v>
      </c>
      <c r="AV126" s="12">
        <f t="shared" si="12"/>
        <v>0.26839336520370255</v>
      </c>
      <c r="AW126" s="12">
        <f t="shared" si="13"/>
        <v>0.55765614194968194</v>
      </c>
      <c r="AX126" s="12">
        <f t="shared" si="14"/>
        <v>0.94501535970436246</v>
      </c>
      <c r="AY126" s="12">
        <f t="shared" si="15"/>
        <v>0.3144267894510287</v>
      </c>
      <c r="AZ126" s="12">
        <f t="shared" si="16"/>
        <v>0.50262625994113552</v>
      </c>
    </row>
    <row r="127" spans="1:52" x14ac:dyDescent="0.55000000000000004">
      <c r="A127" s="12" t="s">
        <v>141</v>
      </c>
      <c r="B127" s="12" t="s">
        <v>142</v>
      </c>
      <c r="C127" s="12" t="s">
        <v>8</v>
      </c>
      <c r="D127" s="12" t="s">
        <v>9</v>
      </c>
      <c r="E127" s="12">
        <v>1646</v>
      </c>
      <c r="F127" s="12">
        <v>70.760062999999988</v>
      </c>
      <c r="G127" s="12">
        <v>44.430098999999998</v>
      </c>
      <c r="H127" s="14">
        <f t="shared" si="17"/>
        <v>73131.942953999998</v>
      </c>
      <c r="I127" s="12">
        <v>54.248265000000004</v>
      </c>
      <c r="J127" s="12">
        <v>23.922077999999999</v>
      </c>
      <c r="K127" s="12">
        <v>30.100014999999999</v>
      </c>
      <c r="L127" s="12">
        <v>59.129379</v>
      </c>
      <c r="M127" s="12">
        <v>44.368474999999997</v>
      </c>
      <c r="N127" s="12">
        <v>19.859249999999999</v>
      </c>
      <c r="O127" s="12">
        <v>15.141664</v>
      </c>
      <c r="P127" s="12">
        <v>48.550406000000002</v>
      </c>
      <c r="Q127" s="12">
        <v>552.91645800000003</v>
      </c>
      <c r="R127" s="15">
        <v>816.24611200000004</v>
      </c>
      <c r="S127" s="15">
        <v>1593.29838</v>
      </c>
      <c r="T127" s="15">
        <v>1596.3951309842748</v>
      </c>
      <c r="AP127" s="12">
        <f t="shared" si="9"/>
        <v>1.3308405862431232</v>
      </c>
      <c r="AQ127" s="12">
        <f t="shared" si="10"/>
        <v>1.0927368404018187</v>
      </c>
      <c r="AU127" s="12">
        <f t="shared" si="11"/>
        <v>0.91745027459192496</v>
      </c>
      <c r="AV127" s="12">
        <f t="shared" si="12"/>
        <v>0.40457177810035855</v>
      </c>
      <c r="AW127" s="12">
        <f t="shared" si="13"/>
        <v>0.50905346054792833</v>
      </c>
      <c r="AX127" s="12">
        <f t="shared" si="14"/>
        <v>0.91386413946775225</v>
      </c>
      <c r="AY127" s="12">
        <f t="shared" si="15"/>
        <v>0.40904395320607612</v>
      </c>
      <c r="AZ127" s="12">
        <f t="shared" si="16"/>
        <v>0.3118751262347837</v>
      </c>
    </row>
    <row r="128" spans="1:52" x14ac:dyDescent="0.55000000000000004">
      <c r="A128" s="12" t="s">
        <v>500</v>
      </c>
      <c r="B128" s="12" t="s">
        <v>501</v>
      </c>
      <c r="C128" s="12" t="s">
        <v>485</v>
      </c>
      <c r="D128" s="12" t="s">
        <v>9</v>
      </c>
      <c r="E128" s="12">
        <v>2162</v>
      </c>
      <c r="F128" s="12">
        <v>73.154695000000004</v>
      </c>
      <c r="G128" s="12">
        <v>36.332487</v>
      </c>
      <c r="H128" s="14">
        <f t="shared" si="17"/>
        <v>78550.836894000007</v>
      </c>
      <c r="I128" s="12">
        <v>50.101208</v>
      </c>
      <c r="J128" s="12">
        <v>14.739330000000001</v>
      </c>
      <c r="K128" s="12">
        <v>28.830095</v>
      </c>
      <c r="L128" s="12">
        <v>56.498432000000001</v>
      </c>
      <c r="M128" s="12">
        <v>39.609479999999998</v>
      </c>
      <c r="N128" s="12">
        <v>13.890496000000001</v>
      </c>
      <c r="O128" s="12">
        <v>16.426583999999998</v>
      </c>
      <c r="P128" s="12">
        <v>41.831843999999997</v>
      </c>
      <c r="Q128" s="12">
        <v>552.07165599999996</v>
      </c>
      <c r="R128" s="15">
        <v>618.70543799999996</v>
      </c>
      <c r="S128" s="15">
        <v>1178.1046100000001</v>
      </c>
      <c r="T128" s="15">
        <v>1206.3140099455334</v>
      </c>
      <c r="AP128" s="12">
        <f t="shared" si="9"/>
        <v>1.5550389380170975</v>
      </c>
      <c r="AQ128" s="12">
        <f t="shared" si="10"/>
        <v>1.1513619753032596</v>
      </c>
      <c r="AU128" s="12">
        <f t="shared" si="11"/>
        <v>0.88677165412307368</v>
      </c>
      <c r="AV128" s="12">
        <f t="shared" si="12"/>
        <v>0.26088033735166316</v>
      </c>
      <c r="AW128" s="12">
        <f t="shared" si="13"/>
        <v>0.51028132957742967</v>
      </c>
      <c r="AX128" s="12">
        <f t="shared" si="14"/>
        <v>0.94687386958126929</v>
      </c>
      <c r="AY128" s="12">
        <f t="shared" si="15"/>
        <v>0.33205555079044569</v>
      </c>
      <c r="AZ128" s="12">
        <f t="shared" si="16"/>
        <v>0.39268132669456313</v>
      </c>
    </row>
    <row r="129" spans="1:52" x14ac:dyDescent="0.55000000000000004">
      <c r="A129" s="12" t="s">
        <v>143</v>
      </c>
      <c r="B129" s="12" t="s">
        <v>144</v>
      </c>
      <c r="C129" s="12" t="s">
        <v>8</v>
      </c>
      <c r="D129" s="12" t="s">
        <v>9</v>
      </c>
      <c r="E129" s="12">
        <v>1831</v>
      </c>
      <c r="F129" s="12">
        <v>71.013496000000004</v>
      </c>
      <c r="G129" s="12">
        <v>39.180346</v>
      </c>
      <c r="H129" s="14">
        <f t="shared" si="17"/>
        <v>71739.213526000007</v>
      </c>
      <c r="I129" s="12">
        <v>60.162331999999999</v>
      </c>
      <c r="J129" s="12">
        <v>13.092867</v>
      </c>
      <c r="K129" s="12">
        <v>27.669260999999999</v>
      </c>
      <c r="L129" s="12">
        <v>65.717008000000007</v>
      </c>
      <c r="M129" s="12">
        <v>35.934328000000001</v>
      </c>
      <c r="N129" s="12">
        <v>16.559559</v>
      </c>
      <c r="O129" s="12">
        <v>7.5340999999999996</v>
      </c>
      <c r="P129" s="12">
        <v>38.625456999999997</v>
      </c>
      <c r="Q129" s="12">
        <v>963.73646900000006</v>
      </c>
      <c r="R129" s="15">
        <v>712.57087000000001</v>
      </c>
      <c r="S129" s="15">
        <v>806.44297800000004</v>
      </c>
      <c r="T129" s="15">
        <v>1156.3414919329643</v>
      </c>
      <c r="AP129" s="12">
        <f t="shared" si="9"/>
        <v>1.6772952438960087</v>
      </c>
      <c r="AQ129" s="12">
        <f t="shared" si="10"/>
        <v>0.98583756764169461</v>
      </c>
      <c r="AU129" s="12">
        <f t="shared" si="11"/>
        <v>0.91547582324502652</v>
      </c>
      <c r="AV129" s="12">
        <f t="shared" si="12"/>
        <v>0.19923102707293064</v>
      </c>
      <c r="AW129" s="12">
        <f t="shared" si="13"/>
        <v>0.4210365298432332</v>
      </c>
      <c r="AX129" s="12">
        <f t="shared" si="14"/>
        <v>0.93032758162576568</v>
      </c>
      <c r="AY129" s="12">
        <f t="shared" si="15"/>
        <v>0.42872137409273892</v>
      </c>
      <c r="AZ129" s="12">
        <f t="shared" si="16"/>
        <v>0.19505529733926513</v>
      </c>
    </row>
    <row r="130" spans="1:52" x14ac:dyDescent="0.55000000000000004">
      <c r="A130" s="12" t="s">
        <v>145</v>
      </c>
      <c r="B130" s="12" t="s">
        <v>146</v>
      </c>
      <c r="C130" s="12" t="s">
        <v>8</v>
      </c>
      <c r="D130" s="12" t="s">
        <v>9</v>
      </c>
      <c r="E130" s="12">
        <v>1437</v>
      </c>
      <c r="F130" s="12">
        <v>69.909149999999997</v>
      </c>
      <c r="G130" s="12">
        <v>42.539641000000003</v>
      </c>
      <c r="H130" s="14">
        <f t="shared" si="17"/>
        <v>61129.464117000003</v>
      </c>
      <c r="I130" s="12">
        <v>53.481499999999997</v>
      </c>
      <c r="J130" s="12">
        <v>13.188234</v>
      </c>
      <c r="K130" s="12">
        <v>32.630836000000002</v>
      </c>
      <c r="L130" s="12">
        <v>56.642169000000003</v>
      </c>
      <c r="M130" s="12">
        <v>43.152312000000002</v>
      </c>
      <c r="N130" s="12">
        <v>19.166146999999999</v>
      </c>
      <c r="O130" s="12">
        <v>17.858460999999998</v>
      </c>
      <c r="P130" s="12">
        <v>45.889955</v>
      </c>
      <c r="Q130" s="12">
        <v>687.07895099999996</v>
      </c>
      <c r="R130" s="15">
        <v>397.05652800000001</v>
      </c>
      <c r="S130" s="15">
        <v>1662.313619</v>
      </c>
      <c r="T130" s="15">
        <v>1690.1606287539591</v>
      </c>
      <c r="AP130" s="12">
        <f t="shared" ref="AP130:AP193" si="18">L130/G130</f>
        <v>1.3315149744681671</v>
      </c>
      <c r="AQ130" s="12">
        <f t="shared" ref="AQ130:AQ193" si="19">P130/G130</f>
        <v>1.0787574582493538</v>
      </c>
      <c r="AU130" s="12">
        <f t="shared" ref="AU130:AU193" si="20">I130/$L130</f>
        <v>0.94419936496429002</v>
      </c>
      <c r="AV130" s="12">
        <f t="shared" ref="AV130:AV193" si="21">J130/$L130</f>
        <v>0.23283419813955217</v>
      </c>
      <c r="AW130" s="12">
        <f t="shared" ref="AW130:AW193" si="22">K130/$L130</f>
        <v>0.57608733168392612</v>
      </c>
      <c r="AX130" s="12">
        <f t="shared" ref="AX130:AX193" si="23">M130/$P130</f>
        <v>0.94034330606774408</v>
      </c>
      <c r="AY130" s="12">
        <f t="shared" ref="AY130:AY193" si="24">N130/$P130</f>
        <v>0.41765451720316565</v>
      </c>
      <c r="AZ130" s="12">
        <f t="shared" ref="AZ130:AZ193" si="25">O130/$P130</f>
        <v>0.38915838989164403</v>
      </c>
    </row>
    <row r="131" spans="1:52" x14ac:dyDescent="0.55000000000000004">
      <c r="A131" s="12" t="s">
        <v>147</v>
      </c>
      <c r="B131" s="12" t="s">
        <v>148</v>
      </c>
      <c r="C131" s="12" t="s">
        <v>51</v>
      </c>
      <c r="D131" s="12" t="s">
        <v>9</v>
      </c>
      <c r="E131" s="12">
        <v>1496</v>
      </c>
      <c r="F131" s="12">
        <v>71.182138999999992</v>
      </c>
      <c r="G131" s="12">
        <v>41.686098999999999</v>
      </c>
      <c r="H131" s="14">
        <f t="shared" ref="H131:H194" si="26">E131*G131</f>
        <v>62362.404104000001</v>
      </c>
      <c r="I131" s="12">
        <v>39.664653999999999</v>
      </c>
      <c r="J131" s="12">
        <v>13.345881</v>
      </c>
      <c r="K131" s="12">
        <v>24.725819999999999</v>
      </c>
      <c r="L131" s="12">
        <v>43.058025000000001</v>
      </c>
      <c r="M131" s="12">
        <v>34.418886000000001</v>
      </c>
      <c r="N131" s="12">
        <v>10.869778999999999</v>
      </c>
      <c r="O131" s="12">
        <v>10.946199</v>
      </c>
      <c r="P131" s="12">
        <v>35.963169000000001</v>
      </c>
      <c r="Q131" s="12">
        <v>441.26817299999999</v>
      </c>
      <c r="R131" s="15">
        <v>118.88718</v>
      </c>
      <c r="S131" s="15">
        <v>1213.8817670000001</v>
      </c>
      <c r="T131" s="15">
        <v>1219.0698982715026</v>
      </c>
      <c r="AP131" s="12">
        <f t="shared" si="18"/>
        <v>1.0329108751576874</v>
      </c>
      <c r="AQ131" s="12">
        <f t="shared" si="19"/>
        <v>0.86271370703216921</v>
      </c>
      <c r="AU131" s="12">
        <f t="shared" si="20"/>
        <v>0.92119074202776363</v>
      </c>
      <c r="AV131" s="12">
        <f t="shared" si="21"/>
        <v>0.30995107183852488</v>
      </c>
      <c r="AW131" s="12">
        <f t="shared" si="22"/>
        <v>0.57424417399543981</v>
      </c>
      <c r="AX131" s="12">
        <f t="shared" si="23"/>
        <v>0.95705931810403022</v>
      </c>
      <c r="AY131" s="12">
        <f t="shared" si="24"/>
        <v>0.3022475299660049</v>
      </c>
      <c r="AZ131" s="12">
        <f t="shared" si="25"/>
        <v>0.30437248174653353</v>
      </c>
    </row>
    <row r="132" spans="1:52" x14ac:dyDescent="0.55000000000000004">
      <c r="A132" s="12" t="s">
        <v>149</v>
      </c>
      <c r="B132" s="12" t="s">
        <v>150</v>
      </c>
      <c r="C132" s="12" t="s">
        <v>8</v>
      </c>
      <c r="D132" s="12" t="s">
        <v>9</v>
      </c>
      <c r="E132" s="12">
        <v>1576</v>
      </c>
      <c r="F132" s="12">
        <v>70.561540999999991</v>
      </c>
      <c r="G132" s="12">
        <v>38.266717999999997</v>
      </c>
      <c r="H132" s="14">
        <f t="shared" si="26"/>
        <v>60308.347567999997</v>
      </c>
      <c r="I132" s="12">
        <v>63.636403999999999</v>
      </c>
      <c r="J132" s="12">
        <v>18.89791</v>
      </c>
      <c r="K132" s="12">
        <v>23.092106999999999</v>
      </c>
      <c r="L132" s="12">
        <v>66.357039</v>
      </c>
      <c r="M132" s="12">
        <v>49.588923999999999</v>
      </c>
      <c r="N132" s="12">
        <v>13.554303000000001</v>
      </c>
      <c r="O132" s="12">
        <v>20.785965999999998</v>
      </c>
      <c r="P132" s="12">
        <v>54.547466999999997</v>
      </c>
      <c r="Q132" s="12">
        <v>1347.2002070000001</v>
      </c>
      <c r="R132" s="15">
        <v>1994.0959009999999</v>
      </c>
      <c r="S132" s="15">
        <v>997.50561300000004</v>
      </c>
      <c r="T132" s="15">
        <v>1997.2562575866114</v>
      </c>
      <c r="AP132" s="12">
        <f t="shared" si="18"/>
        <v>1.7340666372276818</v>
      </c>
      <c r="AQ132" s="12">
        <f t="shared" si="19"/>
        <v>1.4254545425087148</v>
      </c>
      <c r="AU132" s="12">
        <f t="shared" si="20"/>
        <v>0.9590000542368986</v>
      </c>
      <c r="AV132" s="12">
        <f t="shared" si="21"/>
        <v>0.2847913391674996</v>
      </c>
      <c r="AW132" s="12">
        <f t="shared" si="22"/>
        <v>0.34799785144120127</v>
      </c>
      <c r="AX132" s="12">
        <f t="shared" si="23"/>
        <v>0.90909673220939846</v>
      </c>
      <c r="AY132" s="12">
        <f t="shared" si="24"/>
        <v>0.24848638709474816</v>
      </c>
      <c r="AZ132" s="12">
        <f t="shared" si="25"/>
        <v>0.38106198405143177</v>
      </c>
    </row>
    <row r="133" spans="1:52" x14ac:dyDescent="0.55000000000000004">
      <c r="A133" s="12" t="s">
        <v>388</v>
      </c>
      <c r="B133" s="12" t="s">
        <v>389</v>
      </c>
      <c r="C133" s="12" t="s">
        <v>322</v>
      </c>
      <c r="D133" s="12" t="s">
        <v>9</v>
      </c>
      <c r="E133" s="12">
        <v>1790</v>
      </c>
      <c r="F133" s="12">
        <v>69.95752499999999</v>
      </c>
      <c r="G133" s="12">
        <v>43.844389</v>
      </c>
      <c r="H133" s="14">
        <f t="shared" si="26"/>
        <v>78481.456309999994</v>
      </c>
      <c r="I133" s="12">
        <v>48.547550000000001</v>
      </c>
      <c r="J133" s="12">
        <v>22.681263000000001</v>
      </c>
      <c r="K133" s="12">
        <v>24.387830999999998</v>
      </c>
      <c r="L133" s="12">
        <v>54.047139000000001</v>
      </c>
      <c r="M133" s="12">
        <v>39.705212000000003</v>
      </c>
      <c r="N133" s="12">
        <v>20.170499</v>
      </c>
      <c r="O133" s="12">
        <v>8.2237069999999992</v>
      </c>
      <c r="P133" s="12">
        <v>43.927526</v>
      </c>
      <c r="Q133" s="12">
        <v>280.48569800000001</v>
      </c>
      <c r="R133" s="15">
        <v>128.539232</v>
      </c>
      <c r="S133" s="15">
        <v>1281.5079659999999</v>
      </c>
      <c r="T133" s="15">
        <v>1283.6683156828012</v>
      </c>
      <c r="AP133" s="12">
        <f t="shared" si="18"/>
        <v>1.2327036647722471</v>
      </c>
      <c r="AQ133" s="12">
        <f t="shared" si="19"/>
        <v>1.0018961833405866</v>
      </c>
      <c r="AU133" s="12">
        <f t="shared" si="20"/>
        <v>0.89824458608253066</v>
      </c>
      <c r="AV133" s="12">
        <f t="shared" si="21"/>
        <v>0.41965705159712524</v>
      </c>
      <c r="AW133" s="12">
        <f t="shared" si="22"/>
        <v>0.45123259900954238</v>
      </c>
      <c r="AX133" s="12">
        <f t="shared" si="23"/>
        <v>0.90387999542701314</v>
      </c>
      <c r="AY133" s="12">
        <f t="shared" si="24"/>
        <v>0.45917675855453366</v>
      </c>
      <c r="AZ133" s="12">
        <f t="shared" si="25"/>
        <v>0.18721079352386016</v>
      </c>
    </row>
    <row r="134" spans="1:52" x14ac:dyDescent="0.55000000000000004">
      <c r="A134" s="12" t="s">
        <v>390</v>
      </c>
      <c r="B134" s="12" t="s">
        <v>391</v>
      </c>
      <c r="C134" s="12" t="s">
        <v>322</v>
      </c>
      <c r="D134" s="12" t="s">
        <v>9</v>
      </c>
      <c r="E134" s="12">
        <v>1994</v>
      </c>
      <c r="F134" s="12">
        <v>71.981969000000007</v>
      </c>
      <c r="G134" s="12">
        <v>49.626201000000002</v>
      </c>
      <c r="H134" s="14">
        <f t="shared" si="26"/>
        <v>98954.644794000007</v>
      </c>
      <c r="I134" s="12">
        <v>50.236820000000002</v>
      </c>
      <c r="J134" s="12">
        <v>23.569251999999999</v>
      </c>
      <c r="K134" s="12">
        <v>26.846111000000001</v>
      </c>
      <c r="L134" s="12">
        <v>56.352386000000003</v>
      </c>
      <c r="M134" s="12">
        <v>44.748897999999997</v>
      </c>
      <c r="N134" s="12">
        <v>16.874331000000002</v>
      </c>
      <c r="O134" s="12">
        <v>9.0953020000000002</v>
      </c>
      <c r="P134" s="12">
        <v>47.827885000000002</v>
      </c>
      <c r="Q134" s="12">
        <v>395.139251</v>
      </c>
      <c r="R134" s="15">
        <v>392.20302400000003</v>
      </c>
      <c r="S134" s="15">
        <v>1277.0625729999999</v>
      </c>
      <c r="T134" s="15">
        <v>1318.4890964737062</v>
      </c>
      <c r="AP134" s="12">
        <f t="shared" si="18"/>
        <v>1.1355369716896122</v>
      </c>
      <c r="AQ134" s="12">
        <f t="shared" si="19"/>
        <v>0.96376277120225262</v>
      </c>
      <c r="AU134" s="12">
        <f t="shared" si="20"/>
        <v>0.89147636091220694</v>
      </c>
      <c r="AV134" s="12">
        <f t="shared" si="21"/>
        <v>0.41824763196362258</v>
      </c>
      <c r="AW134" s="12">
        <f t="shared" si="22"/>
        <v>0.47639705974472846</v>
      </c>
      <c r="AX134" s="12">
        <f t="shared" si="23"/>
        <v>0.93562360116906684</v>
      </c>
      <c r="AY134" s="12">
        <f t="shared" si="24"/>
        <v>0.35281365671929671</v>
      </c>
      <c r="AZ134" s="12">
        <f t="shared" si="25"/>
        <v>0.1901673469357886</v>
      </c>
    </row>
    <row r="135" spans="1:52" x14ac:dyDescent="0.55000000000000004">
      <c r="A135" s="12" t="s">
        <v>151</v>
      </c>
      <c r="B135" s="12" t="s">
        <v>152</v>
      </c>
      <c r="C135" s="12" t="s">
        <v>8</v>
      </c>
      <c r="D135" s="12" t="s">
        <v>9</v>
      </c>
      <c r="E135" s="12">
        <v>1274</v>
      </c>
      <c r="F135" s="12">
        <v>67.912381000000011</v>
      </c>
      <c r="G135" s="12">
        <v>49.456691999999997</v>
      </c>
      <c r="H135" s="14">
        <f t="shared" si="26"/>
        <v>63007.825607999999</v>
      </c>
      <c r="I135" s="12">
        <v>94.929767999999996</v>
      </c>
      <c r="J135" s="12">
        <v>49.306877999999998</v>
      </c>
      <c r="K135" s="12">
        <v>23.348731000000001</v>
      </c>
      <c r="L135" s="12">
        <v>108.986136</v>
      </c>
      <c r="M135" s="12">
        <v>49.245223000000003</v>
      </c>
      <c r="N135" s="12">
        <v>22.825147000000001</v>
      </c>
      <c r="O135" s="12">
        <v>14.007049</v>
      </c>
      <c r="P135" s="12">
        <v>55.653149999999997</v>
      </c>
      <c r="Q135" s="12">
        <v>1029.3931219999999</v>
      </c>
      <c r="R135" s="15">
        <v>1914.3436119999999</v>
      </c>
      <c r="S135" s="15">
        <v>1202.849416</v>
      </c>
      <c r="T135" s="15">
        <v>1922.1668298710267</v>
      </c>
      <c r="AP135" s="12">
        <f t="shared" si="18"/>
        <v>2.2036681304928361</v>
      </c>
      <c r="AQ135" s="12">
        <f t="shared" si="19"/>
        <v>1.1252905875710411</v>
      </c>
      <c r="AU135" s="12">
        <f t="shared" si="20"/>
        <v>0.87102609087820115</v>
      </c>
      <c r="AV135" s="12">
        <f t="shared" si="21"/>
        <v>0.45241422266773451</v>
      </c>
      <c r="AW135" s="12">
        <f t="shared" si="22"/>
        <v>0.21423579050458308</v>
      </c>
      <c r="AX135" s="12">
        <f t="shared" si="23"/>
        <v>0.88485958117375219</v>
      </c>
      <c r="AY135" s="12">
        <f t="shared" si="24"/>
        <v>0.41013216682254289</v>
      </c>
      <c r="AZ135" s="12">
        <f t="shared" si="25"/>
        <v>0.25168474740423502</v>
      </c>
    </row>
    <row r="136" spans="1:52" x14ac:dyDescent="0.55000000000000004">
      <c r="A136" s="12" t="s">
        <v>153</v>
      </c>
      <c r="B136" s="12" t="s">
        <v>154</v>
      </c>
      <c r="C136" s="12" t="s">
        <v>8</v>
      </c>
      <c r="D136" s="12" t="s">
        <v>9</v>
      </c>
      <c r="E136" s="12">
        <v>1185</v>
      </c>
      <c r="F136" s="12">
        <v>70.977072000000007</v>
      </c>
      <c r="G136" s="12">
        <v>40.824522000000002</v>
      </c>
      <c r="H136" s="14">
        <f t="shared" si="26"/>
        <v>48377.058570000001</v>
      </c>
      <c r="I136" s="12">
        <v>85.686533999999995</v>
      </c>
      <c r="J136" s="12">
        <v>25.863719</v>
      </c>
      <c r="K136" s="12">
        <v>28.246866000000001</v>
      </c>
      <c r="L136" s="12">
        <v>91.740812000000005</v>
      </c>
      <c r="M136" s="12">
        <v>47.998080000000002</v>
      </c>
      <c r="N136" s="12">
        <v>22.535675000000001</v>
      </c>
      <c r="O136" s="12">
        <v>11.862192</v>
      </c>
      <c r="P136" s="12">
        <v>53.306626000000001</v>
      </c>
      <c r="Q136" s="12">
        <v>979.176558</v>
      </c>
      <c r="R136" s="15">
        <v>1051.275668</v>
      </c>
      <c r="S136" s="15">
        <v>1890.345084</v>
      </c>
      <c r="T136" s="15">
        <v>2124.1382500787986</v>
      </c>
      <c r="AP136" s="12">
        <f t="shared" si="18"/>
        <v>2.2471986812239959</v>
      </c>
      <c r="AQ136" s="12">
        <f t="shared" si="19"/>
        <v>1.30575015673178</v>
      </c>
      <c r="AU136" s="12">
        <f t="shared" si="20"/>
        <v>0.93400671012155412</v>
      </c>
      <c r="AV136" s="12">
        <f t="shared" si="21"/>
        <v>0.28192162720338687</v>
      </c>
      <c r="AW136" s="12">
        <f t="shared" si="22"/>
        <v>0.30789858280303861</v>
      </c>
      <c r="AX136" s="12">
        <f t="shared" si="23"/>
        <v>0.90041489401336339</v>
      </c>
      <c r="AY136" s="12">
        <f t="shared" si="24"/>
        <v>0.42275560640435206</v>
      </c>
      <c r="AZ136" s="12">
        <f t="shared" si="25"/>
        <v>0.22252753344396622</v>
      </c>
    </row>
    <row r="137" spans="1:52" x14ac:dyDescent="0.55000000000000004">
      <c r="A137" s="12" t="s">
        <v>155</v>
      </c>
      <c r="B137" s="12" t="s">
        <v>156</v>
      </c>
      <c r="C137" s="12" t="s">
        <v>51</v>
      </c>
      <c r="D137" s="12" t="s">
        <v>9</v>
      </c>
      <c r="E137" s="12">
        <v>1274</v>
      </c>
      <c r="F137" s="12">
        <v>68.500946999999996</v>
      </c>
      <c r="G137" s="12">
        <v>39.471046000000001</v>
      </c>
      <c r="H137" s="14">
        <f t="shared" si="26"/>
        <v>50286.112604000002</v>
      </c>
      <c r="I137" s="12">
        <v>123.99048999999999</v>
      </c>
      <c r="J137" s="12">
        <v>19.666347999999999</v>
      </c>
      <c r="K137" s="12">
        <v>37.018289000000003</v>
      </c>
      <c r="L137" s="12">
        <v>124.30309200000001</v>
      </c>
      <c r="M137" s="12">
        <v>56.298625000000001</v>
      </c>
      <c r="N137" s="12">
        <v>18.167401000000002</v>
      </c>
      <c r="O137" s="12">
        <v>17.844083000000001</v>
      </c>
      <c r="P137" s="12">
        <v>58.126106999999998</v>
      </c>
      <c r="Q137" s="12">
        <v>2036.1045779999999</v>
      </c>
      <c r="R137" s="15">
        <v>986.16382499999997</v>
      </c>
      <c r="S137" s="15">
        <v>2147.967674</v>
      </c>
      <c r="T137" s="15">
        <v>2410.5615396209814</v>
      </c>
      <c r="AP137" s="12">
        <f t="shared" si="18"/>
        <v>3.1492221412120673</v>
      </c>
      <c r="AQ137" s="12">
        <f t="shared" si="19"/>
        <v>1.472626466499013</v>
      </c>
      <c r="AU137" s="12">
        <f t="shared" si="20"/>
        <v>0.99748516312047963</v>
      </c>
      <c r="AV137" s="12">
        <f t="shared" si="21"/>
        <v>0.15821286247650218</v>
      </c>
      <c r="AW137" s="12">
        <f t="shared" si="22"/>
        <v>0.29780666276587875</v>
      </c>
      <c r="AX137" s="12">
        <f t="shared" si="23"/>
        <v>0.96856004824131781</v>
      </c>
      <c r="AY137" s="12">
        <f t="shared" si="24"/>
        <v>0.31255148396571619</v>
      </c>
      <c r="AZ137" s="12">
        <f t="shared" si="25"/>
        <v>0.30698912968659681</v>
      </c>
    </row>
    <row r="138" spans="1:52" x14ac:dyDescent="0.55000000000000004">
      <c r="A138" s="12" t="s">
        <v>157</v>
      </c>
      <c r="B138" s="12" t="s">
        <v>158</v>
      </c>
      <c r="C138" s="12" t="s">
        <v>134</v>
      </c>
      <c r="D138" s="12" t="s">
        <v>9</v>
      </c>
      <c r="E138" s="12">
        <v>1220</v>
      </c>
      <c r="F138" s="12">
        <v>69.137872000000002</v>
      </c>
      <c r="G138" s="12">
        <v>35.433393000000002</v>
      </c>
      <c r="H138" s="14">
        <f t="shared" si="26"/>
        <v>43228.739460000004</v>
      </c>
      <c r="I138" s="12">
        <v>52.011814000000001</v>
      </c>
      <c r="J138" s="12">
        <v>30.744012000000001</v>
      </c>
      <c r="K138" s="12">
        <v>22.202708000000001</v>
      </c>
      <c r="L138" s="12">
        <v>55.655042000000002</v>
      </c>
      <c r="M138" s="12">
        <v>47.317512000000001</v>
      </c>
      <c r="N138" s="12">
        <v>17.232558000000001</v>
      </c>
      <c r="O138" s="12">
        <v>12.415982</v>
      </c>
      <c r="P138" s="12">
        <v>49.794789999999999</v>
      </c>
      <c r="Q138" s="12">
        <v>508.236695</v>
      </c>
      <c r="R138" s="15">
        <v>209.31481600000001</v>
      </c>
      <c r="S138" s="15">
        <v>2306.3962230000002</v>
      </c>
      <c r="T138" s="15">
        <v>2313.3145961311252</v>
      </c>
      <c r="AP138" s="12">
        <f t="shared" si="18"/>
        <v>1.5706946834021793</v>
      </c>
      <c r="AQ138" s="12">
        <f t="shared" si="19"/>
        <v>1.4053068527758545</v>
      </c>
      <c r="AU138" s="12">
        <f t="shared" si="20"/>
        <v>0.93453912046279652</v>
      </c>
      <c r="AV138" s="12">
        <f t="shared" si="21"/>
        <v>0.55240299701867079</v>
      </c>
      <c r="AW138" s="12">
        <f t="shared" si="22"/>
        <v>0.39893434991927595</v>
      </c>
      <c r="AX138" s="12">
        <f t="shared" si="23"/>
        <v>0.95025025710521127</v>
      </c>
      <c r="AY138" s="12">
        <f t="shared" si="24"/>
        <v>0.34607150667770664</v>
      </c>
      <c r="AZ138" s="12">
        <f t="shared" si="25"/>
        <v>0.24934299351398007</v>
      </c>
    </row>
    <row r="139" spans="1:52" x14ac:dyDescent="0.55000000000000004">
      <c r="A139" s="12" t="s">
        <v>159</v>
      </c>
      <c r="B139" s="12" t="s">
        <v>160</v>
      </c>
      <c r="C139" s="12" t="s">
        <v>51</v>
      </c>
      <c r="D139" s="12" t="s">
        <v>9</v>
      </c>
      <c r="E139" s="12">
        <v>1350</v>
      </c>
      <c r="F139" s="12">
        <v>69.236466000000007</v>
      </c>
      <c r="G139" s="12">
        <v>43.761474999999997</v>
      </c>
      <c r="H139" s="14">
        <f t="shared" si="26"/>
        <v>59077.991249999999</v>
      </c>
      <c r="I139" s="12">
        <v>95.759135000000001</v>
      </c>
      <c r="J139" s="12">
        <v>11.391529999999999</v>
      </c>
      <c r="K139" s="12">
        <v>26.314336999999998</v>
      </c>
      <c r="L139" s="12">
        <v>96.515834999999996</v>
      </c>
      <c r="M139" s="12">
        <v>48.048856999999998</v>
      </c>
      <c r="N139" s="12">
        <v>10.418087999999999</v>
      </c>
      <c r="O139" s="12">
        <v>12.262968000000001</v>
      </c>
      <c r="P139" s="12">
        <v>49.229016000000001</v>
      </c>
      <c r="Q139" s="12">
        <v>1286.647095</v>
      </c>
      <c r="R139" s="15">
        <v>1004.663352</v>
      </c>
      <c r="S139" s="15">
        <v>1324.9689430000001</v>
      </c>
      <c r="T139" s="15">
        <v>1524.7068959610508</v>
      </c>
      <c r="AP139" s="12">
        <f t="shared" si="18"/>
        <v>2.2054977580166115</v>
      </c>
      <c r="AQ139" s="12">
        <f t="shared" si="19"/>
        <v>1.1249395958431476</v>
      </c>
      <c r="AU139" s="12">
        <f t="shared" si="20"/>
        <v>0.99215983574094346</v>
      </c>
      <c r="AV139" s="12">
        <f t="shared" si="21"/>
        <v>0.11802757547505029</v>
      </c>
      <c r="AW139" s="12">
        <f t="shared" si="22"/>
        <v>0.27264269122263718</v>
      </c>
      <c r="AX139" s="12">
        <f t="shared" si="23"/>
        <v>0.9760271665799698</v>
      </c>
      <c r="AY139" s="12">
        <f t="shared" si="24"/>
        <v>0.21162494899349601</v>
      </c>
      <c r="AZ139" s="12">
        <f t="shared" si="25"/>
        <v>0.24910040858830085</v>
      </c>
    </row>
    <row r="140" spans="1:52" x14ac:dyDescent="0.55000000000000004">
      <c r="A140" s="12" t="s">
        <v>161</v>
      </c>
      <c r="B140" s="12" t="s">
        <v>162</v>
      </c>
      <c r="C140" s="12" t="s">
        <v>8</v>
      </c>
      <c r="D140" s="12" t="s">
        <v>9</v>
      </c>
      <c r="E140" s="12">
        <v>1269</v>
      </c>
      <c r="F140" s="12">
        <v>67.644084000000007</v>
      </c>
      <c r="G140" s="12">
        <v>38.029947</v>
      </c>
      <c r="H140" s="14">
        <f t="shared" si="26"/>
        <v>48260.002742999997</v>
      </c>
      <c r="I140" s="12">
        <v>64.381309000000002</v>
      </c>
      <c r="J140" s="12">
        <v>25.638698000000002</v>
      </c>
      <c r="K140" s="12">
        <v>27.438127999999999</v>
      </c>
      <c r="L140" s="12">
        <v>71.823699000000005</v>
      </c>
      <c r="M140" s="12">
        <v>42.844983999999997</v>
      </c>
      <c r="N140" s="12">
        <v>21.271916000000001</v>
      </c>
      <c r="O140" s="12">
        <v>12.103039000000001</v>
      </c>
      <c r="P140" s="12">
        <v>48.419030999999997</v>
      </c>
      <c r="Q140" s="12">
        <v>692.39264000000003</v>
      </c>
      <c r="R140" s="15">
        <v>26.887169</v>
      </c>
      <c r="S140" s="15">
        <v>1233.0735239999999</v>
      </c>
      <c r="T140" s="15">
        <v>1377.4873996991887</v>
      </c>
      <c r="AP140" s="12">
        <f t="shared" si="18"/>
        <v>1.8886089691368753</v>
      </c>
      <c r="AQ140" s="12">
        <f t="shared" si="19"/>
        <v>1.2731816586544282</v>
      </c>
      <c r="AU140" s="12">
        <f t="shared" si="20"/>
        <v>0.89637974507550766</v>
      </c>
      <c r="AV140" s="12">
        <f t="shared" si="21"/>
        <v>0.35696710635858508</v>
      </c>
      <c r="AW140" s="12">
        <f t="shared" si="22"/>
        <v>0.38202053614643261</v>
      </c>
      <c r="AX140" s="12">
        <f t="shared" si="23"/>
        <v>0.88487900552987109</v>
      </c>
      <c r="AY140" s="12">
        <f t="shared" si="24"/>
        <v>0.43932965118612149</v>
      </c>
      <c r="AZ140" s="12">
        <f t="shared" si="25"/>
        <v>0.24996450259403172</v>
      </c>
    </row>
    <row r="141" spans="1:52" x14ac:dyDescent="0.55000000000000004">
      <c r="A141" s="12" t="s">
        <v>163</v>
      </c>
      <c r="B141" s="12" t="s">
        <v>156</v>
      </c>
      <c r="C141" s="12" t="s">
        <v>51</v>
      </c>
      <c r="D141" s="12" t="s">
        <v>9</v>
      </c>
      <c r="E141" s="12">
        <v>1276</v>
      </c>
      <c r="F141" s="12">
        <v>68.575970999999996</v>
      </c>
      <c r="G141" s="12">
        <v>43.919885999999998</v>
      </c>
      <c r="H141" s="14">
        <f t="shared" si="26"/>
        <v>56041.774535999997</v>
      </c>
      <c r="I141" s="12">
        <v>66.925472999999997</v>
      </c>
      <c r="J141" s="12">
        <v>23.364457999999999</v>
      </c>
      <c r="K141" s="12">
        <v>33.384943999999997</v>
      </c>
      <c r="L141" s="12">
        <v>69.812631999999994</v>
      </c>
      <c r="M141" s="12">
        <v>44.099074000000002</v>
      </c>
      <c r="N141" s="12">
        <v>17.787130000000001</v>
      </c>
      <c r="O141" s="12">
        <v>14.13494</v>
      </c>
      <c r="P141" s="12">
        <v>47.017443999999998</v>
      </c>
      <c r="Q141" s="12">
        <v>717.68921999999998</v>
      </c>
      <c r="R141" s="15">
        <v>35.619365999999999</v>
      </c>
      <c r="S141" s="15">
        <v>1666.323596</v>
      </c>
      <c r="T141" s="15">
        <v>1729.8548215418834</v>
      </c>
      <c r="AP141" s="12">
        <f t="shared" si="18"/>
        <v>1.5895449273251756</v>
      </c>
      <c r="AQ141" s="12">
        <f t="shared" si="19"/>
        <v>1.07052745993011</v>
      </c>
      <c r="AU141" s="12">
        <f t="shared" si="20"/>
        <v>0.95864417488227638</v>
      </c>
      <c r="AV141" s="12">
        <f t="shared" si="21"/>
        <v>0.33467378797579211</v>
      </c>
      <c r="AW141" s="12">
        <f t="shared" si="22"/>
        <v>0.47820778337078024</v>
      </c>
      <c r="AX141" s="12">
        <f t="shared" si="23"/>
        <v>0.93793005846936306</v>
      </c>
      <c r="AY141" s="12">
        <f t="shared" si="24"/>
        <v>0.37830916542379467</v>
      </c>
      <c r="AZ141" s="12">
        <f t="shared" si="25"/>
        <v>0.3006318250732643</v>
      </c>
    </row>
    <row r="142" spans="1:52" x14ac:dyDescent="0.55000000000000004">
      <c r="A142" s="12" t="s">
        <v>392</v>
      </c>
      <c r="B142" s="12" t="s">
        <v>393</v>
      </c>
      <c r="C142" s="12" t="s">
        <v>322</v>
      </c>
      <c r="D142" s="12" t="s">
        <v>9</v>
      </c>
      <c r="E142" s="12">
        <v>2022</v>
      </c>
      <c r="F142" s="12">
        <v>70.548502999999997</v>
      </c>
      <c r="G142" s="12">
        <v>34.480981</v>
      </c>
      <c r="H142" s="14">
        <f t="shared" si="26"/>
        <v>69720.543581999998</v>
      </c>
      <c r="I142" s="12">
        <v>78.492368999999997</v>
      </c>
      <c r="J142" s="12">
        <v>16.048318999999999</v>
      </c>
      <c r="K142" s="12">
        <v>39.82582</v>
      </c>
      <c r="L142" s="12">
        <v>80.860547999999994</v>
      </c>
      <c r="M142" s="12">
        <v>43.137487</v>
      </c>
      <c r="N142" s="12">
        <v>12.385275</v>
      </c>
      <c r="O142" s="12">
        <v>14.348058</v>
      </c>
      <c r="P142" s="12">
        <v>46.436742000000002</v>
      </c>
      <c r="Q142" s="12">
        <v>527.511933</v>
      </c>
      <c r="R142" s="15">
        <v>341.41117400000002</v>
      </c>
      <c r="S142" s="15">
        <v>1506.717435</v>
      </c>
      <c r="T142" s="15">
        <v>1535.8753117454698</v>
      </c>
      <c r="AP142" s="12">
        <f t="shared" si="18"/>
        <v>2.3450767830532429</v>
      </c>
      <c r="AQ142" s="12">
        <f t="shared" si="19"/>
        <v>1.3467349435330742</v>
      </c>
      <c r="AU142" s="12">
        <f t="shared" si="20"/>
        <v>0.97071280051181452</v>
      </c>
      <c r="AV142" s="12">
        <f t="shared" si="21"/>
        <v>0.19846908531958007</v>
      </c>
      <c r="AW142" s="12">
        <f t="shared" si="22"/>
        <v>0.49252473530107665</v>
      </c>
      <c r="AX142" s="12">
        <f t="shared" si="23"/>
        <v>0.9289516262790356</v>
      </c>
      <c r="AY142" s="12">
        <f t="shared" si="24"/>
        <v>0.26671283269614393</v>
      </c>
      <c r="AZ142" s="12">
        <f t="shared" si="25"/>
        <v>0.30898072048206998</v>
      </c>
    </row>
    <row r="143" spans="1:52" x14ac:dyDescent="0.55000000000000004">
      <c r="A143" s="12" t="s">
        <v>164</v>
      </c>
      <c r="B143" s="12" t="s">
        <v>165</v>
      </c>
      <c r="C143" s="12" t="s">
        <v>8</v>
      </c>
      <c r="D143" s="12" t="s">
        <v>9</v>
      </c>
      <c r="E143" s="12">
        <v>1641</v>
      </c>
      <c r="F143" s="12">
        <v>69.361113999999986</v>
      </c>
      <c r="G143" s="12">
        <v>44.450902999999997</v>
      </c>
      <c r="H143" s="14">
        <f t="shared" si="26"/>
        <v>72943.931822999992</v>
      </c>
      <c r="I143" s="12">
        <v>57.961852</v>
      </c>
      <c r="J143" s="12">
        <v>19.140422999999998</v>
      </c>
      <c r="K143" s="12">
        <v>45.628408</v>
      </c>
      <c r="L143" s="12">
        <v>73.139872999999994</v>
      </c>
      <c r="M143" s="12">
        <v>43.260854999999999</v>
      </c>
      <c r="N143" s="12">
        <v>14.620893000000001</v>
      </c>
      <c r="O143" s="12">
        <v>23.970327999999999</v>
      </c>
      <c r="P143" s="12">
        <v>49.407418999999997</v>
      </c>
      <c r="Q143" s="12">
        <v>614.28115000000003</v>
      </c>
      <c r="R143" s="15">
        <v>3925.7120129999998</v>
      </c>
      <c r="S143" s="15">
        <v>1442.407557</v>
      </c>
      <c r="T143" s="15">
        <v>3939.9839565082457</v>
      </c>
      <c r="AP143" s="12">
        <f t="shared" si="18"/>
        <v>1.6454080359177405</v>
      </c>
      <c r="AQ143" s="12">
        <f t="shared" si="19"/>
        <v>1.111505406313118</v>
      </c>
      <c r="AU143" s="12">
        <f t="shared" si="20"/>
        <v>0.79247952754853712</v>
      </c>
      <c r="AV143" s="12">
        <f t="shared" si="21"/>
        <v>0.2616961475992719</v>
      </c>
      <c r="AW143" s="12">
        <f t="shared" si="22"/>
        <v>0.62385134302871981</v>
      </c>
      <c r="AX143" s="12">
        <f t="shared" si="23"/>
        <v>0.87559431104871122</v>
      </c>
      <c r="AY143" s="12">
        <f t="shared" si="24"/>
        <v>0.29592505125596624</v>
      </c>
      <c r="AZ143" s="12">
        <f t="shared" si="25"/>
        <v>0.48515644988458112</v>
      </c>
    </row>
    <row r="144" spans="1:52" x14ac:dyDescent="0.55000000000000004">
      <c r="A144" s="12" t="s">
        <v>166</v>
      </c>
      <c r="B144" s="12" t="s">
        <v>167</v>
      </c>
      <c r="C144" s="12" t="s">
        <v>8</v>
      </c>
      <c r="D144" s="12" t="s">
        <v>9</v>
      </c>
      <c r="E144" s="12">
        <v>1556</v>
      </c>
      <c r="F144" s="12">
        <v>69.952696000000003</v>
      </c>
      <c r="G144" s="12">
        <v>42.678649</v>
      </c>
      <c r="H144" s="14">
        <f t="shared" si="26"/>
        <v>66407.977843999994</v>
      </c>
      <c r="I144" s="12">
        <v>48.530721999999997</v>
      </c>
      <c r="J144" s="12">
        <v>23.636513999999998</v>
      </c>
      <c r="K144" s="12">
        <v>20.176034999999999</v>
      </c>
      <c r="L144" s="12">
        <v>54.659689</v>
      </c>
      <c r="M144" s="12">
        <v>35.928857999999998</v>
      </c>
      <c r="N144" s="12">
        <v>22.336693</v>
      </c>
      <c r="O144" s="12">
        <v>11.074814</v>
      </c>
      <c r="P144" s="12">
        <v>37.424115999999998</v>
      </c>
      <c r="Q144" s="12">
        <v>374.70122199999997</v>
      </c>
      <c r="R144" s="15">
        <v>195.231099</v>
      </c>
      <c r="S144" s="15">
        <v>779.37420299999997</v>
      </c>
      <c r="T144" s="15">
        <v>792.83828736396993</v>
      </c>
      <c r="AP144" s="12">
        <f t="shared" si="18"/>
        <v>1.2807267868296393</v>
      </c>
      <c r="AQ144" s="12">
        <f t="shared" si="19"/>
        <v>0.87688145892340685</v>
      </c>
      <c r="AU144" s="12">
        <f t="shared" si="20"/>
        <v>0.88787043775532637</v>
      </c>
      <c r="AV144" s="12">
        <f t="shared" si="21"/>
        <v>0.43243045162587729</v>
      </c>
      <c r="AW144" s="12">
        <f t="shared" si="22"/>
        <v>0.36912092566059057</v>
      </c>
      <c r="AX144" s="12">
        <f t="shared" si="23"/>
        <v>0.96004560268036787</v>
      </c>
      <c r="AY144" s="12">
        <f t="shared" si="24"/>
        <v>0.59685292232420406</v>
      </c>
      <c r="AZ144" s="12">
        <f t="shared" si="25"/>
        <v>0.29592720373141213</v>
      </c>
    </row>
    <row r="145" spans="1:52" x14ac:dyDescent="0.55000000000000004">
      <c r="A145" s="12" t="s">
        <v>168</v>
      </c>
      <c r="B145" s="12" t="s">
        <v>169</v>
      </c>
      <c r="C145" s="12" t="s">
        <v>170</v>
      </c>
      <c r="D145" s="12" t="s">
        <v>9</v>
      </c>
      <c r="E145" s="12">
        <v>1801</v>
      </c>
      <c r="F145" s="12">
        <v>70.441862</v>
      </c>
      <c r="G145" s="12">
        <v>65.586371</v>
      </c>
      <c r="H145" s="14">
        <f t="shared" si="26"/>
        <v>118121.054171</v>
      </c>
      <c r="I145" s="12">
        <v>41.437837999999999</v>
      </c>
      <c r="J145" s="12">
        <v>40.128143999999999</v>
      </c>
      <c r="K145" s="12">
        <v>38.065764000000001</v>
      </c>
      <c r="L145" s="12">
        <v>58.504196999999998</v>
      </c>
      <c r="M145" s="12">
        <v>39.133158999999999</v>
      </c>
      <c r="N145" s="12">
        <v>12.797352</v>
      </c>
      <c r="O145" s="12">
        <v>11.703360999999999</v>
      </c>
      <c r="P145" s="12">
        <v>40.133574000000003</v>
      </c>
      <c r="Q145" s="12">
        <v>439.32342799999998</v>
      </c>
      <c r="R145" s="15">
        <v>1366.744821</v>
      </c>
      <c r="S145" s="15">
        <v>675.38193100000001</v>
      </c>
      <c r="T145" s="15">
        <v>1401.0253795823896</v>
      </c>
      <c r="AP145" s="12">
        <f t="shared" si="18"/>
        <v>0.89201759615576226</v>
      </c>
      <c r="AQ145" s="12">
        <f t="shared" si="19"/>
        <v>0.6119194184413711</v>
      </c>
      <c r="AU145" s="12">
        <f t="shared" si="20"/>
        <v>0.70828829596618514</v>
      </c>
      <c r="AV145" s="12">
        <f t="shared" si="21"/>
        <v>0.68590197041760959</v>
      </c>
      <c r="AW145" s="12">
        <f t="shared" si="22"/>
        <v>0.65065014053607129</v>
      </c>
      <c r="AX145" s="12">
        <f t="shared" si="23"/>
        <v>0.9750728654268368</v>
      </c>
      <c r="AY145" s="12">
        <f t="shared" si="24"/>
        <v>0.31886898485542303</v>
      </c>
      <c r="AZ145" s="12">
        <f t="shared" si="25"/>
        <v>0.2916102363572205</v>
      </c>
    </row>
    <row r="146" spans="1:52" x14ac:dyDescent="0.55000000000000004">
      <c r="A146" s="12" t="s">
        <v>171</v>
      </c>
      <c r="B146" s="12" t="s">
        <v>172</v>
      </c>
      <c r="C146" s="12" t="s">
        <v>170</v>
      </c>
      <c r="D146" s="12" t="s">
        <v>9</v>
      </c>
      <c r="E146" s="12">
        <v>1703</v>
      </c>
      <c r="F146" s="12">
        <v>68.825180000000003</v>
      </c>
      <c r="G146" s="12">
        <v>38.133085000000001</v>
      </c>
      <c r="H146" s="14">
        <f t="shared" si="26"/>
        <v>64940.643755000005</v>
      </c>
      <c r="I146" s="12">
        <v>45.867068000000003</v>
      </c>
      <c r="J146" s="12">
        <v>15.308636999999999</v>
      </c>
      <c r="K146" s="12">
        <v>43.755113999999999</v>
      </c>
      <c r="L146" s="12">
        <v>58.017735999999999</v>
      </c>
      <c r="M146" s="12">
        <v>57.741985999999997</v>
      </c>
      <c r="N146" s="12">
        <v>17.872131</v>
      </c>
      <c r="O146" s="12">
        <v>11.526911999999999</v>
      </c>
      <c r="P146" s="12">
        <v>58.496721000000001</v>
      </c>
      <c r="Q146" s="12">
        <v>619.175072</v>
      </c>
      <c r="R146" s="15">
        <v>56.499433000000003</v>
      </c>
      <c r="S146" s="15">
        <v>2101.7004510000002</v>
      </c>
      <c r="T146" s="15">
        <v>2182.2825386100089</v>
      </c>
      <c r="AP146" s="12">
        <f t="shared" si="18"/>
        <v>1.5214540339445393</v>
      </c>
      <c r="AQ146" s="12">
        <f t="shared" si="19"/>
        <v>1.5340149111985038</v>
      </c>
      <c r="AU146" s="12">
        <f t="shared" si="20"/>
        <v>0.79056976645900146</v>
      </c>
      <c r="AV146" s="12">
        <f t="shared" si="21"/>
        <v>0.2638613302663172</v>
      </c>
      <c r="AW146" s="12">
        <f t="shared" si="22"/>
        <v>0.75416789789935956</v>
      </c>
      <c r="AX146" s="12">
        <f t="shared" si="23"/>
        <v>0.98709782382503108</v>
      </c>
      <c r="AY146" s="12">
        <f t="shared" si="24"/>
        <v>0.30552363781210917</v>
      </c>
      <c r="AZ146" s="12">
        <f t="shared" si="25"/>
        <v>0.19705227580192058</v>
      </c>
    </row>
    <row r="147" spans="1:52" x14ac:dyDescent="0.55000000000000004">
      <c r="A147" s="12" t="s">
        <v>173</v>
      </c>
      <c r="B147" s="12" t="s">
        <v>174</v>
      </c>
      <c r="C147" s="12" t="s">
        <v>170</v>
      </c>
      <c r="D147" s="12" t="s">
        <v>9</v>
      </c>
      <c r="E147" s="12">
        <v>1738</v>
      </c>
      <c r="F147" s="12">
        <v>69.147370999999993</v>
      </c>
      <c r="G147" s="12">
        <v>37.554716999999997</v>
      </c>
      <c r="H147" s="14">
        <f t="shared" si="26"/>
        <v>65270.098145999997</v>
      </c>
      <c r="I147" s="12">
        <v>27.276893999999999</v>
      </c>
      <c r="J147" s="12">
        <v>23.334524999999999</v>
      </c>
      <c r="K147" s="12">
        <v>18.899802999999999</v>
      </c>
      <c r="L147" s="12">
        <v>32.480316999999999</v>
      </c>
      <c r="M147" s="12">
        <v>36.511960999999999</v>
      </c>
      <c r="N147" s="12">
        <v>13.488451</v>
      </c>
      <c r="O147" s="12">
        <v>6.5730279999999999</v>
      </c>
      <c r="P147" s="12">
        <v>38.335208999999999</v>
      </c>
      <c r="Q147" s="12">
        <v>312.36431800000003</v>
      </c>
      <c r="R147" s="15">
        <v>545.15104599999995</v>
      </c>
      <c r="S147" s="15">
        <v>842.77955099999997</v>
      </c>
      <c r="T147" s="15">
        <v>844.64782200071545</v>
      </c>
      <c r="AP147" s="12">
        <f t="shared" si="18"/>
        <v>0.86487982321901136</v>
      </c>
      <c r="AQ147" s="12">
        <f t="shared" si="19"/>
        <v>1.020782795407565</v>
      </c>
      <c r="AU147" s="12">
        <f t="shared" si="20"/>
        <v>0.83979765345270485</v>
      </c>
      <c r="AV147" s="12">
        <f t="shared" si="21"/>
        <v>0.71842048216462906</v>
      </c>
      <c r="AW147" s="12">
        <f t="shared" si="22"/>
        <v>0.58188480734347514</v>
      </c>
      <c r="AX147" s="12">
        <f t="shared" si="23"/>
        <v>0.95243933585962715</v>
      </c>
      <c r="AY147" s="12">
        <f t="shared" si="24"/>
        <v>0.35185541834400852</v>
      </c>
      <c r="AZ147" s="12">
        <f t="shared" si="25"/>
        <v>0.17146190594656729</v>
      </c>
    </row>
    <row r="148" spans="1:52" x14ac:dyDescent="0.55000000000000004">
      <c r="A148" s="12" t="s">
        <v>175</v>
      </c>
      <c r="B148" s="12" t="s">
        <v>176</v>
      </c>
      <c r="C148" s="12" t="s">
        <v>170</v>
      </c>
      <c r="D148" s="12" t="s">
        <v>9</v>
      </c>
      <c r="E148" s="12">
        <v>1840</v>
      </c>
      <c r="F148" s="12">
        <v>71.320272000000003</v>
      </c>
      <c r="G148" s="12">
        <v>35.359814</v>
      </c>
      <c r="H148" s="14">
        <f t="shared" si="26"/>
        <v>65062.057760000003</v>
      </c>
      <c r="I148" s="12">
        <v>43.570754000000001</v>
      </c>
      <c r="J148" s="12">
        <v>17.918248999999999</v>
      </c>
      <c r="K148" s="12">
        <v>41.27852</v>
      </c>
      <c r="L148" s="12">
        <v>51.527259999999998</v>
      </c>
      <c r="M148" s="12">
        <v>37.582534000000003</v>
      </c>
      <c r="N148" s="12">
        <v>8.3426620000000007</v>
      </c>
      <c r="O148" s="12">
        <v>15.15968</v>
      </c>
      <c r="P148" s="12">
        <v>40.038288999999999</v>
      </c>
      <c r="Q148" s="12">
        <v>358.055432</v>
      </c>
      <c r="R148" s="15">
        <v>57.088256000000001</v>
      </c>
      <c r="S148" s="15">
        <v>1570.1654900000001</v>
      </c>
      <c r="T148" s="15">
        <v>1577.0124284917731</v>
      </c>
      <c r="AP148" s="12">
        <f t="shared" si="18"/>
        <v>1.4572265566781544</v>
      </c>
      <c r="AQ148" s="12">
        <f t="shared" si="19"/>
        <v>1.1323105093256429</v>
      </c>
      <c r="AU148" s="12">
        <f t="shared" si="20"/>
        <v>0.84558647209263604</v>
      </c>
      <c r="AV148" s="12">
        <f t="shared" si="21"/>
        <v>0.34774309753710947</v>
      </c>
      <c r="AW148" s="12">
        <f t="shared" si="22"/>
        <v>0.80110062130220006</v>
      </c>
      <c r="AX148" s="12">
        <f t="shared" si="23"/>
        <v>0.93866483655183175</v>
      </c>
      <c r="AY148" s="12">
        <f t="shared" si="24"/>
        <v>0.20836709580671645</v>
      </c>
      <c r="AZ148" s="12">
        <f t="shared" si="25"/>
        <v>0.37862956631338568</v>
      </c>
    </row>
    <row r="149" spans="1:52" x14ac:dyDescent="0.55000000000000004">
      <c r="A149" s="12" t="s">
        <v>177</v>
      </c>
      <c r="B149" s="12" t="s">
        <v>178</v>
      </c>
      <c r="C149" s="12" t="s">
        <v>170</v>
      </c>
      <c r="D149" s="12" t="s">
        <v>9</v>
      </c>
      <c r="E149" s="12">
        <v>1848</v>
      </c>
      <c r="F149" s="12">
        <v>67.770994000000002</v>
      </c>
      <c r="G149" s="12">
        <v>39.253399000000002</v>
      </c>
      <c r="H149" s="14">
        <f t="shared" si="26"/>
        <v>72540.281352000005</v>
      </c>
      <c r="I149" s="12">
        <v>37.448340000000002</v>
      </c>
      <c r="J149" s="12">
        <v>34.550395000000002</v>
      </c>
      <c r="K149" s="12">
        <v>38.816215</v>
      </c>
      <c r="L149" s="12">
        <v>57.309472999999997</v>
      </c>
      <c r="M149" s="12">
        <v>37.219205000000002</v>
      </c>
      <c r="N149" s="12">
        <v>15.099638000000001</v>
      </c>
      <c r="O149" s="12">
        <v>15.293976000000001</v>
      </c>
      <c r="P149" s="12">
        <v>37.767508999999997</v>
      </c>
      <c r="Q149" s="12">
        <v>471.70165400000002</v>
      </c>
      <c r="R149" s="15">
        <v>211.23248699999999</v>
      </c>
      <c r="S149" s="15">
        <v>1565.821021</v>
      </c>
      <c r="T149" s="15">
        <v>1608.3795189784582</v>
      </c>
      <c r="AP149" s="12">
        <f t="shared" si="18"/>
        <v>1.4599875287233086</v>
      </c>
      <c r="AQ149" s="12">
        <f t="shared" si="19"/>
        <v>0.96214620802646911</v>
      </c>
      <c r="AU149" s="12">
        <f t="shared" si="20"/>
        <v>0.65344066241893384</v>
      </c>
      <c r="AV149" s="12">
        <f t="shared" si="21"/>
        <v>0.60287406586342196</v>
      </c>
      <c r="AW149" s="12">
        <f t="shared" si="22"/>
        <v>0.6773088805056714</v>
      </c>
      <c r="AX149" s="12">
        <f t="shared" si="23"/>
        <v>0.98548212433073112</v>
      </c>
      <c r="AY149" s="12">
        <f t="shared" si="24"/>
        <v>0.39980497522354469</v>
      </c>
      <c r="AZ149" s="12">
        <f t="shared" si="25"/>
        <v>0.40495061509087088</v>
      </c>
    </row>
    <row r="150" spans="1:52" x14ac:dyDescent="0.55000000000000004">
      <c r="A150" s="12" t="s">
        <v>179</v>
      </c>
      <c r="B150" s="12" t="s">
        <v>180</v>
      </c>
      <c r="C150" s="12" t="s">
        <v>170</v>
      </c>
      <c r="D150" s="12" t="s">
        <v>9</v>
      </c>
      <c r="E150" s="12">
        <v>1714</v>
      </c>
      <c r="F150" s="12">
        <v>69.025403999999995</v>
      </c>
      <c r="G150" s="12">
        <v>40.878846000000003</v>
      </c>
      <c r="H150" s="14">
        <f t="shared" si="26"/>
        <v>70066.342044000005</v>
      </c>
      <c r="I150" s="12">
        <v>71.323057000000006</v>
      </c>
      <c r="J150" s="12">
        <v>24.151206999999999</v>
      </c>
      <c r="K150" s="12">
        <v>34.648211000000003</v>
      </c>
      <c r="L150" s="12">
        <v>72.032737999999995</v>
      </c>
      <c r="M150" s="12">
        <v>56.616264999999999</v>
      </c>
      <c r="N150" s="12">
        <v>20.030314000000001</v>
      </c>
      <c r="O150" s="12">
        <v>15.578348999999999</v>
      </c>
      <c r="P150" s="12">
        <v>58.790869000000001</v>
      </c>
      <c r="Q150" s="12">
        <v>1079.465588</v>
      </c>
      <c r="R150" s="15">
        <v>40.866087999999998</v>
      </c>
      <c r="S150" s="15">
        <v>1433.3215720000001</v>
      </c>
      <c r="T150" s="15">
        <v>1534.0443971978689</v>
      </c>
      <c r="AP150" s="12">
        <f t="shared" si="18"/>
        <v>1.7621030202271364</v>
      </c>
      <c r="AQ150" s="12">
        <f t="shared" si="19"/>
        <v>1.4381734014702861</v>
      </c>
      <c r="AU150" s="12">
        <f t="shared" si="20"/>
        <v>0.99014779918542051</v>
      </c>
      <c r="AV150" s="12">
        <f t="shared" si="21"/>
        <v>0.3352809801565505</v>
      </c>
      <c r="AW150" s="12">
        <f t="shared" si="22"/>
        <v>0.48100644182093988</v>
      </c>
      <c r="AX150" s="12">
        <f t="shared" si="23"/>
        <v>0.96301119481666442</v>
      </c>
      <c r="AY150" s="12">
        <f t="shared" si="24"/>
        <v>0.34070450634094218</v>
      </c>
      <c r="AZ150" s="12">
        <f t="shared" si="25"/>
        <v>0.26497905652661807</v>
      </c>
    </row>
    <row r="151" spans="1:52" x14ac:dyDescent="0.55000000000000004">
      <c r="A151" s="12" t="s">
        <v>181</v>
      </c>
      <c r="B151" s="12" t="s">
        <v>182</v>
      </c>
      <c r="C151" s="12" t="s">
        <v>170</v>
      </c>
      <c r="D151" s="12" t="s">
        <v>9</v>
      </c>
      <c r="E151" s="12">
        <v>1846</v>
      </c>
      <c r="F151" s="12">
        <v>71.045029</v>
      </c>
      <c r="G151" s="12">
        <v>36.584014000000003</v>
      </c>
      <c r="H151" s="14">
        <f t="shared" si="26"/>
        <v>67534.089844000002</v>
      </c>
      <c r="I151" s="12">
        <v>42.479844</v>
      </c>
      <c r="J151" s="12">
        <v>17.833043</v>
      </c>
      <c r="K151" s="12">
        <v>17.798110999999999</v>
      </c>
      <c r="L151" s="12">
        <v>46.128404000000003</v>
      </c>
      <c r="M151" s="12">
        <v>40.218635999999996</v>
      </c>
      <c r="N151" s="12">
        <v>13.436438000000001</v>
      </c>
      <c r="O151" s="12">
        <v>8.1688989999999997</v>
      </c>
      <c r="P151" s="12">
        <v>41.043925999999999</v>
      </c>
      <c r="Q151" s="12">
        <v>384.77870100000001</v>
      </c>
      <c r="R151" s="15">
        <v>140.684245</v>
      </c>
      <c r="S151" s="15">
        <v>750.66677400000003</v>
      </c>
      <c r="T151" s="15">
        <v>843.38741283112461</v>
      </c>
      <c r="AP151" s="12">
        <f t="shared" si="18"/>
        <v>1.260889633379213</v>
      </c>
      <c r="AQ151" s="12">
        <f t="shared" si="19"/>
        <v>1.1219087659435074</v>
      </c>
      <c r="AU151" s="12">
        <f t="shared" si="20"/>
        <v>0.9209042654066244</v>
      </c>
      <c r="AV151" s="12">
        <f t="shared" si="21"/>
        <v>0.38659570792867665</v>
      </c>
      <c r="AW151" s="12">
        <f t="shared" si="22"/>
        <v>0.38583843048200839</v>
      </c>
      <c r="AX151" s="12">
        <f t="shared" si="23"/>
        <v>0.9798925180792889</v>
      </c>
      <c r="AY151" s="12">
        <f t="shared" si="24"/>
        <v>0.32736726988543935</v>
      </c>
      <c r="AZ151" s="12">
        <f t="shared" si="25"/>
        <v>0.19902820699949611</v>
      </c>
    </row>
    <row r="152" spans="1:52" x14ac:dyDescent="0.55000000000000004">
      <c r="A152" s="12" t="s">
        <v>538</v>
      </c>
      <c r="B152" s="12" t="s">
        <v>539</v>
      </c>
      <c r="C152" s="12" t="s">
        <v>515</v>
      </c>
      <c r="D152" s="12" t="s">
        <v>9</v>
      </c>
      <c r="E152" s="12">
        <v>2454</v>
      </c>
      <c r="F152" s="12">
        <v>72.894565999999998</v>
      </c>
      <c r="G152" s="12">
        <v>36.284649999999999</v>
      </c>
      <c r="H152" s="14">
        <f t="shared" si="26"/>
        <v>89042.531099999993</v>
      </c>
      <c r="I152" s="12">
        <v>80.890159999999995</v>
      </c>
      <c r="J152" s="12">
        <v>34.051049999999996</v>
      </c>
      <c r="K152" s="12">
        <v>31.364647999999999</v>
      </c>
      <c r="L152" s="12">
        <v>91.923623000000006</v>
      </c>
      <c r="M152" s="12">
        <v>37.250709000000001</v>
      </c>
      <c r="N152" s="12">
        <v>14.129533</v>
      </c>
      <c r="O152" s="12">
        <v>13.599311999999999</v>
      </c>
      <c r="P152" s="12">
        <v>40.095041999999999</v>
      </c>
      <c r="Q152" s="12">
        <v>612.32558100000006</v>
      </c>
      <c r="R152" s="15">
        <v>2267.348821</v>
      </c>
      <c r="S152" s="15">
        <v>1375.651314</v>
      </c>
      <c r="T152" s="15">
        <v>2294.4634882253872</v>
      </c>
      <c r="AP152" s="12">
        <f t="shared" si="18"/>
        <v>2.5334024994040183</v>
      </c>
      <c r="AQ152" s="12">
        <f t="shared" si="19"/>
        <v>1.1050138832812222</v>
      </c>
      <c r="AU152" s="12">
        <f t="shared" si="20"/>
        <v>0.87997140843763288</v>
      </c>
      <c r="AV152" s="12">
        <f t="shared" si="21"/>
        <v>0.37042763207886176</v>
      </c>
      <c r="AW152" s="12">
        <f t="shared" si="22"/>
        <v>0.34120334878445768</v>
      </c>
      <c r="AX152" s="12">
        <f t="shared" si="23"/>
        <v>0.92906023143709393</v>
      </c>
      <c r="AY152" s="12">
        <f t="shared" si="24"/>
        <v>0.35240100259777757</v>
      </c>
      <c r="AZ152" s="12">
        <f t="shared" si="25"/>
        <v>0.33917689872977314</v>
      </c>
    </row>
    <row r="153" spans="1:52" x14ac:dyDescent="0.55000000000000004">
      <c r="A153" s="12" t="s">
        <v>183</v>
      </c>
      <c r="B153" s="12" t="s">
        <v>184</v>
      </c>
      <c r="C153" s="12" t="s">
        <v>170</v>
      </c>
      <c r="D153" s="12" t="s">
        <v>9</v>
      </c>
      <c r="E153" s="12">
        <v>1846</v>
      </c>
      <c r="F153" s="12">
        <v>69.662002000000001</v>
      </c>
      <c r="G153" s="12">
        <v>39.062288000000002</v>
      </c>
      <c r="H153" s="14">
        <f t="shared" si="26"/>
        <v>72108.983648000009</v>
      </c>
      <c r="I153" s="12">
        <v>43.146912999999998</v>
      </c>
      <c r="J153" s="12">
        <v>47.795414999999998</v>
      </c>
      <c r="K153" s="12">
        <v>20.491322</v>
      </c>
      <c r="L153" s="12">
        <v>64.516766000000004</v>
      </c>
      <c r="M153" s="12">
        <v>39.274563999999998</v>
      </c>
      <c r="N153" s="12">
        <v>14.535056000000001</v>
      </c>
      <c r="O153" s="12">
        <v>17.626667999999999</v>
      </c>
      <c r="P153" s="12">
        <v>45.127515000000002</v>
      </c>
      <c r="Q153" s="12">
        <v>840.00207499999999</v>
      </c>
      <c r="R153" s="15">
        <v>65.869129999999998</v>
      </c>
      <c r="S153" s="15">
        <v>781.35754599999996</v>
      </c>
      <c r="T153" s="15">
        <v>1123.485397798217</v>
      </c>
      <c r="AP153" s="12">
        <f t="shared" si="18"/>
        <v>1.6516381733706946</v>
      </c>
      <c r="AQ153" s="12">
        <f t="shared" si="19"/>
        <v>1.1552706538848927</v>
      </c>
      <c r="AU153" s="12">
        <f t="shared" si="20"/>
        <v>0.66877054872837238</v>
      </c>
      <c r="AV153" s="12">
        <f t="shared" si="21"/>
        <v>0.74082161836816174</v>
      </c>
      <c r="AW153" s="12">
        <f t="shared" si="22"/>
        <v>0.31761235521321696</v>
      </c>
      <c r="AX153" s="12">
        <f t="shared" si="23"/>
        <v>0.87030194328227461</v>
      </c>
      <c r="AY153" s="12">
        <f t="shared" si="24"/>
        <v>0.32208855284852267</v>
      </c>
      <c r="AZ153" s="12">
        <f t="shared" si="25"/>
        <v>0.39059691188402457</v>
      </c>
    </row>
    <row r="154" spans="1:52" x14ac:dyDescent="0.55000000000000004">
      <c r="A154" s="12" t="s">
        <v>185</v>
      </c>
      <c r="B154" s="12" t="s">
        <v>186</v>
      </c>
      <c r="C154" s="12" t="s">
        <v>170</v>
      </c>
      <c r="D154" s="12" t="s">
        <v>9</v>
      </c>
      <c r="E154" s="12">
        <v>1813</v>
      </c>
      <c r="F154" s="12">
        <v>70.059420000000003</v>
      </c>
      <c r="G154" s="12">
        <v>37.021152999999998</v>
      </c>
      <c r="H154" s="14">
        <f t="shared" si="26"/>
        <v>67119.350388999999</v>
      </c>
      <c r="I154" s="12">
        <v>33.041305999999999</v>
      </c>
      <c r="J154" s="12">
        <v>12.441371999999999</v>
      </c>
      <c r="K154" s="12">
        <v>32.915236999999998</v>
      </c>
      <c r="L154" s="12">
        <v>42.966836000000001</v>
      </c>
      <c r="M154" s="12">
        <v>33.640729</v>
      </c>
      <c r="N154" s="12">
        <v>17.099025000000001</v>
      </c>
      <c r="O154" s="12">
        <v>7.197476</v>
      </c>
      <c r="P154" s="12">
        <v>37.587572999999999</v>
      </c>
      <c r="Q154" s="12">
        <v>563.923543</v>
      </c>
      <c r="R154" s="15">
        <v>69.760138999999995</v>
      </c>
      <c r="S154" s="15">
        <v>1410.0299130000001</v>
      </c>
      <c r="T154" s="15">
        <v>1502.4659838912294</v>
      </c>
      <c r="AP154" s="12">
        <f t="shared" si="18"/>
        <v>1.1606023183556708</v>
      </c>
      <c r="AQ154" s="12">
        <f t="shared" si="19"/>
        <v>1.0152999016535222</v>
      </c>
      <c r="AU154" s="12">
        <f t="shared" si="20"/>
        <v>0.76899555741083658</v>
      </c>
      <c r="AV154" s="12">
        <f t="shared" si="21"/>
        <v>0.28955755550629791</v>
      </c>
      <c r="AW154" s="12">
        <f t="shared" si="22"/>
        <v>0.76606145725973396</v>
      </c>
      <c r="AX154" s="12">
        <f t="shared" si="23"/>
        <v>0.8949960403136431</v>
      </c>
      <c r="AY154" s="12">
        <f t="shared" si="24"/>
        <v>0.45491165391285043</v>
      </c>
      <c r="AZ154" s="12">
        <f t="shared" si="25"/>
        <v>0.19148552102579222</v>
      </c>
    </row>
    <row r="155" spans="1:52" x14ac:dyDescent="0.55000000000000004">
      <c r="A155" s="12" t="s">
        <v>187</v>
      </c>
      <c r="B155" s="12" t="s">
        <v>169</v>
      </c>
      <c r="C155" s="12" t="s">
        <v>170</v>
      </c>
      <c r="D155" s="12" t="s">
        <v>9</v>
      </c>
      <c r="E155" s="12">
        <v>1780</v>
      </c>
      <c r="F155" s="12">
        <v>70.671224999999993</v>
      </c>
      <c r="G155" s="12">
        <v>49.410839000000003</v>
      </c>
      <c r="H155" s="14">
        <f t="shared" si="26"/>
        <v>87951.293420000002</v>
      </c>
      <c r="I155" s="12">
        <v>72.663505000000001</v>
      </c>
      <c r="J155" s="12">
        <v>30.675711</v>
      </c>
      <c r="K155" s="12">
        <v>42.142113999999999</v>
      </c>
      <c r="L155" s="12">
        <v>83.131918999999996</v>
      </c>
      <c r="M155" s="12">
        <v>40.910583000000003</v>
      </c>
      <c r="N155" s="12">
        <v>16.397359000000002</v>
      </c>
      <c r="O155" s="12">
        <v>15.226737999999999</v>
      </c>
      <c r="P155" s="12">
        <v>44.626151999999998</v>
      </c>
      <c r="Q155" s="12">
        <v>535.50736300000005</v>
      </c>
      <c r="R155" s="15">
        <v>1975.3164420000001</v>
      </c>
      <c r="S155" s="15">
        <v>938.041606</v>
      </c>
      <c r="T155" s="15">
        <v>1976.141378857167</v>
      </c>
      <c r="AP155" s="12">
        <f t="shared" si="18"/>
        <v>1.682463214194764</v>
      </c>
      <c r="AQ155" s="12">
        <f t="shared" si="19"/>
        <v>0.90316523465630683</v>
      </c>
      <c r="AU155" s="12">
        <f t="shared" si="20"/>
        <v>0.87407467401299854</v>
      </c>
      <c r="AV155" s="12">
        <f t="shared" si="21"/>
        <v>0.36900039562421266</v>
      </c>
      <c r="AW155" s="12">
        <f t="shared" si="22"/>
        <v>0.50693060507841758</v>
      </c>
      <c r="AX155" s="12">
        <f t="shared" si="23"/>
        <v>0.91674009894467268</v>
      </c>
      <c r="AY155" s="12">
        <f t="shared" si="24"/>
        <v>0.36743833526135083</v>
      </c>
      <c r="AZ155" s="12">
        <f t="shared" si="25"/>
        <v>0.34120660907532424</v>
      </c>
    </row>
    <row r="156" spans="1:52" x14ac:dyDescent="0.55000000000000004">
      <c r="A156" s="12" t="s">
        <v>188</v>
      </c>
      <c r="B156" s="12" t="s">
        <v>189</v>
      </c>
      <c r="C156" s="12" t="s">
        <v>170</v>
      </c>
      <c r="D156" s="12" t="s">
        <v>9</v>
      </c>
      <c r="E156" s="12">
        <v>1742</v>
      </c>
      <c r="F156" s="12">
        <v>69.348844000000014</v>
      </c>
      <c r="G156" s="12">
        <v>39.205758000000003</v>
      </c>
      <c r="H156" s="14">
        <f t="shared" si="26"/>
        <v>68296.43043600001</v>
      </c>
      <c r="I156" s="12">
        <v>54.232410000000002</v>
      </c>
      <c r="J156" s="12">
        <v>33.615934000000003</v>
      </c>
      <c r="K156" s="12">
        <v>21.464577999999999</v>
      </c>
      <c r="L156" s="12">
        <v>55.420555999999998</v>
      </c>
      <c r="M156" s="12">
        <v>45.242601000000001</v>
      </c>
      <c r="N156" s="12">
        <v>17.118158999999999</v>
      </c>
      <c r="O156" s="12">
        <v>11.302479</v>
      </c>
      <c r="P156" s="12">
        <v>47.814003999999997</v>
      </c>
      <c r="Q156" s="12">
        <v>693.26480600000002</v>
      </c>
      <c r="R156" s="15">
        <v>110.316705</v>
      </c>
      <c r="S156" s="15">
        <v>880.06249100000002</v>
      </c>
      <c r="T156" s="15">
        <v>880.98458171046025</v>
      </c>
      <c r="AP156" s="12">
        <f t="shared" si="18"/>
        <v>1.413582055982695</v>
      </c>
      <c r="AQ156" s="12">
        <f t="shared" si="19"/>
        <v>1.2195658607085214</v>
      </c>
      <c r="AU156" s="12">
        <f t="shared" si="20"/>
        <v>0.97856127607236576</v>
      </c>
      <c r="AV156" s="12">
        <f t="shared" si="21"/>
        <v>0.60656074976945384</v>
      </c>
      <c r="AW156" s="12">
        <f t="shared" si="22"/>
        <v>0.38730354852448612</v>
      </c>
      <c r="AX156" s="12">
        <f t="shared" si="23"/>
        <v>0.94622071391469331</v>
      </c>
      <c r="AY156" s="12">
        <f t="shared" si="24"/>
        <v>0.35801559308858549</v>
      </c>
      <c r="AZ156" s="12">
        <f t="shared" si="25"/>
        <v>0.23638428189364774</v>
      </c>
    </row>
    <row r="157" spans="1:52" x14ac:dyDescent="0.55000000000000004">
      <c r="A157" s="12" t="s">
        <v>394</v>
      </c>
      <c r="B157" s="12" t="s">
        <v>395</v>
      </c>
      <c r="C157" s="12" t="s">
        <v>322</v>
      </c>
      <c r="D157" s="12" t="s">
        <v>9</v>
      </c>
      <c r="E157" s="12">
        <v>2076</v>
      </c>
      <c r="F157" s="12">
        <v>70.833655000000007</v>
      </c>
      <c r="G157" s="12">
        <v>46.429855000000003</v>
      </c>
      <c r="H157" s="14">
        <f t="shared" si="26"/>
        <v>96388.378980000009</v>
      </c>
      <c r="I157" s="12">
        <v>65.680582999999999</v>
      </c>
      <c r="J157" s="12">
        <v>16.769507000000001</v>
      </c>
      <c r="K157" s="12">
        <v>21.424928999999999</v>
      </c>
      <c r="L157" s="12">
        <v>67.084192999999999</v>
      </c>
      <c r="M157" s="12">
        <v>44.709851</v>
      </c>
      <c r="N157" s="12">
        <v>16.015508000000001</v>
      </c>
      <c r="O157" s="12">
        <v>9.0824459999999991</v>
      </c>
      <c r="P157" s="12">
        <v>47.382331000000001</v>
      </c>
      <c r="Q157" s="12">
        <v>486.95269999999999</v>
      </c>
      <c r="R157" s="15">
        <v>103.65703999999999</v>
      </c>
      <c r="S157" s="15">
        <v>1276.9673600000001</v>
      </c>
      <c r="T157" s="15">
        <v>1317.1053418173901</v>
      </c>
      <c r="AP157" s="12">
        <f t="shared" si="18"/>
        <v>1.4448503662137215</v>
      </c>
      <c r="AQ157" s="12">
        <f t="shared" si="19"/>
        <v>1.0205143005507986</v>
      </c>
      <c r="AU157" s="12">
        <f t="shared" si="20"/>
        <v>0.97907688924572733</v>
      </c>
      <c r="AV157" s="12">
        <f t="shared" si="21"/>
        <v>0.24997702513914122</v>
      </c>
      <c r="AW157" s="12">
        <f t="shared" si="22"/>
        <v>0.31937373085787885</v>
      </c>
      <c r="AX157" s="12">
        <f t="shared" si="23"/>
        <v>0.94359754061065504</v>
      </c>
      <c r="AY157" s="12">
        <f t="shared" si="24"/>
        <v>0.33800591195059609</v>
      </c>
      <c r="AZ157" s="12">
        <f t="shared" si="25"/>
        <v>0.19168423773832485</v>
      </c>
    </row>
    <row r="158" spans="1:52" x14ac:dyDescent="0.55000000000000004">
      <c r="A158" s="12" t="s">
        <v>396</v>
      </c>
      <c r="B158" s="12" t="s">
        <v>397</v>
      </c>
      <c r="C158" s="12" t="s">
        <v>322</v>
      </c>
      <c r="D158" s="12" t="s">
        <v>9</v>
      </c>
      <c r="E158" s="12">
        <v>2228</v>
      </c>
      <c r="F158" s="12">
        <v>68.040956999999992</v>
      </c>
      <c r="G158" s="12">
        <v>47.307763000000001</v>
      </c>
      <c r="H158" s="14">
        <f t="shared" si="26"/>
        <v>105401.695964</v>
      </c>
      <c r="I158" s="12">
        <v>50.689877000000003</v>
      </c>
      <c r="J158" s="12">
        <v>17.521744999999999</v>
      </c>
      <c r="K158" s="12">
        <v>34.511290000000002</v>
      </c>
      <c r="L158" s="12">
        <v>60.623249000000001</v>
      </c>
      <c r="M158" s="12">
        <v>39.268497000000004</v>
      </c>
      <c r="N158" s="12">
        <v>13.674809</v>
      </c>
      <c r="O158" s="12">
        <v>11.344434</v>
      </c>
      <c r="P158" s="12">
        <v>41.697170999999997</v>
      </c>
      <c r="Q158" s="12">
        <v>701.08794899999998</v>
      </c>
      <c r="R158" s="15">
        <v>60.606028999999999</v>
      </c>
      <c r="S158" s="15">
        <v>1396.627618</v>
      </c>
      <c r="T158" s="15">
        <v>1522.340605843616</v>
      </c>
      <c r="AP158" s="12">
        <f t="shared" si="18"/>
        <v>1.2814651371277057</v>
      </c>
      <c r="AQ158" s="12">
        <f t="shared" si="19"/>
        <v>0.88140229754681054</v>
      </c>
      <c r="AU158" s="12">
        <f t="shared" si="20"/>
        <v>0.83614583243468199</v>
      </c>
      <c r="AV158" s="12">
        <f t="shared" si="21"/>
        <v>0.28902682203654245</v>
      </c>
      <c r="AW158" s="12">
        <f t="shared" si="22"/>
        <v>0.56927483381829302</v>
      </c>
      <c r="AX158" s="12">
        <f t="shared" si="23"/>
        <v>0.94175446578857847</v>
      </c>
      <c r="AY158" s="12">
        <f t="shared" si="24"/>
        <v>0.32795531859943211</v>
      </c>
      <c r="AZ158" s="12">
        <f t="shared" si="25"/>
        <v>0.27206723448936143</v>
      </c>
    </row>
    <row r="159" spans="1:52" x14ac:dyDescent="0.55000000000000004">
      <c r="A159" s="12" t="s">
        <v>398</v>
      </c>
      <c r="B159" s="12" t="s">
        <v>399</v>
      </c>
      <c r="C159" s="12" t="s">
        <v>322</v>
      </c>
      <c r="D159" s="12" t="s">
        <v>9</v>
      </c>
      <c r="E159" s="18">
        <v>2206</v>
      </c>
      <c r="F159" s="12">
        <v>70.508376999999996</v>
      </c>
      <c r="G159" s="12">
        <v>39.215088000000002</v>
      </c>
      <c r="H159" s="14">
        <f t="shared" si="26"/>
        <v>86508.484127999996</v>
      </c>
      <c r="I159" s="12">
        <v>59.833402</v>
      </c>
      <c r="J159" s="12">
        <v>10.057422000000001</v>
      </c>
      <c r="K159" s="12">
        <v>31.198716000000001</v>
      </c>
      <c r="L159" s="12">
        <v>66.813247000000004</v>
      </c>
      <c r="M159" s="12">
        <v>47.447152000000003</v>
      </c>
      <c r="N159" s="12">
        <v>13.821807</v>
      </c>
      <c r="O159" s="12">
        <v>12.705496999999999</v>
      </c>
      <c r="P159" s="12">
        <v>48.500225999999998</v>
      </c>
      <c r="Q159" s="12">
        <v>472.93957599999999</v>
      </c>
      <c r="R159" s="15">
        <v>371.53952800000002</v>
      </c>
      <c r="S159" s="15">
        <v>1418.399525</v>
      </c>
      <c r="T159" s="15">
        <v>1424.4771068310633</v>
      </c>
      <c r="AP159" s="12">
        <f t="shared" si="18"/>
        <v>1.7037637911203973</v>
      </c>
      <c r="AQ159" s="12">
        <f t="shared" si="19"/>
        <v>1.236774631233774</v>
      </c>
      <c r="AU159" s="12">
        <f t="shared" si="20"/>
        <v>0.89553201927156745</v>
      </c>
      <c r="AV159" s="12">
        <f t="shared" si="21"/>
        <v>0.15053035814888627</v>
      </c>
      <c r="AW159" s="12">
        <f t="shared" si="22"/>
        <v>0.46695404580471894</v>
      </c>
      <c r="AX159" s="12">
        <f t="shared" si="23"/>
        <v>0.97828723519762573</v>
      </c>
      <c r="AY159" s="12">
        <f t="shared" si="24"/>
        <v>0.28498438337173937</v>
      </c>
      <c r="AZ159" s="12">
        <f t="shared" si="25"/>
        <v>0.26196778959339284</v>
      </c>
    </row>
    <row r="160" spans="1:52" x14ac:dyDescent="0.55000000000000004">
      <c r="A160" s="12" t="s">
        <v>400</v>
      </c>
      <c r="B160" s="12" t="s">
        <v>401</v>
      </c>
      <c r="C160" s="12" t="s">
        <v>322</v>
      </c>
      <c r="D160" s="12" t="s">
        <v>9</v>
      </c>
      <c r="E160" s="12">
        <v>2160</v>
      </c>
      <c r="F160" s="12">
        <v>71.186614999999989</v>
      </c>
      <c r="G160" s="12">
        <v>45.990997999999998</v>
      </c>
      <c r="H160" s="14">
        <f t="shared" si="26"/>
        <v>99340.55567999999</v>
      </c>
      <c r="I160" s="12">
        <v>51.094113999999998</v>
      </c>
      <c r="J160" s="12">
        <v>38.902158</v>
      </c>
      <c r="K160" s="12">
        <v>30.862794000000001</v>
      </c>
      <c r="L160" s="12">
        <v>53.449601000000001</v>
      </c>
      <c r="M160" s="12">
        <v>40.739220000000003</v>
      </c>
      <c r="N160" s="12">
        <v>12.18675</v>
      </c>
      <c r="O160" s="12">
        <v>13.798959999999999</v>
      </c>
      <c r="P160" s="12">
        <v>40.957019000000003</v>
      </c>
      <c r="Q160" s="12">
        <v>440.970189</v>
      </c>
      <c r="R160" s="15">
        <v>2740.4888689999998</v>
      </c>
      <c r="S160" s="15">
        <v>1629.920924</v>
      </c>
      <c r="T160" s="15">
        <v>2772.5694019407506</v>
      </c>
      <c r="AP160" s="12">
        <f t="shared" si="18"/>
        <v>1.1621752804755401</v>
      </c>
      <c r="AQ160" s="12">
        <f t="shared" si="19"/>
        <v>0.89054425389942626</v>
      </c>
      <c r="AU160" s="12">
        <f t="shared" si="20"/>
        <v>0.95593069067063752</v>
      </c>
      <c r="AV160" s="12">
        <f t="shared" si="21"/>
        <v>0.72782878210821444</v>
      </c>
      <c r="AW160" s="12">
        <f t="shared" si="22"/>
        <v>0.57741860411642731</v>
      </c>
      <c r="AX160" s="12">
        <f t="shared" si="23"/>
        <v>0.99468225458498338</v>
      </c>
      <c r="AY160" s="12">
        <f t="shared" si="24"/>
        <v>0.29754973134153145</v>
      </c>
      <c r="AZ160" s="12">
        <f t="shared" si="25"/>
        <v>0.336913191851194</v>
      </c>
    </row>
    <row r="161" spans="1:52" x14ac:dyDescent="0.55000000000000004">
      <c r="A161" s="12" t="s">
        <v>190</v>
      </c>
      <c r="B161" s="12" t="s">
        <v>191</v>
      </c>
      <c r="C161" s="12" t="s">
        <v>51</v>
      </c>
      <c r="D161" s="12" t="s">
        <v>9</v>
      </c>
      <c r="E161" s="12">
        <v>1305</v>
      </c>
      <c r="F161" s="12">
        <v>68.821725999999998</v>
      </c>
      <c r="G161" s="12">
        <v>40.890487</v>
      </c>
      <c r="H161" s="14">
        <f t="shared" si="26"/>
        <v>53362.085534999998</v>
      </c>
      <c r="I161" s="12">
        <v>58.399608999999998</v>
      </c>
      <c r="J161" s="12">
        <v>24.060089000000001</v>
      </c>
      <c r="K161" s="12">
        <v>28.566193999999999</v>
      </c>
      <c r="L161" s="12">
        <v>67.033018999999996</v>
      </c>
      <c r="M161" s="12">
        <v>62.649821000000003</v>
      </c>
      <c r="N161" s="12">
        <v>29.482861</v>
      </c>
      <c r="O161" s="12">
        <v>14.889640999999999</v>
      </c>
      <c r="P161" s="12">
        <v>68.030450999999999</v>
      </c>
      <c r="Q161" s="12">
        <v>901.11234999999999</v>
      </c>
      <c r="R161" s="15">
        <v>2205.813999</v>
      </c>
      <c r="S161" s="15">
        <v>2651.2799989999999</v>
      </c>
      <c r="T161" s="15">
        <v>2799.8810489404918</v>
      </c>
      <c r="AP161" s="12">
        <f t="shared" si="18"/>
        <v>1.639330414431112</v>
      </c>
      <c r="AQ161" s="12">
        <f t="shared" si="19"/>
        <v>1.6637231784497943</v>
      </c>
      <c r="AU161" s="12">
        <f t="shared" si="20"/>
        <v>0.87120660640392766</v>
      </c>
      <c r="AV161" s="12">
        <f t="shared" si="21"/>
        <v>0.3589289182992042</v>
      </c>
      <c r="AW161" s="12">
        <f t="shared" si="22"/>
        <v>0.42615108831663989</v>
      </c>
      <c r="AX161" s="12">
        <f t="shared" si="23"/>
        <v>0.92090850610412689</v>
      </c>
      <c r="AY161" s="12">
        <f t="shared" si="24"/>
        <v>0.43337741506373373</v>
      </c>
      <c r="AZ161" s="12">
        <f t="shared" si="25"/>
        <v>0.21886729811625091</v>
      </c>
    </row>
    <row r="162" spans="1:52" x14ac:dyDescent="0.55000000000000004">
      <c r="A162" s="12" t="s">
        <v>402</v>
      </c>
      <c r="B162" s="12" t="s">
        <v>403</v>
      </c>
      <c r="C162" s="12" t="s">
        <v>322</v>
      </c>
      <c r="D162" s="12" t="s">
        <v>9</v>
      </c>
      <c r="E162" s="12">
        <v>1940</v>
      </c>
      <c r="F162" s="12">
        <v>69.594373000000004</v>
      </c>
      <c r="G162" s="12">
        <v>38.34478</v>
      </c>
      <c r="H162" s="14">
        <f t="shared" si="26"/>
        <v>74388.873200000002</v>
      </c>
      <c r="I162" s="12">
        <v>67.607887000000005</v>
      </c>
      <c r="J162" s="12">
        <v>18.523001000000001</v>
      </c>
      <c r="K162" s="12">
        <v>26.140204000000001</v>
      </c>
      <c r="L162" s="12">
        <v>72.638722000000001</v>
      </c>
      <c r="M162" s="12">
        <v>46.609949999999998</v>
      </c>
      <c r="N162" s="12">
        <v>16.575006999999999</v>
      </c>
      <c r="O162" s="12">
        <v>12.057484000000001</v>
      </c>
      <c r="P162" s="12">
        <v>48.055309999999999</v>
      </c>
      <c r="Q162" s="12">
        <v>965.00591099999997</v>
      </c>
      <c r="R162" s="15">
        <v>135.62088299999999</v>
      </c>
      <c r="S162" s="15">
        <v>1187.046973</v>
      </c>
      <c r="T162" s="15">
        <v>1388.5549186976143</v>
      </c>
      <c r="AP162" s="12">
        <f t="shared" si="18"/>
        <v>1.894357510983242</v>
      </c>
      <c r="AQ162" s="12">
        <f t="shared" si="19"/>
        <v>1.2532425534844638</v>
      </c>
      <c r="AU162" s="12">
        <f t="shared" si="20"/>
        <v>0.93074169173846433</v>
      </c>
      <c r="AV162" s="12">
        <f t="shared" si="21"/>
        <v>0.25500174686443411</v>
      </c>
      <c r="AW162" s="12">
        <f t="shared" si="22"/>
        <v>0.35986596790620851</v>
      </c>
      <c r="AX162" s="12">
        <f t="shared" si="23"/>
        <v>0.96992299082036926</v>
      </c>
      <c r="AY162" s="12">
        <f t="shared" si="24"/>
        <v>0.34491520291930278</v>
      </c>
      <c r="AZ162" s="12">
        <f t="shared" si="25"/>
        <v>0.25090846360162905</v>
      </c>
    </row>
    <row r="163" spans="1:52" x14ac:dyDescent="0.55000000000000004">
      <c r="A163" s="12" t="s">
        <v>404</v>
      </c>
      <c r="B163" s="12" t="s">
        <v>405</v>
      </c>
      <c r="C163" s="12" t="s">
        <v>322</v>
      </c>
      <c r="D163" s="12" t="s">
        <v>9</v>
      </c>
      <c r="E163" s="12">
        <v>2083</v>
      </c>
      <c r="F163" s="12">
        <v>69.793528999999992</v>
      </c>
      <c r="G163" s="12">
        <v>25.645810999999998</v>
      </c>
      <c r="H163" s="14">
        <f t="shared" si="26"/>
        <v>53420.224312999999</v>
      </c>
      <c r="I163" s="12">
        <v>43.334693000000001</v>
      </c>
      <c r="J163" s="12">
        <v>9.0994270000000004</v>
      </c>
      <c r="K163" s="12">
        <v>21.984090999999999</v>
      </c>
      <c r="L163" s="12">
        <v>45.112786</v>
      </c>
      <c r="M163" s="12">
        <v>39.576768999999999</v>
      </c>
      <c r="N163" s="12">
        <v>15.911079000000001</v>
      </c>
      <c r="O163" s="12">
        <v>8.5470129999999997</v>
      </c>
      <c r="P163" s="12">
        <v>40.358507000000003</v>
      </c>
      <c r="Q163" s="12">
        <v>520.70386800000006</v>
      </c>
      <c r="R163" s="15">
        <v>148.45553000000001</v>
      </c>
      <c r="S163" s="15">
        <v>1048.784373</v>
      </c>
      <c r="T163" s="15">
        <v>1105.137361989119</v>
      </c>
      <c r="AP163" s="12">
        <f t="shared" si="18"/>
        <v>1.7590703604576983</v>
      </c>
      <c r="AQ163" s="12">
        <f t="shared" si="19"/>
        <v>1.5736880771678465</v>
      </c>
      <c r="AU163" s="12">
        <f t="shared" si="20"/>
        <v>0.96058560870082377</v>
      </c>
      <c r="AV163" s="12">
        <f t="shared" si="21"/>
        <v>0.20170394708054609</v>
      </c>
      <c r="AW163" s="12">
        <f t="shared" si="22"/>
        <v>0.48731397347084704</v>
      </c>
      <c r="AX163" s="12">
        <f t="shared" si="23"/>
        <v>0.98063015561997857</v>
      </c>
      <c r="AY163" s="12">
        <f t="shared" si="24"/>
        <v>0.39424349865073055</v>
      </c>
      <c r="AZ163" s="12">
        <f t="shared" si="25"/>
        <v>0.21177723447500174</v>
      </c>
    </row>
    <row r="164" spans="1:52" x14ac:dyDescent="0.55000000000000004">
      <c r="A164" s="12" t="s">
        <v>406</v>
      </c>
      <c r="B164" s="12" t="s">
        <v>407</v>
      </c>
      <c r="C164" s="12" t="s">
        <v>322</v>
      </c>
      <c r="D164" s="12" t="s">
        <v>9</v>
      </c>
      <c r="E164" s="12">
        <v>2065</v>
      </c>
      <c r="F164" s="12">
        <v>70.50393600000001</v>
      </c>
      <c r="G164" s="12">
        <v>39.684595999999999</v>
      </c>
      <c r="H164" s="14">
        <f t="shared" si="26"/>
        <v>81948.690739999991</v>
      </c>
      <c r="I164" s="12">
        <v>50.868434999999998</v>
      </c>
      <c r="J164" s="12">
        <v>7.779426</v>
      </c>
      <c r="K164" s="12">
        <v>21.491340000000001</v>
      </c>
      <c r="L164" s="12">
        <v>54.375739000000003</v>
      </c>
      <c r="M164" s="12">
        <v>44.742466</v>
      </c>
      <c r="N164" s="12">
        <v>6.7430190000000003</v>
      </c>
      <c r="O164" s="12">
        <v>8.8680529999999997</v>
      </c>
      <c r="P164" s="12">
        <v>44.834395999999998</v>
      </c>
      <c r="Q164" s="12">
        <v>972.09350300000006</v>
      </c>
      <c r="R164" s="15">
        <v>754.91663900000003</v>
      </c>
      <c r="S164" s="15">
        <v>1066.251698</v>
      </c>
      <c r="T164" s="15">
        <v>1207.6008851385843</v>
      </c>
      <c r="AP164" s="12">
        <f t="shared" si="18"/>
        <v>1.3701976202554766</v>
      </c>
      <c r="AQ164" s="12">
        <f t="shared" si="19"/>
        <v>1.1297682355138503</v>
      </c>
      <c r="AU164" s="12">
        <f t="shared" si="20"/>
        <v>0.93549873409536555</v>
      </c>
      <c r="AV164" s="12">
        <f t="shared" si="21"/>
        <v>0.14306795903960035</v>
      </c>
      <c r="AW164" s="12">
        <f t="shared" si="22"/>
        <v>0.39523766288491269</v>
      </c>
      <c r="AX164" s="12">
        <f t="shared" si="23"/>
        <v>0.99794956532926193</v>
      </c>
      <c r="AY164" s="12">
        <f t="shared" si="24"/>
        <v>0.15039834594849902</v>
      </c>
      <c r="AZ164" s="12">
        <f t="shared" si="25"/>
        <v>0.19779575038771571</v>
      </c>
    </row>
    <row r="165" spans="1:52" x14ac:dyDescent="0.55000000000000004">
      <c r="A165" s="12" t="s">
        <v>408</v>
      </c>
      <c r="B165" s="12" t="s">
        <v>409</v>
      </c>
      <c r="C165" s="12" t="s">
        <v>322</v>
      </c>
      <c r="D165" s="12" t="s">
        <v>9</v>
      </c>
      <c r="E165" s="12">
        <v>1885</v>
      </c>
      <c r="F165" s="12">
        <v>69.813106000000005</v>
      </c>
      <c r="G165" s="12">
        <v>35.154612</v>
      </c>
      <c r="H165" s="14">
        <f t="shared" si="26"/>
        <v>66266.443620000005</v>
      </c>
      <c r="I165" s="12">
        <v>82.875556000000003</v>
      </c>
      <c r="J165" s="12">
        <v>29.603473000000001</v>
      </c>
      <c r="K165" s="12">
        <v>26.416947</v>
      </c>
      <c r="L165" s="12">
        <v>85.640399000000002</v>
      </c>
      <c r="M165" s="12">
        <v>60.828977000000002</v>
      </c>
      <c r="N165" s="12">
        <v>17.892195999999998</v>
      </c>
      <c r="O165" s="12">
        <v>20.785104</v>
      </c>
      <c r="P165" s="12">
        <v>65.693515000000005</v>
      </c>
      <c r="Q165" s="12">
        <v>706.20414800000003</v>
      </c>
      <c r="R165" s="15">
        <v>952.95352100000002</v>
      </c>
      <c r="S165" s="15">
        <v>1332.5571399999999</v>
      </c>
      <c r="T165" s="15">
        <v>1403.5570973635645</v>
      </c>
      <c r="AP165" s="12">
        <f t="shared" si="18"/>
        <v>2.4361070746563782</v>
      </c>
      <c r="AQ165" s="12">
        <f t="shared" si="19"/>
        <v>1.8687026043695207</v>
      </c>
      <c r="AU165" s="12">
        <f t="shared" si="20"/>
        <v>0.96771566886324289</v>
      </c>
      <c r="AV165" s="12">
        <f t="shared" si="21"/>
        <v>0.34567182481249298</v>
      </c>
      <c r="AW165" s="12">
        <f t="shared" si="22"/>
        <v>0.30846361423421204</v>
      </c>
      <c r="AX165" s="12">
        <f t="shared" si="23"/>
        <v>0.92595101662622248</v>
      </c>
      <c r="AY165" s="12">
        <f t="shared" si="24"/>
        <v>0.27235863387733167</v>
      </c>
      <c r="AZ165" s="12">
        <f t="shared" si="25"/>
        <v>0.31639506578389054</v>
      </c>
    </row>
    <row r="166" spans="1:52" x14ac:dyDescent="0.55000000000000004">
      <c r="A166" s="12" t="s">
        <v>410</v>
      </c>
      <c r="B166" s="12" t="s">
        <v>411</v>
      </c>
      <c r="C166" s="12" t="s">
        <v>322</v>
      </c>
      <c r="D166" s="12" t="s">
        <v>9</v>
      </c>
      <c r="E166" s="12">
        <v>1896</v>
      </c>
      <c r="F166" s="12">
        <v>66.846624000000006</v>
      </c>
      <c r="G166" s="12">
        <v>54.894964000000002</v>
      </c>
      <c r="H166" s="14">
        <f t="shared" si="26"/>
        <v>104080.851744</v>
      </c>
      <c r="I166" s="12">
        <v>49.734259999999999</v>
      </c>
      <c r="J166" s="12">
        <v>18.344132999999999</v>
      </c>
      <c r="K166" s="12">
        <v>25.631872000000001</v>
      </c>
      <c r="L166" s="12">
        <v>51.784357999999997</v>
      </c>
      <c r="M166" s="12">
        <v>43.338642</v>
      </c>
      <c r="N166" s="12">
        <v>16.808112000000001</v>
      </c>
      <c r="O166" s="12">
        <v>13.476265</v>
      </c>
      <c r="P166" s="12">
        <v>44.962257999999999</v>
      </c>
      <c r="Q166" s="12">
        <v>547.36506899999995</v>
      </c>
      <c r="R166" s="15">
        <v>1435.1298859999999</v>
      </c>
      <c r="S166" s="15">
        <v>1073.2715559999999</v>
      </c>
      <c r="T166" s="15">
        <v>1463.6017171940514</v>
      </c>
      <c r="AP166" s="12">
        <f t="shared" si="18"/>
        <v>0.94333531214265842</v>
      </c>
      <c r="AQ166" s="12">
        <f t="shared" si="19"/>
        <v>0.8190597957218807</v>
      </c>
      <c r="AU166" s="12">
        <f t="shared" si="20"/>
        <v>0.96041086383652763</v>
      </c>
      <c r="AV166" s="12">
        <f t="shared" si="21"/>
        <v>0.35424081148210818</v>
      </c>
      <c r="AW166" s="12">
        <f t="shared" si="22"/>
        <v>0.49497325041666063</v>
      </c>
      <c r="AX166" s="12">
        <f t="shared" si="23"/>
        <v>0.96388935804780984</v>
      </c>
      <c r="AY166" s="12">
        <f t="shared" si="24"/>
        <v>0.37382713297005682</v>
      </c>
      <c r="AZ166" s="12">
        <f t="shared" si="25"/>
        <v>0.2997239373520787</v>
      </c>
    </row>
    <row r="167" spans="1:52" x14ac:dyDescent="0.55000000000000004">
      <c r="A167" s="12" t="s">
        <v>412</v>
      </c>
      <c r="B167" s="12" t="s">
        <v>413</v>
      </c>
      <c r="C167" s="12" t="s">
        <v>322</v>
      </c>
      <c r="D167" s="12" t="s">
        <v>9</v>
      </c>
      <c r="E167" s="12">
        <v>2067</v>
      </c>
      <c r="F167" s="12">
        <v>70.342963999999995</v>
      </c>
      <c r="G167" s="12">
        <v>48.756852000000002</v>
      </c>
      <c r="H167" s="14">
        <f t="shared" si="26"/>
        <v>100780.413084</v>
      </c>
      <c r="I167" s="12">
        <v>53.636921999999998</v>
      </c>
      <c r="J167" s="12">
        <v>15.142576</v>
      </c>
      <c r="K167" s="12">
        <v>39.074686</v>
      </c>
      <c r="L167" s="12">
        <v>65.342969999999994</v>
      </c>
      <c r="M167" s="12">
        <v>37.777118000000002</v>
      </c>
      <c r="N167" s="12">
        <v>16.524885000000001</v>
      </c>
      <c r="O167" s="12">
        <v>23.031589</v>
      </c>
      <c r="P167" s="12">
        <v>42.838056999999999</v>
      </c>
      <c r="Q167" s="12">
        <v>674.54646200000002</v>
      </c>
      <c r="R167" s="15">
        <v>80.093030999999996</v>
      </c>
      <c r="S167" s="15">
        <v>1771.083746</v>
      </c>
      <c r="T167" s="15">
        <v>1862.1376522293874</v>
      </c>
      <c r="AP167" s="12">
        <f t="shared" si="18"/>
        <v>1.3401802478962339</v>
      </c>
      <c r="AQ167" s="12">
        <f t="shared" si="19"/>
        <v>0.87860588292287611</v>
      </c>
      <c r="AU167" s="12">
        <f t="shared" si="20"/>
        <v>0.82085222021588555</v>
      </c>
      <c r="AV167" s="12">
        <f t="shared" si="21"/>
        <v>0.23173994080771049</v>
      </c>
      <c r="AW167" s="12">
        <f t="shared" si="22"/>
        <v>0.59799372449706534</v>
      </c>
      <c r="AX167" s="12">
        <f t="shared" si="23"/>
        <v>0.88185881072990779</v>
      </c>
      <c r="AY167" s="12">
        <f t="shared" si="24"/>
        <v>0.38575243970565709</v>
      </c>
      <c r="AZ167" s="12">
        <f t="shared" si="25"/>
        <v>0.53764317555299024</v>
      </c>
    </row>
    <row r="168" spans="1:52" x14ac:dyDescent="0.55000000000000004">
      <c r="A168" s="12" t="s">
        <v>414</v>
      </c>
      <c r="B168" s="12" t="s">
        <v>415</v>
      </c>
      <c r="C168" s="12" t="s">
        <v>322</v>
      </c>
      <c r="D168" s="12" t="s">
        <v>9</v>
      </c>
      <c r="E168" s="12">
        <v>2317</v>
      </c>
      <c r="F168" s="12">
        <v>71.170444000000003</v>
      </c>
      <c r="G168" s="12">
        <v>38.969271999999997</v>
      </c>
      <c r="H168" s="14">
        <f t="shared" si="26"/>
        <v>90291.803223999988</v>
      </c>
      <c r="I168" s="12">
        <v>61.715778999999998</v>
      </c>
      <c r="J168" s="12">
        <v>12.889920999999999</v>
      </c>
      <c r="K168" s="12">
        <v>25.596321</v>
      </c>
      <c r="L168" s="12">
        <v>65.733079000000004</v>
      </c>
      <c r="M168" s="12">
        <v>45.594143000000003</v>
      </c>
      <c r="N168" s="12">
        <v>18.309691999999998</v>
      </c>
      <c r="O168" s="12">
        <v>17.291933</v>
      </c>
      <c r="P168" s="12">
        <v>51.053091999999999</v>
      </c>
      <c r="Q168" s="12">
        <v>396.59571099999999</v>
      </c>
      <c r="R168" s="15">
        <v>94.887607000000003</v>
      </c>
      <c r="S168" s="15">
        <v>1931.5045319999999</v>
      </c>
      <c r="T168" s="15">
        <v>1948.1260172747097</v>
      </c>
      <c r="AP168" s="12">
        <f t="shared" si="18"/>
        <v>1.6867925836541162</v>
      </c>
      <c r="AQ168" s="12">
        <f t="shared" si="19"/>
        <v>1.3100858543110583</v>
      </c>
      <c r="AU168" s="12">
        <f t="shared" si="20"/>
        <v>0.9388846519725631</v>
      </c>
      <c r="AV168" s="12">
        <f t="shared" si="21"/>
        <v>0.19609489158419002</v>
      </c>
      <c r="AW168" s="12">
        <f t="shared" si="22"/>
        <v>0.3893978707432828</v>
      </c>
      <c r="AX168" s="12">
        <f t="shared" si="23"/>
        <v>0.89307309731602547</v>
      </c>
      <c r="AY168" s="12">
        <f t="shared" si="24"/>
        <v>0.35864021712925825</v>
      </c>
      <c r="AZ168" s="12">
        <f t="shared" si="25"/>
        <v>0.33870491134993352</v>
      </c>
    </row>
    <row r="169" spans="1:52" x14ac:dyDescent="0.55000000000000004">
      <c r="A169" s="12" t="s">
        <v>416</v>
      </c>
      <c r="B169" s="12" t="s">
        <v>417</v>
      </c>
      <c r="C169" s="12" t="s">
        <v>322</v>
      </c>
      <c r="D169" s="12" t="s">
        <v>9</v>
      </c>
      <c r="E169" s="12">
        <v>2192</v>
      </c>
      <c r="F169" s="12">
        <v>69.930378999999988</v>
      </c>
      <c r="G169" s="12">
        <v>37.730713000000002</v>
      </c>
      <c r="H169" s="14">
        <f t="shared" si="26"/>
        <v>82705.722896000007</v>
      </c>
      <c r="I169" s="12">
        <v>89.189406000000005</v>
      </c>
      <c r="J169" s="12">
        <v>40.645794000000002</v>
      </c>
      <c r="K169" s="12">
        <v>36.487054000000001</v>
      </c>
      <c r="L169" s="12">
        <v>98.308440000000004</v>
      </c>
      <c r="M169" s="12">
        <v>47.225124999999998</v>
      </c>
      <c r="N169" s="12">
        <v>31.883368000000001</v>
      </c>
      <c r="O169" s="12">
        <v>27.876480000000001</v>
      </c>
      <c r="P169" s="12">
        <v>58.365901999999998</v>
      </c>
      <c r="Q169" s="12">
        <v>2081.2506880000001</v>
      </c>
      <c r="R169" s="15">
        <v>1144.6995460000001</v>
      </c>
      <c r="S169" s="15">
        <v>1538.1837129999999</v>
      </c>
      <c r="T169" s="15">
        <v>2230.6185947263161</v>
      </c>
      <c r="AP169" s="12">
        <f t="shared" si="18"/>
        <v>2.6055282867302294</v>
      </c>
      <c r="AQ169" s="12">
        <f t="shared" si="19"/>
        <v>1.5469069455432765</v>
      </c>
      <c r="AU169" s="12">
        <f t="shared" si="20"/>
        <v>0.90724057873362651</v>
      </c>
      <c r="AV169" s="12">
        <f t="shared" si="21"/>
        <v>0.41345172398219321</v>
      </c>
      <c r="AW169" s="12">
        <f t="shared" si="22"/>
        <v>0.37114874368874123</v>
      </c>
      <c r="AX169" s="12">
        <f t="shared" si="23"/>
        <v>0.809121822532615</v>
      </c>
      <c r="AY169" s="12">
        <f t="shared" si="24"/>
        <v>0.54626703104836793</v>
      </c>
      <c r="AZ169" s="12">
        <f t="shared" si="25"/>
        <v>0.47761585180333549</v>
      </c>
    </row>
    <row r="170" spans="1:52" x14ac:dyDescent="0.55000000000000004">
      <c r="A170" s="12" t="s">
        <v>192</v>
      </c>
      <c r="B170" s="12" t="s">
        <v>193</v>
      </c>
      <c r="C170" s="12" t="s">
        <v>8</v>
      </c>
      <c r="D170" s="12" t="s">
        <v>9</v>
      </c>
      <c r="E170" s="12">
        <v>1614</v>
      </c>
      <c r="F170" s="12">
        <v>70.809112999999996</v>
      </c>
      <c r="G170" s="12">
        <v>46.328496000000001</v>
      </c>
      <c r="H170" s="14">
        <f t="shared" si="26"/>
        <v>74774.192544000005</v>
      </c>
      <c r="I170" s="12">
        <v>39.579349999999998</v>
      </c>
      <c r="J170" s="12">
        <v>14.608663</v>
      </c>
      <c r="K170" s="12">
        <v>28.44566</v>
      </c>
      <c r="L170" s="12">
        <v>43.056437000000003</v>
      </c>
      <c r="M170" s="12">
        <v>37.351281999999998</v>
      </c>
      <c r="N170" s="12">
        <v>18.664826000000001</v>
      </c>
      <c r="O170" s="12">
        <v>5.2363989999999996</v>
      </c>
      <c r="P170" s="12">
        <v>40.097639000000001</v>
      </c>
      <c r="Q170" s="12">
        <v>440.692992</v>
      </c>
      <c r="R170" s="15">
        <v>598.39449400000001</v>
      </c>
      <c r="S170" s="15">
        <v>1065.773291</v>
      </c>
      <c r="T170" s="15">
        <v>1066.0675741912007</v>
      </c>
      <c r="AP170" s="12">
        <f t="shared" si="18"/>
        <v>0.9293726478839287</v>
      </c>
      <c r="AQ170" s="12">
        <f t="shared" si="19"/>
        <v>0.86550703048939903</v>
      </c>
      <c r="AU170" s="12">
        <f t="shared" si="20"/>
        <v>0.9192435035904154</v>
      </c>
      <c r="AV170" s="12">
        <f t="shared" si="21"/>
        <v>0.33929103330124599</v>
      </c>
      <c r="AW170" s="12">
        <f t="shared" si="22"/>
        <v>0.66065986834906931</v>
      </c>
      <c r="AX170" s="12">
        <f t="shared" si="23"/>
        <v>0.93150826162108935</v>
      </c>
      <c r="AY170" s="12">
        <f t="shared" si="24"/>
        <v>0.46548441418209191</v>
      </c>
      <c r="AZ170" s="12">
        <f t="shared" si="25"/>
        <v>0.13059120513305034</v>
      </c>
    </row>
    <row r="171" spans="1:52" x14ac:dyDescent="0.55000000000000004">
      <c r="A171" s="12" t="s">
        <v>194</v>
      </c>
      <c r="B171" s="12" t="s">
        <v>195</v>
      </c>
      <c r="C171" s="12" t="s">
        <v>8</v>
      </c>
      <c r="D171" s="12" t="s">
        <v>9</v>
      </c>
      <c r="E171" s="12">
        <v>1690</v>
      </c>
      <c r="F171" s="12">
        <v>69.357898000000006</v>
      </c>
      <c r="G171" s="12">
        <v>67.489715000000004</v>
      </c>
      <c r="H171" s="14">
        <f t="shared" si="26"/>
        <v>114057.61835</v>
      </c>
      <c r="I171" s="12">
        <v>36.328147999999999</v>
      </c>
      <c r="J171" s="12">
        <v>30.543883999999998</v>
      </c>
      <c r="K171" s="12">
        <v>25.277135000000001</v>
      </c>
      <c r="L171" s="12">
        <v>47.056395000000002</v>
      </c>
      <c r="M171" s="12">
        <v>48.531975000000003</v>
      </c>
      <c r="N171" s="12">
        <v>24.083755</v>
      </c>
      <c r="O171" s="12">
        <v>8.5224209999999996</v>
      </c>
      <c r="P171" s="12">
        <v>52.962673000000002</v>
      </c>
      <c r="Q171" s="12">
        <v>678.71610599999997</v>
      </c>
      <c r="R171" s="15">
        <v>1334.5084750000001</v>
      </c>
      <c r="S171" s="15">
        <v>918.61694899999998</v>
      </c>
      <c r="T171" s="15">
        <v>1334.5569071253208</v>
      </c>
      <c r="AP171" s="12">
        <f t="shared" si="18"/>
        <v>0.69723801619254133</v>
      </c>
      <c r="AQ171" s="12">
        <f t="shared" si="19"/>
        <v>0.78475176550975212</v>
      </c>
      <c r="AU171" s="12">
        <f t="shared" si="20"/>
        <v>0.77201298569514298</v>
      </c>
      <c r="AV171" s="12">
        <f t="shared" si="21"/>
        <v>0.64909103215407804</v>
      </c>
      <c r="AW171" s="12">
        <f t="shared" si="22"/>
        <v>0.53716683991623249</v>
      </c>
      <c r="AX171" s="12">
        <f t="shared" si="23"/>
        <v>0.91634300632824939</v>
      </c>
      <c r="AY171" s="12">
        <f t="shared" si="24"/>
        <v>0.45473073082999416</v>
      </c>
      <c r="AZ171" s="12">
        <f t="shared" si="25"/>
        <v>0.16091372503045681</v>
      </c>
    </row>
    <row r="172" spans="1:52" x14ac:dyDescent="0.55000000000000004">
      <c r="A172" s="12" t="s">
        <v>540</v>
      </c>
      <c r="B172" s="12" t="s">
        <v>541</v>
      </c>
      <c r="C172" s="12" t="s">
        <v>515</v>
      </c>
      <c r="D172" s="12" t="s">
        <v>9</v>
      </c>
      <c r="E172" s="12">
        <v>2092</v>
      </c>
      <c r="F172" s="12">
        <v>70.455213000000001</v>
      </c>
      <c r="G172" s="12">
        <v>27.863616</v>
      </c>
      <c r="H172" s="14">
        <f t="shared" si="26"/>
        <v>58290.684672000003</v>
      </c>
      <c r="I172" s="12">
        <v>40.870660000000001</v>
      </c>
      <c r="J172" s="12">
        <v>9.1655149999999992</v>
      </c>
      <c r="K172" s="12">
        <v>17.445944999999998</v>
      </c>
      <c r="L172" s="12">
        <v>44.943060000000003</v>
      </c>
      <c r="M172" s="12">
        <v>31.265032000000001</v>
      </c>
      <c r="N172" s="12">
        <v>4.4600489999999997</v>
      </c>
      <c r="O172" s="12">
        <v>3.5535060000000001</v>
      </c>
      <c r="P172" s="12">
        <v>31.346941999999999</v>
      </c>
      <c r="Q172" s="12">
        <v>547.58255299999996</v>
      </c>
      <c r="R172" s="15">
        <v>72.746334000000004</v>
      </c>
      <c r="S172" s="15">
        <v>1060.6795259999999</v>
      </c>
      <c r="T172" s="15">
        <v>1063.7546753067927</v>
      </c>
      <c r="AP172" s="12">
        <f t="shared" si="18"/>
        <v>1.6129658117596799</v>
      </c>
      <c r="AQ172" s="12">
        <f t="shared" si="19"/>
        <v>1.1250134225220445</v>
      </c>
      <c r="AU172" s="12">
        <f t="shared" si="20"/>
        <v>0.90938756729070069</v>
      </c>
      <c r="AV172" s="12">
        <f t="shared" si="21"/>
        <v>0.20393615833011813</v>
      </c>
      <c r="AW172" s="12">
        <f t="shared" si="22"/>
        <v>0.38817884229511734</v>
      </c>
      <c r="AX172" s="12">
        <f t="shared" si="23"/>
        <v>0.99738698594587005</v>
      </c>
      <c r="AY172" s="12">
        <f t="shared" si="24"/>
        <v>0.14228019434878209</v>
      </c>
      <c r="AZ172" s="12">
        <f t="shared" si="25"/>
        <v>0.11336053130796618</v>
      </c>
    </row>
    <row r="173" spans="1:52" x14ac:dyDescent="0.55000000000000004">
      <c r="A173" s="12" t="s">
        <v>502</v>
      </c>
      <c r="B173" s="12" t="s">
        <v>503</v>
      </c>
      <c r="C173" s="12" t="s">
        <v>485</v>
      </c>
      <c r="D173" s="12" t="s">
        <v>9</v>
      </c>
      <c r="E173" s="12">
        <v>2146</v>
      </c>
      <c r="F173" s="12">
        <v>70.350472999999994</v>
      </c>
      <c r="G173" s="12">
        <v>36.041587999999997</v>
      </c>
      <c r="H173" s="14">
        <f t="shared" si="26"/>
        <v>77345.247847999999</v>
      </c>
      <c r="I173" s="12">
        <v>38.06682</v>
      </c>
      <c r="J173" s="12">
        <v>27.756983999999999</v>
      </c>
      <c r="K173" s="12">
        <v>30.570376</v>
      </c>
      <c r="L173" s="12">
        <v>53.899169000000001</v>
      </c>
      <c r="M173" s="12">
        <v>42.927129000000001</v>
      </c>
      <c r="N173" s="12">
        <v>18.333320000000001</v>
      </c>
      <c r="O173" s="12">
        <v>20.627483999999999</v>
      </c>
      <c r="P173" s="12">
        <v>47.754998000000001</v>
      </c>
      <c r="Q173" s="12">
        <v>543.56421799999998</v>
      </c>
      <c r="R173" s="15">
        <v>824.50718600000005</v>
      </c>
      <c r="S173" s="15">
        <v>1337.980591</v>
      </c>
      <c r="T173" s="15">
        <v>1439.0736477286082</v>
      </c>
      <c r="AP173" s="12">
        <f t="shared" si="18"/>
        <v>1.4954715369367189</v>
      </c>
      <c r="AQ173" s="12">
        <f t="shared" si="19"/>
        <v>1.3249970561785458</v>
      </c>
      <c r="AU173" s="12">
        <f t="shared" si="20"/>
        <v>0.70625986831077114</v>
      </c>
      <c r="AV173" s="12">
        <f t="shared" si="21"/>
        <v>0.51497981351066835</v>
      </c>
      <c r="AW173" s="12">
        <f t="shared" si="22"/>
        <v>0.56717713031902217</v>
      </c>
      <c r="AX173" s="12">
        <f t="shared" si="23"/>
        <v>0.89890337761086281</v>
      </c>
      <c r="AY173" s="12">
        <f t="shared" si="24"/>
        <v>0.38390369108590477</v>
      </c>
      <c r="AZ173" s="12">
        <f t="shared" si="25"/>
        <v>0.4319439820728293</v>
      </c>
    </row>
    <row r="174" spans="1:52" x14ac:dyDescent="0.55000000000000004">
      <c r="A174" s="12" t="s">
        <v>196</v>
      </c>
      <c r="B174" s="12" t="s">
        <v>197</v>
      </c>
      <c r="C174" s="12" t="s">
        <v>51</v>
      </c>
      <c r="D174" s="12" t="s">
        <v>9</v>
      </c>
      <c r="E174" s="12">
        <v>921</v>
      </c>
      <c r="F174" s="12">
        <v>63.181749000000003</v>
      </c>
      <c r="G174" s="12">
        <v>37.434941000000002</v>
      </c>
      <c r="H174" s="14">
        <f t="shared" si="26"/>
        <v>34477.580661</v>
      </c>
      <c r="I174" s="12">
        <v>79.162150999999994</v>
      </c>
      <c r="J174" s="12">
        <v>49.703045000000003</v>
      </c>
      <c r="K174" s="12">
        <v>36.606392</v>
      </c>
      <c r="L174" s="12">
        <v>95.890521000000007</v>
      </c>
      <c r="M174" s="12">
        <v>42.300874999999998</v>
      </c>
      <c r="N174" s="12">
        <v>16.528855</v>
      </c>
      <c r="O174" s="12">
        <v>18.520121</v>
      </c>
      <c r="P174" s="12">
        <v>44.809047</v>
      </c>
      <c r="Q174" s="12">
        <v>362.65809999999999</v>
      </c>
      <c r="R174" s="15">
        <v>118.67336299999999</v>
      </c>
      <c r="S174" s="15">
        <v>1544.0206780000001</v>
      </c>
      <c r="T174" s="15">
        <v>1574.5892769077927</v>
      </c>
      <c r="AP174" s="12">
        <f t="shared" si="18"/>
        <v>2.5615245660464643</v>
      </c>
      <c r="AQ174" s="12">
        <f t="shared" si="19"/>
        <v>1.1969845765217046</v>
      </c>
      <c r="AU174" s="12">
        <f t="shared" si="20"/>
        <v>0.82554719876847882</v>
      </c>
      <c r="AV174" s="12">
        <f t="shared" si="21"/>
        <v>0.51833116017796999</v>
      </c>
      <c r="AW174" s="12">
        <f t="shared" si="22"/>
        <v>0.38175193562667153</v>
      </c>
      <c r="AX174" s="12">
        <f t="shared" si="23"/>
        <v>0.94402532149367069</v>
      </c>
      <c r="AY174" s="12">
        <f t="shared" si="24"/>
        <v>0.36887316527843139</v>
      </c>
      <c r="AZ174" s="12">
        <f t="shared" si="25"/>
        <v>0.41331209297979488</v>
      </c>
    </row>
    <row r="175" spans="1:52" x14ac:dyDescent="0.55000000000000004">
      <c r="A175" s="12" t="s">
        <v>418</v>
      </c>
      <c r="B175" s="12" t="s">
        <v>419</v>
      </c>
      <c r="C175" s="12" t="s">
        <v>322</v>
      </c>
      <c r="D175" s="12" t="s">
        <v>9</v>
      </c>
      <c r="E175" s="12">
        <v>1656</v>
      </c>
      <c r="F175" s="12">
        <v>70.092733260000003</v>
      </c>
      <c r="G175" s="12">
        <v>58.653197339999998</v>
      </c>
      <c r="H175" s="14">
        <f t="shared" si="26"/>
        <v>97129.694795039992</v>
      </c>
      <c r="I175" s="12">
        <v>73.050510509999995</v>
      </c>
      <c r="J175" s="12">
        <v>21.751818020000002</v>
      </c>
      <c r="K175" s="12">
        <v>29.011930410000002</v>
      </c>
      <c r="L175" s="12">
        <v>78.378943899999996</v>
      </c>
      <c r="M175" s="12">
        <v>47.34549818</v>
      </c>
      <c r="N175" s="12">
        <v>17.365394370000001</v>
      </c>
      <c r="O175" s="12">
        <v>17.559057299999999</v>
      </c>
      <c r="P175" s="12">
        <v>50.391783169999997</v>
      </c>
      <c r="Q175" s="12">
        <v>658.31406285000003</v>
      </c>
      <c r="R175" s="15">
        <v>2164.1999796999999</v>
      </c>
      <c r="S175" s="15">
        <v>1483.0679491999999</v>
      </c>
      <c r="T175" s="15">
        <v>2247.6661521931678</v>
      </c>
      <c r="AP175" s="12">
        <f t="shared" si="18"/>
        <v>1.3363115303954203</v>
      </c>
      <c r="AQ175" s="12">
        <f t="shared" si="19"/>
        <v>0.85914810198478431</v>
      </c>
      <c r="AU175" s="12">
        <f t="shared" si="20"/>
        <v>0.9320170300227788</v>
      </c>
      <c r="AV175" s="12">
        <f t="shared" si="21"/>
        <v>0.27752119303562089</v>
      </c>
      <c r="AW175" s="12">
        <f t="shared" si="22"/>
        <v>0.37014954484478585</v>
      </c>
      <c r="AX175" s="12">
        <f t="shared" si="23"/>
        <v>0.93954798186594923</v>
      </c>
      <c r="AY175" s="12">
        <f t="shared" si="24"/>
        <v>0.34460765778850688</v>
      </c>
      <c r="AZ175" s="12">
        <f t="shared" si="25"/>
        <v>0.34845080279781654</v>
      </c>
    </row>
    <row r="176" spans="1:52" x14ac:dyDescent="0.55000000000000004">
      <c r="A176" s="12" t="s">
        <v>420</v>
      </c>
      <c r="B176" s="12" t="s">
        <v>421</v>
      </c>
      <c r="C176" s="12" t="s">
        <v>322</v>
      </c>
      <c r="D176" s="12" t="s">
        <v>9</v>
      </c>
      <c r="E176" s="12">
        <v>1791</v>
      </c>
      <c r="F176" s="12">
        <v>67.478062959999988</v>
      </c>
      <c r="G176" s="12">
        <v>45.338842110000002</v>
      </c>
      <c r="H176" s="14">
        <f t="shared" si="26"/>
        <v>81201.86621901</v>
      </c>
      <c r="I176" s="12">
        <v>61.887231409999998</v>
      </c>
      <c r="J176" s="12">
        <v>10.34210991</v>
      </c>
      <c r="K176" s="12">
        <v>32.284707310000002</v>
      </c>
      <c r="L176" s="12">
        <v>70.092101029999995</v>
      </c>
      <c r="M176" s="12">
        <v>52.727912420000003</v>
      </c>
      <c r="N176" s="12">
        <v>20.27167017</v>
      </c>
      <c r="O176" s="12">
        <v>8.2057350200000005</v>
      </c>
      <c r="P176" s="12">
        <v>55.577466880000003</v>
      </c>
      <c r="Q176" s="12">
        <v>1045.6803037</v>
      </c>
      <c r="R176" s="15">
        <v>356.11655839999997</v>
      </c>
      <c r="S176" s="15">
        <v>1352.7102396299999</v>
      </c>
      <c r="T176" s="15">
        <v>1396.9026412688215</v>
      </c>
      <c r="AP176" s="12">
        <f t="shared" si="18"/>
        <v>1.5459614266271784</v>
      </c>
      <c r="AQ176" s="12">
        <f t="shared" si="19"/>
        <v>1.2258245754304731</v>
      </c>
      <c r="AU176" s="12">
        <f t="shared" si="20"/>
        <v>0.88294159399661531</v>
      </c>
      <c r="AV176" s="12">
        <f t="shared" si="21"/>
        <v>0.14755029108877035</v>
      </c>
      <c r="AW176" s="12">
        <f t="shared" si="22"/>
        <v>0.46060407429050931</v>
      </c>
      <c r="AX176" s="12">
        <f t="shared" si="23"/>
        <v>0.9487282414984366</v>
      </c>
      <c r="AY176" s="12">
        <f t="shared" si="24"/>
        <v>0.36474620575582445</v>
      </c>
      <c r="AZ176" s="12">
        <f t="shared" si="25"/>
        <v>0.14764499860559316</v>
      </c>
    </row>
    <row r="177" spans="1:52" x14ac:dyDescent="0.55000000000000004">
      <c r="A177" s="12" t="s">
        <v>542</v>
      </c>
      <c r="B177" s="12" t="s">
        <v>543</v>
      </c>
      <c r="C177" s="12" t="s">
        <v>515</v>
      </c>
      <c r="D177" s="12" t="s">
        <v>9</v>
      </c>
      <c r="E177" s="12">
        <v>1809</v>
      </c>
      <c r="F177" s="12">
        <v>69.001084679999991</v>
      </c>
      <c r="G177" s="12">
        <v>35.074154460000003</v>
      </c>
      <c r="H177" s="14">
        <f t="shared" si="26"/>
        <v>63449.145418140004</v>
      </c>
      <c r="I177" s="12">
        <v>48.56597798</v>
      </c>
      <c r="J177" s="12">
        <v>8.6798615899999998</v>
      </c>
      <c r="K177" s="12">
        <v>14.23363383</v>
      </c>
      <c r="L177" s="12">
        <v>49.492953159999999</v>
      </c>
      <c r="M177" s="12">
        <v>36.597008809999998</v>
      </c>
      <c r="N177" s="12">
        <v>12.583955850000001</v>
      </c>
      <c r="O177" s="12">
        <v>8.6532186899999992</v>
      </c>
      <c r="P177" s="12">
        <v>37.578304430000003</v>
      </c>
      <c r="Q177" s="12">
        <v>445.78420560000001</v>
      </c>
      <c r="R177" s="15">
        <v>161.1253212</v>
      </c>
      <c r="S177" s="15">
        <v>1103.0476009399999</v>
      </c>
      <c r="T177" s="15">
        <v>1110.7344020554531</v>
      </c>
      <c r="AP177" s="12">
        <f t="shared" si="18"/>
        <v>1.4110946912902429</v>
      </c>
      <c r="AQ177" s="12">
        <f t="shared" si="19"/>
        <v>1.0713958756398771</v>
      </c>
      <c r="AU177" s="12">
        <f t="shared" si="20"/>
        <v>0.9812705623565583</v>
      </c>
      <c r="AV177" s="12">
        <f t="shared" si="21"/>
        <v>0.17537570574824837</v>
      </c>
      <c r="AW177" s="12">
        <f t="shared" si="22"/>
        <v>0.28758909948221811</v>
      </c>
      <c r="AX177" s="12">
        <f t="shared" si="23"/>
        <v>0.97388664457099339</v>
      </c>
      <c r="AY177" s="12">
        <f t="shared" si="24"/>
        <v>0.33487290182134488</v>
      </c>
      <c r="AZ177" s="12">
        <f t="shared" si="25"/>
        <v>0.23027166396288623</v>
      </c>
    </row>
    <row r="178" spans="1:52" x14ac:dyDescent="0.55000000000000004">
      <c r="A178" s="12" t="s">
        <v>422</v>
      </c>
      <c r="B178" s="12" t="s">
        <v>423</v>
      </c>
      <c r="C178" s="12" t="s">
        <v>322</v>
      </c>
      <c r="D178" s="12" t="s">
        <v>9</v>
      </c>
      <c r="E178" s="12">
        <v>1668</v>
      </c>
      <c r="F178" s="12">
        <v>72.307011920000008</v>
      </c>
      <c r="G178" s="12">
        <v>42.231462380000004</v>
      </c>
      <c r="H178" s="14">
        <f t="shared" si="26"/>
        <v>70442.079249840011</v>
      </c>
      <c r="I178" s="12">
        <v>72.956319500000006</v>
      </c>
      <c r="J178" s="12">
        <v>14.79976647</v>
      </c>
      <c r="K178" s="12">
        <v>29.57426899</v>
      </c>
      <c r="L178" s="12">
        <v>73.35726502</v>
      </c>
      <c r="M178" s="12">
        <v>42.159392990000001</v>
      </c>
      <c r="N178" s="12">
        <v>16.650850869999999</v>
      </c>
      <c r="O178" s="12">
        <v>12.37313464</v>
      </c>
      <c r="P178" s="12">
        <v>45.01351657</v>
      </c>
      <c r="Q178" s="12">
        <v>953.56046714000001</v>
      </c>
      <c r="R178" s="15">
        <v>218.15580671999999</v>
      </c>
      <c r="S178" s="15">
        <v>1348.03733128</v>
      </c>
      <c r="T178" s="15">
        <v>1358.307308290829</v>
      </c>
      <c r="AP178" s="12">
        <f t="shared" si="18"/>
        <v>1.7370287668451796</v>
      </c>
      <c r="AQ178" s="12">
        <f t="shared" si="19"/>
        <v>1.0658763403683962</v>
      </c>
      <c r="AU178" s="12">
        <f t="shared" si="20"/>
        <v>0.9945343447592998</v>
      </c>
      <c r="AV178" s="12">
        <f t="shared" si="21"/>
        <v>0.20174915825944462</v>
      </c>
      <c r="AW178" s="12">
        <f t="shared" si="22"/>
        <v>0.403153920500402</v>
      </c>
      <c r="AX178" s="12">
        <f t="shared" si="23"/>
        <v>0.93659407668002159</v>
      </c>
      <c r="AY178" s="12">
        <f t="shared" si="24"/>
        <v>0.36990779967404797</v>
      </c>
      <c r="AZ178" s="12">
        <f t="shared" si="25"/>
        <v>0.27487598354504655</v>
      </c>
    </row>
    <row r="179" spans="1:52" x14ac:dyDescent="0.55000000000000004">
      <c r="A179" s="12" t="s">
        <v>424</v>
      </c>
      <c r="B179" s="12" t="s">
        <v>425</v>
      </c>
      <c r="C179" s="12" t="s">
        <v>322</v>
      </c>
      <c r="D179" s="12" t="s">
        <v>9</v>
      </c>
      <c r="E179" s="12">
        <v>2308</v>
      </c>
      <c r="F179" s="12">
        <v>73.030110000000008</v>
      </c>
      <c r="G179" s="12">
        <v>52.435774000000002</v>
      </c>
      <c r="H179" s="14">
        <f t="shared" si="26"/>
        <v>121021.766392</v>
      </c>
      <c r="I179" s="12">
        <v>40.538246000000001</v>
      </c>
      <c r="J179" s="12">
        <v>39.050651999999999</v>
      </c>
      <c r="K179" s="12">
        <v>14.827640000000001</v>
      </c>
      <c r="L179" s="12">
        <v>57.111508000000001</v>
      </c>
      <c r="M179" s="12">
        <v>39.931629000000001</v>
      </c>
      <c r="N179" s="12">
        <v>18.632204999999999</v>
      </c>
      <c r="O179" s="12">
        <v>6.9252339999999997</v>
      </c>
      <c r="P179" s="12">
        <v>43.621816000000003</v>
      </c>
      <c r="Q179" s="12">
        <v>410.59866899999997</v>
      </c>
      <c r="R179" s="15">
        <v>66.718800999999999</v>
      </c>
      <c r="S179" s="15">
        <v>902.92637300000001</v>
      </c>
      <c r="T179" s="15">
        <v>935.18075128594717</v>
      </c>
      <c r="AP179" s="12">
        <f t="shared" si="18"/>
        <v>1.0891706871724636</v>
      </c>
      <c r="AQ179" s="12">
        <f t="shared" si="19"/>
        <v>0.8319094517418586</v>
      </c>
      <c r="AU179" s="12">
        <f t="shared" si="20"/>
        <v>0.70980871315812566</v>
      </c>
      <c r="AV179" s="12">
        <f t="shared" si="21"/>
        <v>0.68376152841210214</v>
      </c>
      <c r="AW179" s="12">
        <f t="shared" si="22"/>
        <v>0.25962613349309566</v>
      </c>
      <c r="AX179" s="12">
        <f t="shared" si="23"/>
        <v>0.91540501202425861</v>
      </c>
      <c r="AY179" s="12">
        <f t="shared" si="24"/>
        <v>0.42713042941632684</v>
      </c>
      <c r="AZ179" s="12">
        <f t="shared" si="25"/>
        <v>0.15875620583975686</v>
      </c>
    </row>
    <row r="180" spans="1:52" x14ac:dyDescent="0.55000000000000004">
      <c r="A180" s="12" t="s">
        <v>426</v>
      </c>
      <c r="B180" s="12" t="s">
        <v>427</v>
      </c>
      <c r="C180" s="12" t="s">
        <v>322</v>
      </c>
      <c r="D180" s="12" t="s">
        <v>9</v>
      </c>
      <c r="E180" s="12">
        <v>2439</v>
      </c>
      <c r="F180" s="12">
        <v>69.921036739999991</v>
      </c>
      <c r="G180" s="12">
        <v>49.675948839999997</v>
      </c>
      <c r="H180" s="14">
        <f t="shared" si="26"/>
        <v>121159.63922075999</v>
      </c>
      <c r="I180" s="12">
        <v>45.260211150000003</v>
      </c>
      <c r="J180" s="12">
        <v>6.4094072200000003</v>
      </c>
      <c r="K180" s="12">
        <v>33.351224219999999</v>
      </c>
      <c r="L180" s="12">
        <v>53.788380619999998</v>
      </c>
      <c r="M180" s="12">
        <v>48.278718300000001</v>
      </c>
      <c r="N180" s="12">
        <v>11.843290229999999</v>
      </c>
      <c r="O180" s="12">
        <v>7.6527690100000001</v>
      </c>
      <c r="P180" s="12">
        <v>49.118879440000001</v>
      </c>
      <c r="Q180" s="12">
        <v>408.55009299</v>
      </c>
      <c r="R180" s="15">
        <v>171.89812792000001</v>
      </c>
      <c r="S180" s="15">
        <v>1662.2149682300001</v>
      </c>
      <c r="T180" s="15">
        <v>1709.4076701300112</v>
      </c>
      <c r="AP180" s="12">
        <f t="shared" si="18"/>
        <v>1.0827851681956921</v>
      </c>
      <c r="AQ180" s="12">
        <f t="shared" si="19"/>
        <v>0.98878593337403087</v>
      </c>
      <c r="AU180" s="12">
        <f t="shared" si="20"/>
        <v>0.8414495961451387</v>
      </c>
      <c r="AV180" s="12">
        <f t="shared" si="21"/>
        <v>0.11915969854680486</v>
      </c>
      <c r="AW180" s="12">
        <f t="shared" si="22"/>
        <v>0.62004514424067081</v>
      </c>
      <c r="AX180" s="12">
        <f t="shared" si="23"/>
        <v>0.98289535206058032</v>
      </c>
      <c r="AY180" s="12">
        <f t="shared" si="24"/>
        <v>0.2411148292677745</v>
      </c>
      <c r="AZ180" s="12">
        <f t="shared" si="25"/>
        <v>0.15580096894001946</v>
      </c>
    </row>
    <row r="181" spans="1:52" x14ac:dyDescent="0.55000000000000004">
      <c r="A181" s="12" t="s">
        <v>428</v>
      </c>
      <c r="B181" s="12" t="s">
        <v>429</v>
      </c>
      <c r="C181" s="12" t="s">
        <v>322</v>
      </c>
      <c r="D181" s="12" t="s">
        <v>9</v>
      </c>
      <c r="E181" s="12">
        <v>1799</v>
      </c>
      <c r="F181" s="12">
        <v>70.359529929999994</v>
      </c>
      <c r="G181" s="12">
        <v>41.144531890000003</v>
      </c>
      <c r="H181" s="14">
        <f t="shared" si="26"/>
        <v>74019.012870110004</v>
      </c>
      <c r="I181" s="12">
        <v>44.45924574</v>
      </c>
      <c r="J181" s="12">
        <v>18.33072357</v>
      </c>
      <c r="K181" s="12">
        <v>30.477501499999999</v>
      </c>
      <c r="L181" s="12">
        <v>52.54300516</v>
      </c>
      <c r="M181" s="12">
        <v>44.172982089999998</v>
      </c>
      <c r="N181" s="12">
        <v>20.324161310000001</v>
      </c>
      <c r="O181" s="12">
        <v>8.9842749800000004</v>
      </c>
      <c r="P181" s="12">
        <v>48.427502189999998</v>
      </c>
      <c r="Q181" s="12">
        <v>419.31443582999998</v>
      </c>
      <c r="R181" s="15">
        <v>691.60290812000005</v>
      </c>
      <c r="S181" s="15">
        <v>1583.3538009399999</v>
      </c>
      <c r="T181" s="15">
        <v>1636.1684390129612</v>
      </c>
      <c r="AP181" s="12">
        <f t="shared" si="18"/>
        <v>1.2770349484221584</v>
      </c>
      <c r="AQ181" s="12">
        <f t="shared" si="19"/>
        <v>1.177009433950325</v>
      </c>
      <c r="AU181" s="12">
        <f t="shared" si="20"/>
        <v>0.84614965597449276</v>
      </c>
      <c r="AV181" s="12">
        <f t="shared" si="21"/>
        <v>0.34887086328961697</v>
      </c>
      <c r="AW181" s="12">
        <f t="shared" si="22"/>
        <v>0.58004869358332678</v>
      </c>
      <c r="AX181" s="12">
        <f t="shared" si="23"/>
        <v>0.91214661282120524</v>
      </c>
      <c r="AY181" s="12">
        <f t="shared" si="24"/>
        <v>0.4196822134303021</v>
      </c>
      <c r="AZ181" s="12">
        <f t="shared" si="25"/>
        <v>0.18552009857438406</v>
      </c>
    </row>
    <row r="182" spans="1:52" x14ac:dyDescent="0.55000000000000004">
      <c r="A182" s="12" t="s">
        <v>430</v>
      </c>
      <c r="B182" s="12" t="s">
        <v>431</v>
      </c>
      <c r="C182" s="12" t="s">
        <v>322</v>
      </c>
      <c r="D182" s="12" t="s">
        <v>9</v>
      </c>
      <c r="E182" s="12">
        <v>1724</v>
      </c>
      <c r="F182" s="12">
        <v>68.106703999999993</v>
      </c>
      <c r="G182" s="12">
        <v>49.789591999999999</v>
      </c>
      <c r="H182" s="14">
        <f t="shared" si="26"/>
        <v>85837.256607999996</v>
      </c>
      <c r="I182" s="12">
        <v>44.590122999999998</v>
      </c>
      <c r="J182" s="12">
        <v>27.780472</v>
      </c>
      <c r="K182" s="12">
        <v>29.797879999999999</v>
      </c>
      <c r="L182" s="12">
        <v>52.76943</v>
      </c>
      <c r="M182" s="12">
        <v>39.078265000000002</v>
      </c>
      <c r="N182" s="12">
        <v>13.438129</v>
      </c>
      <c r="O182" s="12">
        <v>8.0771040000000003</v>
      </c>
      <c r="P182" s="12">
        <v>40.043835999999999</v>
      </c>
      <c r="Q182" s="12">
        <v>605.55944499999998</v>
      </c>
      <c r="R182" s="15">
        <v>481.21338500000002</v>
      </c>
      <c r="S182" s="15">
        <v>1277.1869999999999</v>
      </c>
      <c r="T182" s="15">
        <v>1313.3634176582636</v>
      </c>
      <c r="AP182" s="12">
        <f t="shared" si="18"/>
        <v>1.0598486125373352</v>
      </c>
      <c r="AQ182" s="12">
        <f t="shared" si="19"/>
        <v>0.80426117972607603</v>
      </c>
      <c r="AU182" s="12">
        <f t="shared" si="20"/>
        <v>0.8449991406009123</v>
      </c>
      <c r="AV182" s="12">
        <f t="shared" si="21"/>
        <v>0.52645010567671469</v>
      </c>
      <c r="AW182" s="12">
        <f t="shared" si="22"/>
        <v>0.56468072518501711</v>
      </c>
      <c r="AX182" s="12">
        <f t="shared" si="23"/>
        <v>0.975887150272017</v>
      </c>
      <c r="AY182" s="12">
        <f t="shared" si="24"/>
        <v>0.33558545689778574</v>
      </c>
      <c r="AZ182" s="12">
        <f t="shared" si="25"/>
        <v>0.20170654979208286</v>
      </c>
    </row>
    <row r="183" spans="1:52" x14ac:dyDescent="0.55000000000000004">
      <c r="A183" s="12" t="s">
        <v>198</v>
      </c>
      <c r="B183" s="12" t="s">
        <v>199</v>
      </c>
      <c r="C183" s="12" t="s">
        <v>8</v>
      </c>
      <c r="D183" s="12" t="s">
        <v>9</v>
      </c>
      <c r="E183" s="12">
        <v>1867</v>
      </c>
      <c r="F183" s="12">
        <v>68.298819000000009</v>
      </c>
      <c r="G183" s="12">
        <v>40.779913999999998</v>
      </c>
      <c r="H183" s="14">
        <f t="shared" si="26"/>
        <v>76136.09943799999</v>
      </c>
      <c r="I183" s="12">
        <v>112.708129</v>
      </c>
      <c r="J183" s="12">
        <v>29.535934000000001</v>
      </c>
      <c r="K183" s="12">
        <v>32.205886</v>
      </c>
      <c r="L183" s="12">
        <v>116.513921</v>
      </c>
      <c r="M183" s="12">
        <v>43.899507999999997</v>
      </c>
      <c r="N183" s="12">
        <v>19.052347000000001</v>
      </c>
      <c r="O183" s="12">
        <v>8.6277699999999999</v>
      </c>
      <c r="P183" s="12">
        <v>47.331391000000004</v>
      </c>
      <c r="Q183" s="12">
        <v>794.89956299999994</v>
      </c>
      <c r="R183" s="15">
        <v>199.16776999999999</v>
      </c>
      <c r="S183" s="15">
        <v>1301.124323</v>
      </c>
      <c r="T183" s="15">
        <v>1301.7463290455451</v>
      </c>
      <c r="AP183" s="12">
        <f t="shared" si="18"/>
        <v>2.8571399390395968</v>
      </c>
      <c r="AQ183" s="12">
        <f t="shared" si="19"/>
        <v>1.160654507510732</v>
      </c>
      <c r="AU183" s="12">
        <f t="shared" si="20"/>
        <v>0.96733616062925221</v>
      </c>
      <c r="AV183" s="12">
        <f t="shared" si="21"/>
        <v>0.25349703920787287</v>
      </c>
      <c r="AW183" s="12">
        <f t="shared" si="22"/>
        <v>0.27641234389494113</v>
      </c>
      <c r="AX183" s="12">
        <f t="shared" si="23"/>
        <v>0.92749245421500492</v>
      </c>
      <c r="AY183" s="12">
        <f t="shared" si="24"/>
        <v>0.40253089117959789</v>
      </c>
      <c r="AZ183" s="12">
        <f t="shared" si="25"/>
        <v>0.18228431106113063</v>
      </c>
    </row>
    <row r="184" spans="1:52" x14ac:dyDescent="0.55000000000000004">
      <c r="A184" s="12" t="s">
        <v>200</v>
      </c>
      <c r="B184" s="12" t="s">
        <v>201</v>
      </c>
      <c r="C184" s="12" t="s">
        <v>134</v>
      </c>
      <c r="D184" s="12" t="s">
        <v>9</v>
      </c>
      <c r="E184" s="12">
        <v>1532</v>
      </c>
      <c r="F184" s="12">
        <v>69.809097869999988</v>
      </c>
      <c r="G184" s="12">
        <v>41.251159919999999</v>
      </c>
      <c r="H184" s="14">
        <f t="shared" si="26"/>
        <v>63196.77699744</v>
      </c>
      <c r="I184" s="12">
        <v>42.43429227</v>
      </c>
      <c r="J184" s="12">
        <v>23.288087520000001</v>
      </c>
      <c r="K184" s="12">
        <v>31.18977843</v>
      </c>
      <c r="L184" s="12">
        <v>50.709054369999997</v>
      </c>
      <c r="M184" s="12">
        <v>51.649133659999997</v>
      </c>
      <c r="N184" s="12">
        <v>18.145319350000001</v>
      </c>
      <c r="O184" s="12">
        <v>19.59991419</v>
      </c>
      <c r="P184" s="12">
        <v>57.786196590000003</v>
      </c>
      <c r="Q184" s="12">
        <v>575.67063756000005</v>
      </c>
      <c r="R184" s="15">
        <v>2723.89031983</v>
      </c>
      <c r="S184" s="15">
        <v>908.51891012999999</v>
      </c>
      <c r="T184" s="15">
        <v>2726.9610851984366</v>
      </c>
      <c r="AP184" s="12">
        <f t="shared" si="18"/>
        <v>1.2292758426270209</v>
      </c>
      <c r="AQ184" s="12">
        <f t="shared" si="19"/>
        <v>1.4008381025422572</v>
      </c>
      <c r="AU184" s="12">
        <f t="shared" si="20"/>
        <v>0.83681884423197939</v>
      </c>
      <c r="AV184" s="12">
        <f t="shared" si="21"/>
        <v>0.4592490987916642</v>
      </c>
      <c r="AW184" s="12">
        <f t="shared" si="22"/>
        <v>0.61507316232763742</v>
      </c>
      <c r="AX184" s="12">
        <f t="shared" si="23"/>
        <v>0.89379707798484809</v>
      </c>
      <c r="AY184" s="12">
        <f t="shared" si="24"/>
        <v>0.31400784998436942</v>
      </c>
      <c r="AZ184" s="12">
        <f t="shared" si="25"/>
        <v>0.3391798620882378</v>
      </c>
    </row>
    <row r="185" spans="1:52" x14ac:dyDescent="0.55000000000000004">
      <c r="A185" s="12" t="s">
        <v>202</v>
      </c>
      <c r="B185" s="12" t="s">
        <v>203</v>
      </c>
      <c r="C185" s="12" t="s">
        <v>51</v>
      </c>
      <c r="D185" s="12" t="s">
        <v>9</v>
      </c>
      <c r="E185" s="12">
        <v>1421</v>
      </c>
      <c r="F185" s="12">
        <v>68.748097549999997</v>
      </c>
      <c r="G185" s="12">
        <v>40.347641549999999</v>
      </c>
      <c r="H185" s="14">
        <f t="shared" si="26"/>
        <v>57333.998642549996</v>
      </c>
      <c r="I185" s="12">
        <v>49.900566910000002</v>
      </c>
      <c r="J185" s="12">
        <v>20.9346253</v>
      </c>
      <c r="K185" s="12">
        <v>20.50703588</v>
      </c>
      <c r="L185" s="12">
        <v>52.077733979999998</v>
      </c>
      <c r="M185" s="12">
        <v>42.116314250000002</v>
      </c>
      <c r="N185" s="12">
        <v>11.37007741</v>
      </c>
      <c r="O185" s="12">
        <v>9.66058488</v>
      </c>
      <c r="P185" s="12">
        <v>44.03302188</v>
      </c>
      <c r="Q185" s="12">
        <v>409.31943209999997</v>
      </c>
      <c r="R185" s="15">
        <v>520.18921947000001</v>
      </c>
      <c r="S185" s="15">
        <v>1004.09546614</v>
      </c>
      <c r="T185" s="15">
        <v>1050.4030030035208</v>
      </c>
      <c r="AP185" s="12">
        <f t="shared" si="18"/>
        <v>1.2907256032663945</v>
      </c>
      <c r="AQ185" s="12">
        <f t="shared" si="19"/>
        <v>1.0913406630083438</v>
      </c>
      <c r="AU185" s="12">
        <f t="shared" si="20"/>
        <v>0.95819389778295427</v>
      </c>
      <c r="AV185" s="12">
        <f t="shared" si="21"/>
        <v>0.40198802252109822</v>
      </c>
      <c r="AW185" s="12">
        <f t="shared" si="22"/>
        <v>0.39377742295537571</v>
      </c>
      <c r="AX185" s="12">
        <f t="shared" si="23"/>
        <v>0.95647113125182592</v>
      </c>
      <c r="AY185" s="12">
        <f t="shared" si="24"/>
        <v>0.25821705902870001</v>
      </c>
      <c r="AZ185" s="12">
        <f t="shared" si="25"/>
        <v>0.21939409260457507</v>
      </c>
    </row>
    <row r="186" spans="1:52" x14ac:dyDescent="0.55000000000000004">
      <c r="A186" s="12" t="s">
        <v>204</v>
      </c>
      <c r="B186" s="12" t="s">
        <v>205</v>
      </c>
      <c r="C186" s="12" t="s">
        <v>134</v>
      </c>
      <c r="D186" s="12" t="s">
        <v>9</v>
      </c>
      <c r="E186" s="12">
        <v>1280</v>
      </c>
      <c r="F186" s="12">
        <v>69.658742019999991</v>
      </c>
      <c r="G186" s="12">
        <v>41.165657660000001</v>
      </c>
      <c r="H186" s="14">
        <f t="shared" si="26"/>
        <v>52692.041804799999</v>
      </c>
      <c r="I186" s="12">
        <v>45.915438960000003</v>
      </c>
      <c r="J186" s="12">
        <v>25.126135219999998</v>
      </c>
      <c r="K186" s="12">
        <v>25.03551049</v>
      </c>
      <c r="L186" s="12">
        <v>51.237937070000001</v>
      </c>
      <c r="M186" s="12">
        <v>46.563780659999999</v>
      </c>
      <c r="N186" s="12">
        <v>22.982826299999999</v>
      </c>
      <c r="O186" s="12">
        <v>10.03086884</v>
      </c>
      <c r="P186" s="12">
        <v>51.138744699999997</v>
      </c>
      <c r="Q186" s="12">
        <v>451.87083102000003</v>
      </c>
      <c r="R186" s="15">
        <v>168.16391528</v>
      </c>
      <c r="S186" s="15">
        <v>1159.15377676</v>
      </c>
      <c r="T186" s="15">
        <v>1175.7458009617544</v>
      </c>
      <c r="AP186" s="12">
        <f t="shared" si="18"/>
        <v>1.2446767519953184</v>
      </c>
      <c r="AQ186" s="12">
        <f t="shared" si="19"/>
        <v>1.2422671616805161</v>
      </c>
      <c r="AU186" s="12">
        <f t="shared" si="20"/>
        <v>0.8961219281188364</v>
      </c>
      <c r="AV186" s="12">
        <f t="shared" si="21"/>
        <v>0.490381476242365</v>
      </c>
      <c r="AW186" s="12">
        <f t="shared" si="22"/>
        <v>0.48861277252042967</v>
      </c>
      <c r="AX186" s="12">
        <f t="shared" si="23"/>
        <v>0.91053820216279191</v>
      </c>
      <c r="AY186" s="12">
        <f t="shared" si="24"/>
        <v>0.44942101013285141</v>
      </c>
      <c r="AZ186" s="12">
        <f t="shared" si="25"/>
        <v>0.19615007953059904</v>
      </c>
    </row>
    <row r="187" spans="1:52" x14ac:dyDescent="0.55000000000000004">
      <c r="A187" s="12" t="s">
        <v>206</v>
      </c>
      <c r="B187" s="12" t="s">
        <v>207</v>
      </c>
      <c r="C187" s="12" t="s">
        <v>8</v>
      </c>
      <c r="D187" s="12" t="s">
        <v>9</v>
      </c>
      <c r="E187" s="12">
        <v>1464</v>
      </c>
      <c r="F187" s="12">
        <v>69.034604189999996</v>
      </c>
      <c r="G187" s="12">
        <v>38.987862890000002</v>
      </c>
      <c r="H187" s="14">
        <f t="shared" si="26"/>
        <v>57078.231270960001</v>
      </c>
      <c r="I187" s="12">
        <v>43.288083749999998</v>
      </c>
      <c r="J187" s="12">
        <v>18.886028629999998</v>
      </c>
      <c r="K187" s="12">
        <v>16.834417179999999</v>
      </c>
      <c r="L187" s="12">
        <v>43.670112789999997</v>
      </c>
      <c r="M187" s="12">
        <v>41.320901859999999</v>
      </c>
      <c r="N187" s="12">
        <v>21.616284029999999</v>
      </c>
      <c r="O187" s="12">
        <v>10.11148796</v>
      </c>
      <c r="P187" s="12">
        <v>44.388213219999997</v>
      </c>
      <c r="Q187" s="12">
        <v>361.36288760000002</v>
      </c>
      <c r="R187" s="15">
        <v>44.297802789999999</v>
      </c>
      <c r="S187" s="15">
        <v>883.78835420999997</v>
      </c>
      <c r="T187" s="15">
        <v>887.09216483799207</v>
      </c>
      <c r="AP187" s="12">
        <f t="shared" si="18"/>
        <v>1.1200950642821961</v>
      </c>
      <c r="AQ187" s="12">
        <f t="shared" si="19"/>
        <v>1.1385136278240358</v>
      </c>
      <c r="AU187" s="12">
        <f t="shared" si="20"/>
        <v>0.9912519337461505</v>
      </c>
      <c r="AV187" s="12">
        <f t="shared" si="21"/>
        <v>0.43247034237852261</v>
      </c>
      <c r="AW187" s="12">
        <f t="shared" si="22"/>
        <v>0.38549058164683525</v>
      </c>
      <c r="AX187" s="12">
        <f t="shared" si="23"/>
        <v>0.93089806645747208</v>
      </c>
      <c r="AY187" s="12">
        <f t="shared" si="24"/>
        <v>0.48698252220389782</v>
      </c>
      <c r="AZ187" s="12">
        <f t="shared" si="25"/>
        <v>0.22779668805060319</v>
      </c>
    </row>
    <row r="188" spans="1:52" x14ac:dyDescent="0.55000000000000004">
      <c r="A188" s="12" t="s">
        <v>544</v>
      </c>
      <c r="B188" s="12" t="s">
        <v>545</v>
      </c>
      <c r="C188" s="12" t="s">
        <v>515</v>
      </c>
      <c r="D188" s="12" t="s">
        <v>9</v>
      </c>
      <c r="E188" s="12">
        <v>2137</v>
      </c>
      <c r="F188" s="12">
        <v>68.299540400000012</v>
      </c>
      <c r="G188" s="12">
        <v>58.584114720000002</v>
      </c>
      <c r="H188" s="14">
        <f t="shared" si="26"/>
        <v>125194.25315664</v>
      </c>
      <c r="I188" s="12">
        <v>46.032520120000001</v>
      </c>
      <c r="J188" s="12">
        <v>7.5270201800000001</v>
      </c>
      <c r="K188" s="12">
        <v>16.465241679999998</v>
      </c>
      <c r="L188" s="12">
        <v>46.736684609999998</v>
      </c>
      <c r="M188" s="12">
        <v>35.471689159999997</v>
      </c>
      <c r="N188" s="12">
        <v>11.45484926</v>
      </c>
      <c r="O188" s="12">
        <v>11.70016676</v>
      </c>
      <c r="P188" s="12">
        <v>37.483624910000003</v>
      </c>
      <c r="Q188" s="12">
        <v>431.06520029000001</v>
      </c>
      <c r="R188" s="15">
        <v>144.67884233999999</v>
      </c>
      <c r="S188" s="15">
        <v>815.70597081000005</v>
      </c>
      <c r="T188" s="15">
        <v>855.84770711746216</v>
      </c>
      <c r="AP188" s="12">
        <f t="shared" si="18"/>
        <v>0.79777060442708347</v>
      </c>
      <c r="AQ188" s="12">
        <f t="shared" si="19"/>
        <v>0.63982574609433307</v>
      </c>
      <c r="AU188" s="12">
        <f t="shared" si="20"/>
        <v>0.98493336667168452</v>
      </c>
      <c r="AV188" s="12">
        <f t="shared" si="21"/>
        <v>0.16105165017181136</v>
      </c>
      <c r="AW188" s="12">
        <f t="shared" si="22"/>
        <v>0.35229802493258194</v>
      </c>
      <c r="AX188" s="12">
        <f t="shared" si="23"/>
        <v>0.94632494176241599</v>
      </c>
      <c r="AY188" s="12">
        <f t="shared" si="24"/>
        <v>0.30559609129329535</v>
      </c>
      <c r="AZ188" s="12">
        <f t="shared" si="25"/>
        <v>0.31214074914293016</v>
      </c>
    </row>
    <row r="189" spans="1:52" x14ac:dyDescent="0.55000000000000004">
      <c r="A189" s="12" t="s">
        <v>208</v>
      </c>
      <c r="B189" s="12" t="s">
        <v>209</v>
      </c>
      <c r="C189" s="12" t="s">
        <v>8</v>
      </c>
      <c r="D189" s="12" t="s">
        <v>9</v>
      </c>
      <c r="E189" s="12">
        <v>1408</v>
      </c>
      <c r="F189" s="12">
        <v>69.46606700000001</v>
      </c>
      <c r="G189" s="12">
        <v>44.345224999999999</v>
      </c>
      <c r="H189" s="14">
        <f t="shared" si="26"/>
        <v>62438.076799999995</v>
      </c>
      <c r="I189" s="12">
        <v>58.449129999999997</v>
      </c>
      <c r="J189" s="12">
        <v>31.305821000000002</v>
      </c>
      <c r="K189" s="12">
        <v>20.955016000000001</v>
      </c>
      <c r="L189" s="12">
        <v>64.796771000000007</v>
      </c>
      <c r="M189" s="12">
        <v>53.181156000000001</v>
      </c>
      <c r="N189" s="12">
        <v>25.193693</v>
      </c>
      <c r="O189" s="12">
        <v>8.2740729999999996</v>
      </c>
      <c r="P189" s="12">
        <v>57.946269999999998</v>
      </c>
      <c r="Q189" s="12">
        <v>648.19872899999996</v>
      </c>
      <c r="R189" s="15">
        <v>451.257453</v>
      </c>
      <c r="S189" s="15">
        <v>1140.2427279999999</v>
      </c>
      <c r="T189" s="15">
        <v>1140.2618124798653</v>
      </c>
      <c r="AP189" s="12">
        <f t="shared" si="18"/>
        <v>1.4611893614250464</v>
      </c>
      <c r="AQ189" s="12">
        <f t="shared" si="19"/>
        <v>1.3067082194306152</v>
      </c>
      <c r="AU189" s="12">
        <f t="shared" si="20"/>
        <v>0.90203769567468095</v>
      </c>
      <c r="AV189" s="12">
        <f t="shared" si="21"/>
        <v>0.48313859652049634</v>
      </c>
      <c r="AW189" s="12">
        <f t="shared" si="22"/>
        <v>0.32339599144531445</v>
      </c>
      <c r="AX189" s="12">
        <f t="shared" si="23"/>
        <v>0.91776668282531393</v>
      </c>
      <c r="AY189" s="12">
        <f t="shared" si="24"/>
        <v>0.43477678546004772</v>
      </c>
      <c r="AZ189" s="12">
        <f t="shared" si="25"/>
        <v>0.14278870753889766</v>
      </c>
    </row>
    <row r="190" spans="1:52" x14ac:dyDescent="0.55000000000000004">
      <c r="A190" s="12" t="s">
        <v>210</v>
      </c>
      <c r="B190" s="12" t="s">
        <v>211</v>
      </c>
      <c r="C190" s="12" t="s">
        <v>134</v>
      </c>
      <c r="D190" s="12" t="s">
        <v>9</v>
      </c>
      <c r="E190" s="12">
        <v>1544</v>
      </c>
      <c r="F190" s="12">
        <v>69.982848000000004</v>
      </c>
      <c r="G190" s="12">
        <v>47.630496000000001</v>
      </c>
      <c r="H190" s="14">
        <f t="shared" si="26"/>
        <v>73541.485824000003</v>
      </c>
      <c r="I190" s="12">
        <v>52.006805999999997</v>
      </c>
      <c r="J190" s="12">
        <v>14.151971</v>
      </c>
      <c r="K190" s="12">
        <v>28.022881000000002</v>
      </c>
      <c r="L190" s="12">
        <v>55.451762000000002</v>
      </c>
      <c r="M190" s="12">
        <v>43.331384</v>
      </c>
      <c r="N190" s="12">
        <v>9.8229290000000002</v>
      </c>
      <c r="O190" s="12">
        <v>12.751569</v>
      </c>
      <c r="P190" s="12">
        <v>43.674900999999998</v>
      </c>
      <c r="Q190" s="12">
        <v>524.08693500000004</v>
      </c>
      <c r="R190" s="15">
        <v>692.36653799999999</v>
      </c>
      <c r="S190" s="15">
        <v>1977.2500580000001</v>
      </c>
      <c r="T190" s="15">
        <v>1985.2326501167668</v>
      </c>
      <c r="AP190" s="12">
        <f t="shared" si="18"/>
        <v>1.1642071079839269</v>
      </c>
      <c r="AQ190" s="12">
        <f t="shared" si="19"/>
        <v>0.91695247095474286</v>
      </c>
      <c r="AU190" s="12">
        <f t="shared" si="20"/>
        <v>0.93787472434149155</v>
      </c>
      <c r="AV190" s="12">
        <f t="shared" si="21"/>
        <v>0.25521228703246612</v>
      </c>
      <c r="AW190" s="12">
        <f t="shared" si="22"/>
        <v>0.50535600654132506</v>
      </c>
      <c r="AX190" s="12">
        <f t="shared" si="23"/>
        <v>0.99213468165617602</v>
      </c>
      <c r="AY190" s="12">
        <f t="shared" si="24"/>
        <v>0.22491016064352384</v>
      </c>
      <c r="AZ190" s="12">
        <f t="shared" si="25"/>
        <v>0.29196560743205807</v>
      </c>
    </row>
    <row r="191" spans="1:52" x14ac:dyDescent="0.55000000000000004">
      <c r="A191" s="12" t="s">
        <v>546</v>
      </c>
      <c r="B191" s="12" t="s">
        <v>547</v>
      </c>
      <c r="C191" s="12" t="s">
        <v>515</v>
      </c>
      <c r="D191" s="12" t="s">
        <v>9</v>
      </c>
      <c r="E191" s="12">
        <v>2454</v>
      </c>
      <c r="F191" s="12">
        <v>68.487680999999995</v>
      </c>
      <c r="G191" s="12">
        <v>88.901612999999998</v>
      </c>
      <c r="H191" s="14">
        <f t="shared" si="26"/>
        <v>218164.55830199999</v>
      </c>
      <c r="I191" s="12">
        <v>45.767367</v>
      </c>
      <c r="J191" s="12">
        <v>10.365938</v>
      </c>
      <c r="K191" s="12">
        <v>27.128571000000001</v>
      </c>
      <c r="L191" s="12">
        <v>52.905420999999997</v>
      </c>
      <c r="M191" s="12">
        <v>27.570882999999998</v>
      </c>
      <c r="N191" s="12">
        <v>10.231978</v>
      </c>
      <c r="O191" s="12">
        <v>8.7320030000000006</v>
      </c>
      <c r="P191" s="12">
        <v>29.978959</v>
      </c>
      <c r="Q191" s="12">
        <v>435.30717099999998</v>
      </c>
      <c r="R191" s="15">
        <v>393.73636699999997</v>
      </c>
      <c r="S191" s="15">
        <v>1166.2157979999999</v>
      </c>
      <c r="T191" s="15">
        <v>1183.6711341175526</v>
      </c>
      <c r="AP191" s="12">
        <f t="shared" si="18"/>
        <v>0.59510079980213626</v>
      </c>
      <c r="AQ191" s="12">
        <f t="shared" si="19"/>
        <v>0.33721501768477474</v>
      </c>
      <c r="AU191" s="12">
        <f t="shared" si="20"/>
        <v>0.86507896799460315</v>
      </c>
      <c r="AV191" s="12">
        <f t="shared" si="21"/>
        <v>0.19593338081555009</v>
      </c>
      <c r="AW191" s="12">
        <f t="shared" si="22"/>
        <v>0.51277488180275521</v>
      </c>
      <c r="AX191" s="12">
        <f t="shared" si="23"/>
        <v>0.91967446234540695</v>
      </c>
      <c r="AY191" s="12">
        <f t="shared" si="24"/>
        <v>0.34130531350338084</v>
      </c>
      <c r="AZ191" s="12">
        <f t="shared" si="25"/>
        <v>0.29127105447524049</v>
      </c>
    </row>
    <row r="192" spans="1:52" x14ac:dyDescent="0.55000000000000004">
      <c r="A192" s="12" t="s">
        <v>212</v>
      </c>
      <c r="B192" s="12" t="s">
        <v>213</v>
      </c>
      <c r="C192" s="12" t="s">
        <v>8</v>
      </c>
      <c r="D192" s="12" t="s">
        <v>9</v>
      </c>
      <c r="E192" s="12">
        <v>1343</v>
      </c>
      <c r="F192" s="12">
        <v>69.836522000000002</v>
      </c>
      <c r="G192" s="12">
        <v>34.060487000000002</v>
      </c>
      <c r="H192" s="14">
        <f t="shared" si="26"/>
        <v>45743.234041000003</v>
      </c>
      <c r="I192" s="12">
        <v>45.838624000000003</v>
      </c>
      <c r="J192" s="12">
        <v>17.719550999999999</v>
      </c>
      <c r="K192" s="12">
        <v>26.788309999999999</v>
      </c>
      <c r="L192" s="12">
        <v>48.705312999999997</v>
      </c>
      <c r="M192" s="12">
        <v>36.085473999999998</v>
      </c>
      <c r="N192" s="12">
        <v>17.731026</v>
      </c>
      <c r="O192" s="12">
        <v>16.291395999999999</v>
      </c>
      <c r="P192" s="12">
        <v>36.317684999999997</v>
      </c>
      <c r="Q192" s="12">
        <v>461.53913499999999</v>
      </c>
      <c r="R192" s="15">
        <v>241.92580100000001</v>
      </c>
      <c r="S192" s="15">
        <v>1290.0123410000001</v>
      </c>
      <c r="T192" s="15">
        <v>1350.671567131466</v>
      </c>
      <c r="AP192" s="12">
        <f t="shared" si="18"/>
        <v>1.4299652556347768</v>
      </c>
      <c r="AQ192" s="12">
        <f t="shared" si="19"/>
        <v>1.0662702796938868</v>
      </c>
      <c r="AU192" s="12">
        <f t="shared" si="20"/>
        <v>0.94114217067037442</v>
      </c>
      <c r="AV192" s="12">
        <f t="shared" si="21"/>
        <v>0.3638114593370953</v>
      </c>
      <c r="AW192" s="12">
        <f t="shared" si="22"/>
        <v>0.55000796319695144</v>
      </c>
      <c r="AX192" s="12">
        <f t="shared" si="23"/>
        <v>0.99360611779082286</v>
      </c>
      <c r="AY192" s="12">
        <f t="shared" si="24"/>
        <v>0.48822016050857869</v>
      </c>
      <c r="AZ192" s="12">
        <f t="shared" si="25"/>
        <v>0.44858024403262486</v>
      </c>
    </row>
    <row r="193" spans="1:52" x14ac:dyDescent="0.55000000000000004">
      <c r="A193" s="12" t="s">
        <v>432</v>
      </c>
      <c r="B193" s="12" t="s">
        <v>433</v>
      </c>
      <c r="C193" s="12" t="s">
        <v>322</v>
      </c>
      <c r="D193" s="12" t="s">
        <v>9</v>
      </c>
      <c r="E193" s="12">
        <v>1961</v>
      </c>
      <c r="F193" s="12">
        <v>68.467364000000003</v>
      </c>
      <c r="G193" s="12">
        <v>50.831794000000002</v>
      </c>
      <c r="H193" s="14">
        <f t="shared" si="26"/>
        <v>99681.148033999998</v>
      </c>
      <c r="I193" s="12">
        <v>78.656493999999995</v>
      </c>
      <c r="J193" s="12">
        <v>29.538720999999999</v>
      </c>
      <c r="K193" s="12">
        <v>31.022202</v>
      </c>
      <c r="L193" s="12">
        <v>87.625539000000003</v>
      </c>
      <c r="M193" s="12">
        <v>46.438870000000001</v>
      </c>
      <c r="N193" s="12">
        <v>22.173735000000001</v>
      </c>
      <c r="O193" s="12">
        <v>13.235555</v>
      </c>
      <c r="P193" s="12">
        <v>51.591755999999997</v>
      </c>
      <c r="Q193" s="12">
        <v>841.55753200000004</v>
      </c>
      <c r="R193" s="15">
        <v>354.35167000000001</v>
      </c>
      <c r="S193" s="15">
        <v>1517.3353999999999</v>
      </c>
      <c r="T193" s="15">
        <v>1715.349467462846</v>
      </c>
      <c r="AP193" s="12">
        <f t="shared" si="18"/>
        <v>1.723833296145322</v>
      </c>
      <c r="AQ193" s="12">
        <f t="shared" si="19"/>
        <v>1.0149505248624511</v>
      </c>
      <c r="AU193" s="12">
        <f t="shared" si="20"/>
        <v>0.89764348268374128</v>
      </c>
      <c r="AV193" s="12">
        <f t="shared" si="21"/>
        <v>0.33710173240703256</v>
      </c>
      <c r="AW193" s="12">
        <f t="shared" si="22"/>
        <v>0.35403151129261529</v>
      </c>
      <c r="AX193" s="12">
        <f t="shared" si="23"/>
        <v>0.90012191095026894</v>
      </c>
      <c r="AY193" s="12">
        <f t="shared" si="24"/>
        <v>0.42979221331408068</v>
      </c>
      <c r="AZ193" s="12">
        <f t="shared" si="25"/>
        <v>0.25654399125317617</v>
      </c>
    </row>
    <row r="194" spans="1:52" x14ac:dyDescent="0.55000000000000004">
      <c r="A194" s="12" t="s">
        <v>214</v>
      </c>
      <c r="B194" s="12" t="s">
        <v>215</v>
      </c>
      <c r="C194" s="12" t="s">
        <v>8</v>
      </c>
      <c r="D194" s="12" t="s">
        <v>9</v>
      </c>
      <c r="E194" s="12">
        <v>1352</v>
      </c>
      <c r="F194" s="12">
        <v>70.811873000000006</v>
      </c>
      <c r="G194" s="12">
        <v>50.639747</v>
      </c>
      <c r="H194" s="14">
        <f t="shared" si="26"/>
        <v>68464.937944000005</v>
      </c>
      <c r="I194" s="12">
        <v>60.803578000000002</v>
      </c>
      <c r="J194" s="12">
        <v>18.421952999999998</v>
      </c>
      <c r="K194" s="12">
        <v>30.143521</v>
      </c>
      <c r="L194" s="12">
        <v>69.822787000000005</v>
      </c>
      <c r="M194" s="12">
        <v>40.088163999999999</v>
      </c>
      <c r="N194" s="12">
        <v>13.75606</v>
      </c>
      <c r="O194" s="12">
        <v>8.0605890000000002</v>
      </c>
      <c r="P194" s="12">
        <v>41.663269999999997</v>
      </c>
      <c r="Q194" s="12">
        <v>546.74863300000004</v>
      </c>
      <c r="R194" s="15">
        <v>873.68535999999995</v>
      </c>
      <c r="S194" s="15">
        <v>1163.6512769999999</v>
      </c>
      <c r="T194" s="15">
        <v>1217.2185053026544</v>
      </c>
      <c r="AP194" s="12">
        <f t="shared" ref="AP194:AP257" si="27">L194/G194</f>
        <v>1.3788138988925045</v>
      </c>
      <c r="AQ194" s="12">
        <f t="shared" ref="AQ194:AQ257" si="28">P194/G194</f>
        <v>0.82273851012723265</v>
      </c>
      <c r="AU194" s="12">
        <f t="shared" ref="AU194:AU257" si="29">I194/$L194</f>
        <v>0.87082714128841632</v>
      </c>
      <c r="AV194" s="12">
        <f t="shared" ref="AV194:AV257" si="30">J194/$L194</f>
        <v>0.26383869495212209</v>
      </c>
      <c r="AW194" s="12">
        <f t="shared" ref="AW194:AW257" si="31">K194/$L194</f>
        <v>0.43171466358110278</v>
      </c>
      <c r="AX194" s="12">
        <f t="shared" ref="AX194:AX257" si="32">M194/$P194</f>
        <v>0.96219437408537545</v>
      </c>
      <c r="AY194" s="12">
        <f t="shared" ref="AY194:AY257" si="33">N194/$P194</f>
        <v>0.33017235565043263</v>
      </c>
      <c r="AZ194" s="12">
        <f t="shared" ref="AZ194:AZ257" si="34">O194/$P194</f>
        <v>0.19346990766687303</v>
      </c>
    </row>
    <row r="195" spans="1:52" x14ac:dyDescent="0.55000000000000004">
      <c r="A195" s="12" t="s">
        <v>434</v>
      </c>
      <c r="B195" s="12" t="s">
        <v>435</v>
      </c>
      <c r="C195" s="12" t="s">
        <v>322</v>
      </c>
      <c r="D195" s="12" t="s">
        <v>9</v>
      </c>
      <c r="E195" s="12">
        <v>2051</v>
      </c>
      <c r="F195" s="12">
        <v>68.031502000000003</v>
      </c>
      <c r="G195" s="12">
        <v>41.919100999999998</v>
      </c>
      <c r="H195" s="14">
        <f t="shared" ref="H195:H258" si="35">E195*G195</f>
        <v>85976.076151000001</v>
      </c>
      <c r="I195" s="12">
        <v>46.687313000000003</v>
      </c>
      <c r="J195" s="12">
        <v>12.864526</v>
      </c>
      <c r="K195" s="12">
        <v>47.457979000000002</v>
      </c>
      <c r="L195" s="12">
        <v>66.592984000000001</v>
      </c>
      <c r="M195" s="12">
        <v>43.987890999999998</v>
      </c>
      <c r="N195" s="12">
        <v>18.077954999999999</v>
      </c>
      <c r="O195" s="12">
        <v>13.911015000000001</v>
      </c>
      <c r="P195" s="12">
        <v>47.801760999999999</v>
      </c>
      <c r="Q195" s="12">
        <v>544.04792799999996</v>
      </c>
      <c r="R195" s="15">
        <v>39.668809000000003</v>
      </c>
      <c r="S195" s="15">
        <v>1565.4336619999999</v>
      </c>
      <c r="T195" s="15">
        <v>1640.1280714084253</v>
      </c>
      <c r="AP195" s="12">
        <f t="shared" si="27"/>
        <v>1.588607160253747</v>
      </c>
      <c r="AQ195" s="12">
        <f t="shared" si="28"/>
        <v>1.1403336393115873</v>
      </c>
      <c r="AU195" s="12">
        <f t="shared" si="29"/>
        <v>0.70108456170097444</v>
      </c>
      <c r="AV195" s="12">
        <f t="shared" si="30"/>
        <v>0.19318140181253929</v>
      </c>
      <c r="AW195" s="12">
        <f t="shared" si="31"/>
        <v>0.71265734240111545</v>
      </c>
      <c r="AX195" s="12">
        <f t="shared" si="32"/>
        <v>0.92021486405071973</v>
      </c>
      <c r="AY195" s="12">
        <f t="shared" si="33"/>
        <v>0.37818596264685728</v>
      </c>
      <c r="AZ195" s="12">
        <f t="shared" si="34"/>
        <v>0.29101469713636702</v>
      </c>
    </row>
    <row r="196" spans="1:52" x14ac:dyDescent="0.55000000000000004">
      <c r="A196" s="12" t="s">
        <v>216</v>
      </c>
      <c r="B196" s="12" t="s">
        <v>217</v>
      </c>
      <c r="C196" s="12" t="s">
        <v>51</v>
      </c>
      <c r="D196" s="12" t="s">
        <v>9</v>
      </c>
      <c r="E196" s="12">
        <v>1579</v>
      </c>
      <c r="F196" s="12">
        <v>71.629244</v>
      </c>
      <c r="G196" s="12">
        <v>39.136063999999998</v>
      </c>
      <c r="H196" s="14">
        <f t="shared" si="35"/>
        <v>61795.845055999998</v>
      </c>
      <c r="I196" s="12">
        <v>49.491576000000002</v>
      </c>
      <c r="J196" s="12">
        <v>18.228577000000001</v>
      </c>
      <c r="K196" s="12">
        <v>18.192724999999999</v>
      </c>
      <c r="L196" s="12">
        <v>54.351354000000001</v>
      </c>
      <c r="M196" s="12">
        <v>41.489100999999998</v>
      </c>
      <c r="N196" s="12">
        <v>17.105104000000001</v>
      </c>
      <c r="O196" s="12">
        <v>12.023447000000001</v>
      </c>
      <c r="P196" s="12">
        <v>44.906140999999998</v>
      </c>
      <c r="Q196" s="12">
        <v>582.42364899999995</v>
      </c>
      <c r="R196" s="15">
        <v>45.939605999999998</v>
      </c>
      <c r="S196" s="15">
        <v>819.66748600000005</v>
      </c>
      <c r="T196" s="15">
        <v>877.22659634935678</v>
      </c>
      <c r="AP196" s="12">
        <f t="shared" si="27"/>
        <v>1.3887792599685038</v>
      </c>
      <c r="AQ196" s="12">
        <f t="shared" si="28"/>
        <v>1.1474363134729133</v>
      </c>
      <c r="AU196" s="12">
        <f t="shared" si="29"/>
        <v>0.91058588899183635</v>
      </c>
      <c r="AV196" s="12">
        <f t="shared" si="30"/>
        <v>0.33538404581420367</v>
      </c>
      <c r="AW196" s="12">
        <f t="shared" si="31"/>
        <v>0.33472441183342</v>
      </c>
      <c r="AX196" s="12">
        <f t="shared" si="32"/>
        <v>0.92390706651903132</v>
      </c>
      <c r="AY196" s="12">
        <f t="shared" si="33"/>
        <v>0.38090790299705335</v>
      </c>
      <c r="AZ196" s="12">
        <f t="shared" si="34"/>
        <v>0.26774616416048758</v>
      </c>
    </row>
    <row r="197" spans="1:52" x14ac:dyDescent="0.55000000000000004">
      <c r="A197" s="12" t="s">
        <v>218</v>
      </c>
      <c r="B197" s="12" t="s">
        <v>219</v>
      </c>
      <c r="C197" s="12" t="s">
        <v>8</v>
      </c>
      <c r="D197" s="12" t="s">
        <v>9</v>
      </c>
      <c r="E197" s="12">
        <v>1417</v>
      </c>
      <c r="F197" s="12">
        <v>68.898696999999999</v>
      </c>
      <c r="G197" s="12">
        <v>46.103893999999997</v>
      </c>
      <c r="H197" s="14">
        <f t="shared" si="35"/>
        <v>65329.217797999998</v>
      </c>
      <c r="I197" s="12">
        <v>40.605922999999997</v>
      </c>
      <c r="J197" s="12">
        <v>18.246024999999999</v>
      </c>
      <c r="K197" s="12">
        <v>22.325651000000001</v>
      </c>
      <c r="L197" s="12">
        <v>49.587896000000001</v>
      </c>
      <c r="M197" s="12">
        <v>39.681355000000003</v>
      </c>
      <c r="N197" s="12">
        <v>18.547910000000002</v>
      </c>
      <c r="O197" s="12">
        <v>20.563665</v>
      </c>
      <c r="P197" s="12">
        <v>48.040346999999997</v>
      </c>
      <c r="Q197" s="12">
        <v>511.76027800000003</v>
      </c>
      <c r="R197" s="15">
        <v>527.48256800000001</v>
      </c>
      <c r="S197" s="15">
        <v>948.91639199999997</v>
      </c>
      <c r="T197" s="15">
        <v>981.51932284213319</v>
      </c>
      <c r="AP197" s="12">
        <f t="shared" si="27"/>
        <v>1.0755684975329851</v>
      </c>
      <c r="AQ197" s="12">
        <f t="shared" si="28"/>
        <v>1.0420019402265674</v>
      </c>
      <c r="AU197" s="12">
        <f t="shared" si="29"/>
        <v>0.81886763253677863</v>
      </c>
      <c r="AV197" s="12">
        <f t="shared" si="30"/>
        <v>0.36795319970825136</v>
      </c>
      <c r="AW197" s="12">
        <f t="shared" si="31"/>
        <v>0.45022380058230338</v>
      </c>
      <c r="AX197" s="12">
        <f t="shared" si="32"/>
        <v>0.82600059071180332</v>
      </c>
      <c r="AY197" s="12">
        <f t="shared" si="33"/>
        <v>0.38609025867361041</v>
      </c>
      <c r="AZ197" s="12">
        <f t="shared" si="34"/>
        <v>0.42804988481869211</v>
      </c>
    </row>
    <row r="198" spans="1:52" x14ac:dyDescent="0.55000000000000004">
      <c r="A198" s="12" t="s">
        <v>220</v>
      </c>
      <c r="B198" s="12" t="s">
        <v>221</v>
      </c>
      <c r="C198" s="12" t="s">
        <v>51</v>
      </c>
      <c r="D198" s="12" t="s">
        <v>9</v>
      </c>
      <c r="E198" s="12">
        <v>1465</v>
      </c>
      <c r="F198" s="12">
        <v>69.978624999999994</v>
      </c>
      <c r="G198" s="12">
        <v>49.977435</v>
      </c>
      <c r="H198" s="14">
        <f t="shared" si="35"/>
        <v>73216.942274999994</v>
      </c>
      <c r="I198" s="12">
        <v>71.488662000000005</v>
      </c>
      <c r="J198" s="12">
        <v>18.742405000000002</v>
      </c>
      <c r="K198" s="12">
        <v>36.87039</v>
      </c>
      <c r="L198" s="12">
        <v>81.440194000000005</v>
      </c>
      <c r="M198" s="12">
        <v>52.857712999999997</v>
      </c>
      <c r="N198" s="12">
        <v>21.705663000000001</v>
      </c>
      <c r="O198" s="12">
        <v>18.323761999999999</v>
      </c>
      <c r="P198" s="12">
        <v>57.775694999999999</v>
      </c>
      <c r="Q198" s="12">
        <v>399.54920399999997</v>
      </c>
      <c r="R198" s="15">
        <v>1631.940895</v>
      </c>
      <c r="S198" s="15">
        <v>1173.5354850000001</v>
      </c>
      <c r="T198" s="15">
        <v>1633.4074559918404</v>
      </c>
      <c r="AP198" s="12">
        <f t="shared" si="27"/>
        <v>1.6295392910820654</v>
      </c>
      <c r="AQ198" s="12">
        <f t="shared" si="28"/>
        <v>1.1560356188747982</v>
      </c>
      <c r="AU198" s="12">
        <f t="shared" si="29"/>
        <v>0.87780564471641609</v>
      </c>
      <c r="AV198" s="12">
        <f t="shared" si="30"/>
        <v>0.23013703773839242</v>
      </c>
      <c r="AW198" s="12">
        <f t="shared" si="31"/>
        <v>0.45272964354677248</v>
      </c>
      <c r="AX198" s="12">
        <f t="shared" si="32"/>
        <v>0.91487801228526977</v>
      </c>
      <c r="AY198" s="12">
        <f t="shared" si="33"/>
        <v>0.37568847938566557</v>
      </c>
      <c r="AZ198" s="12">
        <f t="shared" si="34"/>
        <v>0.3171534673879734</v>
      </c>
    </row>
    <row r="199" spans="1:52" x14ac:dyDescent="0.55000000000000004">
      <c r="A199" s="12" t="s">
        <v>222</v>
      </c>
      <c r="B199" s="12" t="s">
        <v>223</v>
      </c>
      <c r="C199" s="12" t="s">
        <v>134</v>
      </c>
      <c r="D199" s="12" t="s">
        <v>9</v>
      </c>
      <c r="E199" s="12">
        <v>1420</v>
      </c>
      <c r="F199" s="12">
        <v>69.531796</v>
      </c>
      <c r="G199" s="12">
        <v>49.094318999999999</v>
      </c>
      <c r="H199" s="14">
        <f t="shared" si="35"/>
        <v>69713.932979999998</v>
      </c>
      <c r="I199" s="12">
        <v>69.757317999999998</v>
      </c>
      <c r="J199" s="12">
        <v>18.405104999999999</v>
      </c>
      <c r="K199" s="12">
        <v>35.714598000000002</v>
      </c>
      <c r="L199" s="12">
        <v>76.588272000000003</v>
      </c>
      <c r="M199" s="12">
        <v>47.115625000000001</v>
      </c>
      <c r="N199" s="12">
        <v>18.835919000000001</v>
      </c>
      <c r="O199" s="12">
        <v>12.007709999999999</v>
      </c>
      <c r="P199" s="12">
        <v>50.083519000000003</v>
      </c>
      <c r="Q199" s="12">
        <v>593.23908200000005</v>
      </c>
      <c r="R199" s="15">
        <v>180.42095</v>
      </c>
      <c r="S199" s="15">
        <v>1565.7243679999999</v>
      </c>
      <c r="T199" s="15">
        <v>1652.7181835144202</v>
      </c>
      <c r="AP199" s="12">
        <f t="shared" si="27"/>
        <v>1.560023105728384</v>
      </c>
      <c r="AQ199" s="12">
        <f t="shared" si="28"/>
        <v>1.020148970800471</v>
      </c>
      <c r="AU199" s="12">
        <f t="shared" si="29"/>
        <v>0.91080939912053371</v>
      </c>
      <c r="AV199" s="12">
        <f t="shared" si="30"/>
        <v>0.24031231570285327</v>
      </c>
      <c r="AW199" s="12">
        <f t="shared" si="31"/>
        <v>0.46631941245521247</v>
      </c>
      <c r="AX199" s="12">
        <f t="shared" si="32"/>
        <v>0.94074110487324181</v>
      </c>
      <c r="AY199" s="12">
        <f t="shared" si="33"/>
        <v>0.37609016650766891</v>
      </c>
      <c r="AZ199" s="12">
        <f t="shared" si="34"/>
        <v>0.23975372018088423</v>
      </c>
    </row>
    <row r="200" spans="1:52" x14ac:dyDescent="0.55000000000000004">
      <c r="A200" s="12" t="s">
        <v>224</v>
      </c>
      <c r="B200" s="12" t="s">
        <v>225</v>
      </c>
      <c r="C200" s="12" t="s">
        <v>134</v>
      </c>
      <c r="D200" s="12" t="s">
        <v>9</v>
      </c>
      <c r="E200" s="12">
        <v>1403</v>
      </c>
      <c r="F200" s="12">
        <v>71.256099000000006</v>
      </c>
      <c r="G200" s="12">
        <v>40.784438000000002</v>
      </c>
      <c r="H200" s="14">
        <f t="shared" si="35"/>
        <v>57220.566514000006</v>
      </c>
      <c r="I200" s="12">
        <v>65.430689999999998</v>
      </c>
      <c r="J200" s="12">
        <v>14.263828</v>
      </c>
      <c r="K200" s="12">
        <v>26.723313999999998</v>
      </c>
      <c r="L200" s="12">
        <v>68.892296000000002</v>
      </c>
      <c r="M200" s="12">
        <v>44.401997999999999</v>
      </c>
      <c r="N200" s="12">
        <v>10.202037000000001</v>
      </c>
      <c r="O200" s="12">
        <v>6.8423679999999996</v>
      </c>
      <c r="P200" s="12">
        <v>45.202908000000001</v>
      </c>
      <c r="Q200" s="12">
        <v>359.83624800000001</v>
      </c>
      <c r="R200" s="15">
        <v>332.569525</v>
      </c>
      <c r="S200" s="15">
        <v>1020.589877</v>
      </c>
      <c r="T200" s="15">
        <v>1022.3343216090045</v>
      </c>
      <c r="AP200" s="12">
        <f t="shared" si="27"/>
        <v>1.6891809567168732</v>
      </c>
      <c r="AQ200" s="12">
        <f t="shared" si="28"/>
        <v>1.1083371554611099</v>
      </c>
      <c r="AU200" s="12">
        <f t="shared" si="29"/>
        <v>0.94975336574643987</v>
      </c>
      <c r="AV200" s="12">
        <f t="shared" si="30"/>
        <v>0.20704532768076128</v>
      </c>
      <c r="AW200" s="12">
        <f t="shared" si="31"/>
        <v>0.38789988941579184</v>
      </c>
      <c r="AX200" s="12">
        <f t="shared" si="32"/>
        <v>0.98228189212959482</v>
      </c>
      <c r="AY200" s="12">
        <f t="shared" si="33"/>
        <v>0.22569426285583222</v>
      </c>
      <c r="AZ200" s="12">
        <f t="shared" si="34"/>
        <v>0.15137008442023242</v>
      </c>
    </row>
    <row r="201" spans="1:52" x14ac:dyDescent="0.55000000000000004">
      <c r="A201" s="12" t="s">
        <v>226</v>
      </c>
      <c r="B201" s="12" t="s">
        <v>227</v>
      </c>
      <c r="C201" s="12" t="s">
        <v>51</v>
      </c>
      <c r="D201" s="12" t="s">
        <v>9</v>
      </c>
      <c r="E201" s="12">
        <v>1393</v>
      </c>
      <c r="F201" s="12">
        <v>71.612378000000007</v>
      </c>
      <c r="G201" s="12">
        <v>54.823523999999999</v>
      </c>
      <c r="H201" s="14">
        <f t="shared" si="35"/>
        <v>76369.168932</v>
      </c>
      <c r="I201" s="12">
        <v>52.692146000000001</v>
      </c>
      <c r="J201" s="12">
        <v>13.136513000000001</v>
      </c>
      <c r="K201" s="12">
        <v>32.70214</v>
      </c>
      <c r="L201" s="12">
        <v>59.191648999999998</v>
      </c>
      <c r="M201" s="12">
        <v>41.536903000000002</v>
      </c>
      <c r="N201" s="12">
        <v>14.287162</v>
      </c>
      <c r="O201" s="12">
        <v>11.756041</v>
      </c>
      <c r="P201" s="12">
        <v>42.945157000000002</v>
      </c>
      <c r="Q201" s="12">
        <v>847.94757300000003</v>
      </c>
      <c r="R201" s="15">
        <v>441.43243000000001</v>
      </c>
      <c r="S201" s="15">
        <v>1613.4188220000001</v>
      </c>
      <c r="T201" s="15">
        <v>1755.0982981311881</v>
      </c>
      <c r="AP201" s="12">
        <f t="shared" si="27"/>
        <v>1.0796761076504313</v>
      </c>
      <c r="AQ201" s="12">
        <f t="shared" si="28"/>
        <v>0.78333448612314671</v>
      </c>
      <c r="AU201" s="12">
        <f t="shared" si="29"/>
        <v>0.89019560850551749</v>
      </c>
      <c r="AV201" s="12">
        <f t="shared" si="30"/>
        <v>0.22193186407089285</v>
      </c>
      <c r="AW201" s="12">
        <f t="shared" si="31"/>
        <v>0.55247894850842894</v>
      </c>
      <c r="AX201" s="12">
        <f t="shared" si="32"/>
        <v>0.96720808355642995</v>
      </c>
      <c r="AY201" s="12">
        <f t="shared" si="33"/>
        <v>0.33268389262146603</v>
      </c>
      <c r="AZ201" s="12">
        <f t="shared" si="34"/>
        <v>0.27374544235570031</v>
      </c>
    </row>
    <row r="202" spans="1:52" x14ac:dyDescent="0.55000000000000004">
      <c r="A202" s="12" t="s">
        <v>228</v>
      </c>
      <c r="B202" s="12" t="s">
        <v>229</v>
      </c>
      <c r="C202" s="12" t="s">
        <v>8</v>
      </c>
      <c r="D202" s="12" t="s">
        <v>9</v>
      </c>
      <c r="E202" s="12">
        <v>1393</v>
      </c>
      <c r="F202" s="12">
        <v>70.925513999999993</v>
      </c>
      <c r="G202" s="12">
        <v>40.148142</v>
      </c>
      <c r="H202" s="14">
        <f t="shared" si="35"/>
        <v>55926.361806000001</v>
      </c>
      <c r="I202" s="12">
        <v>120.74211200000001</v>
      </c>
      <c r="J202" s="12">
        <v>33.269246000000003</v>
      </c>
      <c r="K202" s="12">
        <v>32.960569999999997</v>
      </c>
      <c r="L202" s="12">
        <v>127.630656</v>
      </c>
      <c r="M202" s="12">
        <v>41.129173999999999</v>
      </c>
      <c r="N202" s="12">
        <v>27.081074999999998</v>
      </c>
      <c r="O202" s="12">
        <v>15.618942000000001</v>
      </c>
      <c r="P202" s="12">
        <v>50.296863000000002</v>
      </c>
      <c r="Q202" s="12">
        <v>1430.669952</v>
      </c>
      <c r="R202" s="15">
        <v>3490.157334</v>
      </c>
      <c r="S202" s="15">
        <v>1031.957568</v>
      </c>
      <c r="T202" s="15">
        <v>3492.0307938556271</v>
      </c>
      <c r="AP202" s="12">
        <f t="shared" si="27"/>
        <v>3.1789928410634793</v>
      </c>
      <c r="AQ202" s="12">
        <f t="shared" si="28"/>
        <v>1.2527818348355946</v>
      </c>
      <c r="AU202" s="12">
        <f t="shared" si="29"/>
        <v>0.94602751238699267</v>
      </c>
      <c r="AV202" s="12">
        <f t="shared" si="30"/>
        <v>0.26066814229960555</v>
      </c>
      <c r="AW202" s="12">
        <f t="shared" si="31"/>
        <v>0.25824963243940385</v>
      </c>
      <c r="AX202" s="12">
        <f t="shared" si="32"/>
        <v>0.81772841379789429</v>
      </c>
      <c r="AY202" s="12">
        <f t="shared" si="33"/>
        <v>0.53842473237346822</v>
      </c>
      <c r="AZ202" s="12">
        <f t="shared" si="34"/>
        <v>0.31053511229915076</v>
      </c>
    </row>
    <row r="203" spans="1:52" x14ac:dyDescent="0.55000000000000004">
      <c r="A203" s="12" t="s">
        <v>436</v>
      </c>
      <c r="B203" s="12" t="s">
        <v>437</v>
      </c>
      <c r="C203" s="12" t="s">
        <v>322</v>
      </c>
      <c r="D203" s="12" t="s">
        <v>9</v>
      </c>
      <c r="E203" s="12">
        <v>2049</v>
      </c>
      <c r="F203" s="12">
        <v>70.064425999999997</v>
      </c>
      <c r="G203" s="12">
        <v>40.297176999999998</v>
      </c>
      <c r="H203" s="14">
        <f t="shared" si="35"/>
        <v>82568.915672999996</v>
      </c>
      <c r="I203" s="12">
        <v>42.159872</v>
      </c>
      <c r="J203" s="12">
        <v>24.768322000000001</v>
      </c>
      <c r="K203" s="12">
        <v>19.599046000000001</v>
      </c>
      <c r="L203" s="12">
        <v>46.301037000000001</v>
      </c>
      <c r="M203" s="12">
        <v>31.95317</v>
      </c>
      <c r="N203" s="12">
        <v>17.539187999999999</v>
      </c>
      <c r="O203" s="12">
        <v>6.0098120000000002</v>
      </c>
      <c r="P203" s="12">
        <v>36.321395000000003</v>
      </c>
      <c r="Q203" s="12">
        <v>455.040434</v>
      </c>
      <c r="R203" s="15">
        <v>236.368166</v>
      </c>
      <c r="S203" s="15">
        <v>896.67758700000002</v>
      </c>
      <c r="T203" s="15">
        <v>913.69737860601924</v>
      </c>
      <c r="AP203" s="12">
        <f t="shared" si="27"/>
        <v>1.1489895929930776</v>
      </c>
      <c r="AQ203" s="12">
        <f t="shared" si="28"/>
        <v>0.90133844859653578</v>
      </c>
      <c r="AU203" s="12">
        <f t="shared" si="29"/>
        <v>0.91055999458500247</v>
      </c>
      <c r="AV203" s="12">
        <f t="shared" si="30"/>
        <v>0.53494097767183924</v>
      </c>
      <c r="AW203" s="12">
        <f t="shared" si="31"/>
        <v>0.42329604842327834</v>
      </c>
      <c r="AX203" s="12">
        <f t="shared" si="32"/>
        <v>0.8797341071288699</v>
      </c>
      <c r="AY203" s="12">
        <f t="shared" si="33"/>
        <v>0.48288861151946388</v>
      </c>
      <c r="AZ203" s="12">
        <f t="shared" si="34"/>
        <v>0.16546203690689743</v>
      </c>
    </row>
    <row r="204" spans="1:52" x14ac:dyDescent="0.55000000000000004">
      <c r="A204" s="12" t="s">
        <v>230</v>
      </c>
      <c r="B204" s="12" t="s">
        <v>231</v>
      </c>
      <c r="C204" s="12" t="s">
        <v>8</v>
      </c>
      <c r="D204" s="12" t="s">
        <v>9</v>
      </c>
      <c r="E204" s="12">
        <v>1759</v>
      </c>
      <c r="F204" s="12">
        <v>70.137732</v>
      </c>
      <c r="G204" s="12">
        <v>30.615981999999999</v>
      </c>
      <c r="H204" s="14">
        <f t="shared" si="35"/>
        <v>53853.512338</v>
      </c>
      <c r="I204" s="12">
        <v>40.565441999999997</v>
      </c>
      <c r="J204" s="12">
        <v>8.1077349999999999</v>
      </c>
      <c r="K204" s="12">
        <v>24.731401999999999</v>
      </c>
      <c r="L204" s="12">
        <v>43.963287999999999</v>
      </c>
      <c r="M204" s="12">
        <v>33.994137000000002</v>
      </c>
      <c r="N204" s="12">
        <v>9.0398840000000007</v>
      </c>
      <c r="O204" s="12">
        <v>7.2842450000000003</v>
      </c>
      <c r="P204" s="12">
        <v>34.816833000000003</v>
      </c>
      <c r="Q204" s="12">
        <v>544.57765800000004</v>
      </c>
      <c r="R204" s="15">
        <v>466.437026</v>
      </c>
      <c r="S204" s="15">
        <v>871.468344</v>
      </c>
      <c r="T204" s="15">
        <v>899.72524438549283</v>
      </c>
      <c r="AP204" s="12">
        <f t="shared" si="27"/>
        <v>1.4359587747340588</v>
      </c>
      <c r="AQ204" s="12">
        <f t="shared" si="28"/>
        <v>1.1372110487914451</v>
      </c>
      <c r="AU204" s="12">
        <f t="shared" si="29"/>
        <v>0.92271174075969931</v>
      </c>
      <c r="AV204" s="12">
        <f t="shared" si="30"/>
        <v>0.18442057836984349</v>
      </c>
      <c r="AW204" s="12">
        <f t="shared" si="31"/>
        <v>0.56254668668094165</v>
      </c>
      <c r="AX204" s="12">
        <f t="shared" si="32"/>
        <v>0.97637073998085921</v>
      </c>
      <c r="AY204" s="12">
        <f t="shared" si="33"/>
        <v>0.25964119137429875</v>
      </c>
      <c r="AZ204" s="12">
        <f t="shared" si="34"/>
        <v>0.20921618574555589</v>
      </c>
    </row>
    <row r="205" spans="1:52" x14ac:dyDescent="0.55000000000000004">
      <c r="A205" s="12" t="s">
        <v>232</v>
      </c>
      <c r="B205" s="12" t="s">
        <v>231</v>
      </c>
      <c r="C205" s="12" t="s">
        <v>170</v>
      </c>
      <c r="D205" s="12" t="s">
        <v>9</v>
      </c>
      <c r="E205" s="12">
        <v>1785</v>
      </c>
      <c r="F205" s="12">
        <v>71.295944000000006</v>
      </c>
      <c r="G205" s="12">
        <v>48.194704999999999</v>
      </c>
      <c r="H205" s="14">
        <f t="shared" si="35"/>
        <v>86027.548425000001</v>
      </c>
      <c r="I205" s="12">
        <v>57.327851000000003</v>
      </c>
      <c r="J205" s="12">
        <v>61.364601</v>
      </c>
      <c r="K205" s="12">
        <v>70.002734000000004</v>
      </c>
      <c r="L205" s="12">
        <v>91.993270999999993</v>
      </c>
      <c r="M205" s="12">
        <v>35.488301999999997</v>
      </c>
      <c r="N205" s="12">
        <v>11.447717000000001</v>
      </c>
      <c r="O205" s="12">
        <v>28.152691999999998</v>
      </c>
      <c r="P205" s="12">
        <v>42.261800000000001</v>
      </c>
      <c r="Q205" s="12">
        <v>645.23202800000001</v>
      </c>
      <c r="R205" s="15">
        <v>4874.777161</v>
      </c>
      <c r="S205" s="15">
        <v>690.36612600000001</v>
      </c>
      <c r="T205" s="15">
        <v>4874.7771665568916</v>
      </c>
      <c r="AP205" s="12">
        <f t="shared" si="27"/>
        <v>1.9087837761430431</v>
      </c>
      <c r="AQ205" s="12">
        <f t="shared" si="28"/>
        <v>0.87689716121304206</v>
      </c>
      <c r="AU205" s="12">
        <f t="shared" si="29"/>
        <v>0.62317439500547822</v>
      </c>
      <c r="AV205" s="12">
        <f t="shared" si="30"/>
        <v>0.66705532190501204</v>
      </c>
      <c r="AW205" s="12">
        <f t="shared" si="31"/>
        <v>0.76095493984554596</v>
      </c>
      <c r="AX205" s="12">
        <f t="shared" si="32"/>
        <v>0.8397252838260556</v>
      </c>
      <c r="AY205" s="12">
        <f t="shared" si="33"/>
        <v>0.27087622865093303</v>
      </c>
      <c r="AZ205" s="12">
        <f t="shared" si="34"/>
        <v>0.66614985637147495</v>
      </c>
    </row>
    <row r="206" spans="1:52" x14ac:dyDescent="0.55000000000000004">
      <c r="A206" s="12" t="s">
        <v>438</v>
      </c>
      <c r="B206" s="12" t="s">
        <v>439</v>
      </c>
      <c r="C206" s="12" t="s">
        <v>322</v>
      </c>
      <c r="D206" s="12" t="s">
        <v>9</v>
      </c>
      <c r="E206" s="12">
        <v>2004</v>
      </c>
      <c r="F206" s="12">
        <v>70.433895000000007</v>
      </c>
      <c r="G206" s="12">
        <v>37.322429999999997</v>
      </c>
      <c r="H206" s="14">
        <f t="shared" si="35"/>
        <v>74794.149720000001</v>
      </c>
      <c r="I206" s="12">
        <v>43.682859000000001</v>
      </c>
      <c r="J206" s="12">
        <v>15.475534</v>
      </c>
      <c r="K206" s="12">
        <v>16.313345000000002</v>
      </c>
      <c r="L206" s="12">
        <v>46.915629000000003</v>
      </c>
      <c r="M206" s="12">
        <v>43.752443</v>
      </c>
      <c r="N206" s="12">
        <v>10.71724</v>
      </c>
      <c r="O206" s="12">
        <v>14.657685000000001</v>
      </c>
      <c r="P206" s="12">
        <v>45.797680999999997</v>
      </c>
      <c r="Q206" s="12">
        <v>476.07970799999998</v>
      </c>
      <c r="R206" s="15">
        <v>188.64142699999999</v>
      </c>
      <c r="S206" s="15">
        <v>1032.8077720000001</v>
      </c>
      <c r="T206" s="15">
        <v>1040.4679459333017</v>
      </c>
      <c r="AP206" s="12">
        <f t="shared" si="27"/>
        <v>1.2570357557104404</v>
      </c>
      <c r="AQ206" s="12">
        <f t="shared" si="28"/>
        <v>1.2270819718866108</v>
      </c>
      <c r="AU206" s="12">
        <f t="shared" si="29"/>
        <v>0.93109396444413006</v>
      </c>
      <c r="AV206" s="12">
        <f t="shared" si="30"/>
        <v>0.32985881954177781</v>
      </c>
      <c r="AW206" s="12">
        <f t="shared" si="31"/>
        <v>0.34771664257128476</v>
      </c>
      <c r="AX206" s="12">
        <f t="shared" si="32"/>
        <v>0.95534188728900926</v>
      </c>
      <c r="AY206" s="12">
        <f t="shared" si="33"/>
        <v>0.23401272217254845</v>
      </c>
      <c r="AZ206" s="12">
        <f t="shared" si="34"/>
        <v>0.32005299569644152</v>
      </c>
    </row>
    <row r="207" spans="1:52" x14ac:dyDescent="0.55000000000000004">
      <c r="A207" s="12" t="s">
        <v>233</v>
      </c>
      <c r="B207" s="12" t="s">
        <v>231</v>
      </c>
      <c r="C207" s="12" t="s">
        <v>170</v>
      </c>
      <c r="D207" s="12" t="s">
        <v>9</v>
      </c>
      <c r="E207" s="12">
        <v>1813</v>
      </c>
      <c r="F207" s="12">
        <v>70.817017000000007</v>
      </c>
      <c r="G207" s="12">
        <v>40.496174000000003</v>
      </c>
      <c r="H207" s="14">
        <f t="shared" si="35"/>
        <v>73419.563462000006</v>
      </c>
      <c r="I207" s="12">
        <v>39.079805999999998</v>
      </c>
      <c r="J207" s="12">
        <v>10.238030999999999</v>
      </c>
      <c r="K207" s="12">
        <v>24.374130999999998</v>
      </c>
      <c r="L207" s="12">
        <v>42.426571000000003</v>
      </c>
      <c r="M207" s="12">
        <v>37.394593999999998</v>
      </c>
      <c r="N207" s="12">
        <v>3.347483</v>
      </c>
      <c r="O207" s="12">
        <v>7.578786</v>
      </c>
      <c r="P207" s="12">
        <v>37.817954</v>
      </c>
      <c r="Q207" s="12">
        <v>794.96825100000001</v>
      </c>
      <c r="R207" s="15">
        <v>38.075837</v>
      </c>
      <c r="S207" s="15">
        <v>923.248964</v>
      </c>
      <c r="T207" s="15">
        <v>945.4287769009959</v>
      </c>
      <c r="AP207" s="12">
        <f t="shared" si="27"/>
        <v>1.0476686266707567</v>
      </c>
      <c r="AQ207" s="12">
        <f t="shared" si="28"/>
        <v>0.93386486338190855</v>
      </c>
      <c r="AU207" s="12">
        <f t="shared" si="29"/>
        <v>0.92111629761453018</v>
      </c>
      <c r="AV207" s="12">
        <f t="shared" si="30"/>
        <v>0.24131177134253906</v>
      </c>
      <c r="AW207" s="12">
        <f t="shared" si="31"/>
        <v>0.57450155469788022</v>
      </c>
      <c r="AX207" s="12">
        <f t="shared" si="32"/>
        <v>0.98880531717818465</v>
      </c>
      <c r="AY207" s="12">
        <f t="shared" si="33"/>
        <v>8.8515708702802912E-2</v>
      </c>
      <c r="AZ207" s="12">
        <f t="shared" si="34"/>
        <v>0.20040179857429621</v>
      </c>
    </row>
    <row r="208" spans="1:52" x14ac:dyDescent="0.55000000000000004">
      <c r="A208" s="12" t="s">
        <v>234</v>
      </c>
      <c r="B208" s="12" t="s">
        <v>229</v>
      </c>
      <c r="C208" s="12" t="s">
        <v>8</v>
      </c>
      <c r="D208" s="12" t="s">
        <v>9</v>
      </c>
      <c r="E208" s="12">
        <v>1439</v>
      </c>
      <c r="F208" s="12">
        <v>70.247593000000009</v>
      </c>
      <c r="G208" s="12">
        <v>38.256264000000002</v>
      </c>
      <c r="H208" s="14">
        <f t="shared" si="35"/>
        <v>55050.763896000004</v>
      </c>
      <c r="I208" s="12">
        <v>112.088048</v>
      </c>
      <c r="J208" s="12">
        <v>21.302531999999999</v>
      </c>
      <c r="K208" s="12">
        <v>25.816828000000001</v>
      </c>
      <c r="L208" s="12">
        <v>114.422155</v>
      </c>
      <c r="M208" s="12">
        <v>57.849012000000002</v>
      </c>
      <c r="N208" s="12">
        <v>19.212622</v>
      </c>
      <c r="O208" s="12">
        <v>18.774177999999999</v>
      </c>
      <c r="P208" s="12">
        <v>61.830858999999997</v>
      </c>
      <c r="Q208" s="12">
        <v>2055.2492569999999</v>
      </c>
      <c r="R208" s="15">
        <v>1335.8250149999999</v>
      </c>
      <c r="S208" s="15">
        <v>1049.6974230000001</v>
      </c>
      <c r="T208" s="15">
        <v>2234.4014171214758</v>
      </c>
      <c r="AP208" s="12">
        <f t="shared" si="27"/>
        <v>2.9909390786303649</v>
      </c>
      <c r="AQ208" s="12">
        <f t="shared" si="28"/>
        <v>1.6162283645888682</v>
      </c>
      <c r="AU208" s="12">
        <f t="shared" si="29"/>
        <v>0.979600917322349</v>
      </c>
      <c r="AV208" s="12">
        <f t="shared" si="30"/>
        <v>0.18617488894523965</v>
      </c>
      <c r="AW208" s="12">
        <f t="shared" si="31"/>
        <v>0.22562787774797635</v>
      </c>
      <c r="AX208" s="12">
        <f t="shared" si="32"/>
        <v>0.93560097555817567</v>
      </c>
      <c r="AY208" s="12">
        <f t="shared" si="33"/>
        <v>0.31072869293308703</v>
      </c>
      <c r="AZ208" s="12">
        <f t="shared" si="34"/>
        <v>0.30363767063304103</v>
      </c>
    </row>
    <row r="209" spans="1:52" x14ac:dyDescent="0.55000000000000004">
      <c r="A209" s="12" t="s">
        <v>440</v>
      </c>
      <c r="B209" s="12" t="s">
        <v>441</v>
      </c>
      <c r="C209" s="12" t="s">
        <v>322</v>
      </c>
      <c r="D209" s="12" t="s">
        <v>9</v>
      </c>
      <c r="E209" s="12">
        <v>1932</v>
      </c>
      <c r="F209" s="12">
        <v>69.678424000000007</v>
      </c>
      <c r="G209" s="12">
        <v>52.422179999999997</v>
      </c>
      <c r="H209" s="14">
        <f t="shared" si="35"/>
        <v>101279.65175999999</v>
      </c>
      <c r="I209" s="12">
        <v>65.361711</v>
      </c>
      <c r="J209" s="12">
        <v>24.166134</v>
      </c>
      <c r="K209" s="12">
        <v>30.049906</v>
      </c>
      <c r="L209" s="12">
        <v>74.689871999999994</v>
      </c>
      <c r="M209" s="12">
        <v>35.881833999999998</v>
      </c>
      <c r="N209" s="12">
        <v>16.733823999999998</v>
      </c>
      <c r="O209" s="12">
        <v>7.7709060000000001</v>
      </c>
      <c r="P209" s="12">
        <v>39.849916</v>
      </c>
      <c r="Q209" s="12">
        <v>346.17202200000003</v>
      </c>
      <c r="R209" s="15">
        <v>97.38073</v>
      </c>
      <c r="S209" s="15">
        <v>1090.003694</v>
      </c>
      <c r="T209" s="15">
        <v>1103.4823293383124</v>
      </c>
      <c r="AP209" s="12">
        <f t="shared" si="27"/>
        <v>1.4247761539104249</v>
      </c>
      <c r="AQ209" s="12">
        <f t="shared" si="28"/>
        <v>0.76017281234775058</v>
      </c>
      <c r="AU209" s="12">
        <f t="shared" si="29"/>
        <v>0.87510808694383635</v>
      </c>
      <c r="AV209" s="12">
        <f t="shared" si="30"/>
        <v>0.3235530246992524</v>
      </c>
      <c r="AW209" s="12">
        <f t="shared" si="31"/>
        <v>0.40232906008996777</v>
      </c>
      <c r="AX209" s="12">
        <f t="shared" si="32"/>
        <v>0.90042433213660966</v>
      </c>
      <c r="AY209" s="12">
        <f t="shared" si="33"/>
        <v>0.41992118628305258</v>
      </c>
      <c r="AZ209" s="12">
        <f t="shared" si="34"/>
        <v>0.19500432573057369</v>
      </c>
    </row>
    <row r="210" spans="1:52" x14ac:dyDescent="0.55000000000000004">
      <c r="A210" s="12" t="s">
        <v>442</v>
      </c>
      <c r="B210" s="12" t="s">
        <v>443</v>
      </c>
      <c r="C210" s="12" t="s">
        <v>322</v>
      </c>
      <c r="D210" s="12" t="s">
        <v>9</v>
      </c>
      <c r="E210" s="12">
        <v>1640</v>
      </c>
      <c r="F210" s="12">
        <v>67.192667</v>
      </c>
      <c r="G210" s="12">
        <v>41.262847999999998</v>
      </c>
      <c r="H210" s="14">
        <f t="shared" si="35"/>
        <v>67671.070720000003</v>
      </c>
      <c r="I210" s="12">
        <v>45.058627000000001</v>
      </c>
      <c r="J210" s="12">
        <v>8.5957070000000009</v>
      </c>
      <c r="K210" s="12">
        <v>25.988574</v>
      </c>
      <c r="L210" s="12">
        <v>50.623035999999999</v>
      </c>
      <c r="M210" s="12">
        <v>36.262973000000002</v>
      </c>
      <c r="N210" s="12">
        <v>8.9196399999999993</v>
      </c>
      <c r="O210" s="12">
        <v>7.4209240000000003</v>
      </c>
      <c r="P210" s="12">
        <v>36.957689999999999</v>
      </c>
      <c r="Q210" s="12">
        <v>444.44920000000002</v>
      </c>
      <c r="R210" s="15">
        <v>120.799114</v>
      </c>
      <c r="S210" s="15">
        <v>884.50113699999997</v>
      </c>
      <c r="T210" s="15">
        <v>884.62893387539361</v>
      </c>
      <c r="AP210" s="12">
        <f t="shared" si="27"/>
        <v>1.2268429944535093</v>
      </c>
      <c r="AQ210" s="12">
        <f t="shared" si="28"/>
        <v>0.89566503019859423</v>
      </c>
      <c r="AU210" s="12">
        <f t="shared" si="29"/>
        <v>0.89008148385252917</v>
      </c>
      <c r="AV210" s="12">
        <f t="shared" si="30"/>
        <v>0.16979833054659149</v>
      </c>
      <c r="AW210" s="12">
        <f t="shared" si="31"/>
        <v>0.51337446454218982</v>
      </c>
      <c r="AX210" s="12">
        <f t="shared" si="32"/>
        <v>0.98120236952038953</v>
      </c>
      <c r="AY210" s="12">
        <f t="shared" si="33"/>
        <v>0.24134733529070673</v>
      </c>
      <c r="AZ210" s="12">
        <f t="shared" si="34"/>
        <v>0.20079512545291658</v>
      </c>
    </row>
    <row r="211" spans="1:52" x14ac:dyDescent="0.55000000000000004">
      <c r="A211" s="12" t="s">
        <v>235</v>
      </c>
      <c r="B211" s="12" t="s">
        <v>236</v>
      </c>
      <c r="C211" s="12" t="s">
        <v>8</v>
      </c>
      <c r="D211" s="12" t="s">
        <v>9</v>
      </c>
      <c r="E211" s="12">
        <v>1760</v>
      </c>
      <c r="F211" s="12">
        <v>68.196453000000005</v>
      </c>
      <c r="G211" s="12">
        <v>48.740330999999998</v>
      </c>
      <c r="H211" s="14">
        <f t="shared" si="35"/>
        <v>85782.982559999989</v>
      </c>
      <c r="I211" s="12">
        <v>47.754246000000002</v>
      </c>
      <c r="J211" s="12">
        <v>21.230599999999999</v>
      </c>
      <c r="K211" s="12">
        <v>25.516881000000001</v>
      </c>
      <c r="L211" s="12">
        <v>55.650379999999998</v>
      </c>
      <c r="M211" s="12">
        <v>43.067103000000003</v>
      </c>
      <c r="N211" s="12">
        <v>24.268367000000001</v>
      </c>
      <c r="O211" s="12">
        <v>13.735772000000001</v>
      </c>
      <c r="P211" s="12">
        <v>48.255522999999997</v>
      </c>
      <c r="Q211" s="12">
        <v>517.50387599999999</v>
      </c>
      <c r="R211" s="15">
        <v>434.95913200000001</v>
      </c>
      <c r="S211" s="15">
        <v>1088.2299399999999</v>
      </c>
      <c r="T211" s="15">
        <v>1116.7203535792287</v>
      </c>
      <c r="AP211" s="12">
        <f t="shared" si="27"/>
        <v>1.1417727138537488</v>
      </c>
      <c r="AQ211" s="12">
        <f t="shared" si="28"/>
        <v>0.99005324768926983</v>
      </c>
      <c r="AU211" s="12">
        <f t="shared" si="29"/>
        <v>0.85811176850903814</v>
      </c>
      <c r="AV211" s="12">
        <f t="shared" si="30"/>
        <v>0.38149964115249529</v>
      </c>
      <c r="AW211" s="12">
        <f t="shared" si="31"/>
        <v>0.45852123561420427</v>
      </c>
      <c r="AX211" s="12">
        <f t="shared" si="32"/>
        <v>0.89248028666065859</v>
      </c>
      <c r="AY211" s="12">
        <f t="shared" si="33"/>
        <v>0.50291377009839899</v>
      </c>
      <c r="AZ211" s="12">
        <f t="shared" si="34"/>
        <v>0.28464662998264473</v>
      </c>
    </row>
    <row r="212" spans="1:52" x14ac:dyDescent="0.55000000000000004">
      <c r="A212" s="12" t="s">
        <v>237</v>
      </c>
      <c r="B212" s="12" t="s">
        <v>238</v>
      </c>
      <c r="C212" s="12" t="s">
        <v>8</v>
      </c>
      <c r="D212" s="12" t="s">
        <v>9</v>
      </c>
      <c r="E212" s="12">
        <v>1323</v>
      </c>
      <c r="F212" s="12">
        <v>68.969121999999999</v>
      </c>
      <c r="G212" s="12">
        <v>36.573723999999999</v>
      </c>
      <c r="H212" s="14">
        <f t="shared" si="35"/>
        <v>48387.036851999997</v>
      </c>
      <c r="I212" s="12">
        <v>58.771740999999999</v>
      </c>
      <c r="J212" s="12">
        <v>21.332868000000001</v>
      </c>
      <c r="K212" s="12">
        <v>29.130118</v>
      </c>
      <c r="L212" s="12">
        <v>63.432462000000001</v>
      </c>
      <c r="M212" s="12">
        <v>34.623125000000002</v>
      </c>
      <c r="N212" s="12">
        <v>18.683425</v>
      </c>
      <c r="O212" s="12">
        <v>17.595972</v>
      </c>
      <c r="P212" s="12">
        <v>39.364263000000001</v>
      </c>
      <c r="Q212" s="12">
        <v>835.37786100000005</v>
      </c>
      <c r="R212" s="15">
        <v>49.082841999999999</v>
      </c>
      <c r="S212" s="15">
        <v>1307.4763829999999</v>
      </c>
      <c r="T212" s="15">
        <v>1349.9372354003056</v>
      </c>
      <c r="AP212" s="12">
        <f t="shared" si="27"/>
        <v>1.7343725238370586</v>
      </c>
      <c r="AQ212" s="12">
        <f t="shared" si="28"/>
        <v>1.076299011826086</v>
      </c>
      <c r="AU212" s="12">
        <f t="shared" si="29"/>
        <v>0.92652467123221538</v>
      </c>
      <c r="AV212" s="12">
        <f t="shared" si="30"/>
        <v>0.33630837157164106</v>
      </c>
      <c r="AW212" s="12">
        <f t="shared" si="31"/>
        <v>0.45923044891431142</v>
      </c>
      <c r="AX212" s="12">
        <f t="shared" si="32"/>
        <v>0.87955730302889201</v>
      </c>
      <c r="AY212" s="12">
        <f t="shared" si="33"/>
        <v>0.47462910711677747</v>
      </c>
      <c r="AZ212" s="12">
        <f t="shared" si="34"/>
        <v>0.44700372010013245</v>
      </c>
    </row>
    <row r="213" spans="1:52" x14ac:dyDescent="0.55000000000000004">
      <c r="A213" s="12" t="s">
        <v>586</v>
      </c>
      <c r="B213" s="12" t="s">
        <v>587</v>
      </c>
      <c r="C213" s="12" t="s">
        <v>322</v>
      </c>
      <c r="D213" s="12" t="s">
        <v>9</v>
      </c>
      <c r="E213" s="12">
        <v>1948</v>
      </c>
      <c r="F213" s="12">
        <v>68.69368880786223</v>
      </c>
      <c r="G213" s="12">
        <v>65.547708260833062</v>
      </c>
      <c r="H213" s="14">
        <f t="shared" si="35"/>
        <v>127686.93569210281</v>
      </c>
      <c r="I213" s="12">
        <v>48.854607010339699</v>
      </c>
      <c r="J213" s="12">
        <v>20.76552817073518</v>
      </c>
      <c r="K213" s="12">
        <v>24.524678265141411</v>
      </c>
      <c r="L213" s="12">
        <v>52.712895861849404</v>
      </c>
      <c r="M213" s="12">
        <v>45.019854606920035</v>
      </c>
      <c r="N213" s="12">
        <v>20.146988009022195</v>
      </c>
      <c r="O213" s="12">
        <v>14.715894810775296</v>
      </c>
      <c r="P213" s="12">
        <v>48.609071735029332</v>
      </c>
      <c r="Q213" s="12">
        <v>794.99791123706859</v>
      </c>
      <c r="R213" s="15">
        <v>191.86722353890212</v>
      </c>
      <c r="S213" s="15">
        <v>1236.523887272177</v>
      </c>
      <c r="T213" s="15">
        <v>1279.5754872961097</v>
      </c>
      <c r="AP213" s="12">
        <f t="shared" si="27"/>
        <v>0.80419128693393416</v>
      </c>
      <c r="AQ213" s="12">
        <f t="shared" si="28"/>
        <v>0.74158308543145313</v>
      </c>
      <c r="AU213" s="12">
        <f t="shared" si="29"/>
        <v>0.92680559873580926</v>
      </c>
      <c r="AV213" s="12">
        <f t="shared" si="30"/>
        <v>0.39393639509310452</v>
      </c>
      <c r="AW213" s="12">
        <f t="shared" si="31"/>
        <v>0.46525006574133176</v>
      </c>
      <c r="AX213" s="12">
        <f t="shared" si="32"/>
        <v>0.92616157848735903</v>
      </c>
      <c r="AY213" s="12">
        <f t="shared" si="33"/>
        <v>0.41446971295490914</v>
      </c>
      <c r="AZ213" s="12">
        <f t="shared" si="34"/>
        <v>0.30273967976579413</v>
      </c>
    </row>
    <row r="214" spans="1:52" x14ac:dyDescent="0.55000000000000004">
      <c r="A214" s="12" t="s">
        <v>588</v>
      </c>
      <c r="B214" s="12" t="s">
        <v>589</v>
      </c>
      <c r="C214" s="12" t="s">
        <v>51</v>
      </c>
      <c r="D214" s="12" t="s">
        <v>9</v>
      </c>
      <c r="E214" s="12">
        <v>1551</v>
      </c>
      <c r="F214" s="12">
        <v>66.715334715642882</v>
      </c>
      <c r="G214" s="12">
        <v>48.491247885149917</v>
      </c>
      <c r="H214" s="14">
        <f t="shared" si="35"/>
        <v>75209.925469867521</v>
      </c>
      <c r="I214" s="12">
        <v>50.529286972894845</v>
      </c>
      <c r="J214" s="12">
        <v>17.857727015101528</v>
      </c>
      <c r="K214" s="12">
        <v>33.730598498566906</v>
      </c>
      <c r="L214" s="12">
        <v>59.168833871287148</v>
      </c>
      <c r="M214" s="12">
        <v>44.486552330367395</v>
      </c>
      <c r="N214" s="12">
        <v>24.066405743010506</v>
      </c>
      <c r="O214" s="12">
        <v>12.007829902703151</v>
      </c>
      <c r="P214" s="12">
        <v>51.452316130274951</v>
      </c>
      <c r="Q214" s="12">
        <v>478.58099209907198</v>
      </c>
      <c r="R214" s="15">
        <v>672.60363426918957</v>
      </c>
      <c r="S214" s="15">
        <v>1100.3565422317145</v>
      </c>
      <c r="T214" s="15">
        <v>1111.7246702143727</v>
      </c>
      <c r="AP214" s="12">
        <f t="shared" si="27"/>
        <v>1.2201961477961296</v>
      </c>
      <c r="AQ214" s="12">
        <f t="shared" si="28"/>
        <v>1.0610639728665725</v>
      </c>
      <c r="AU214" s="12">
        <f t="shared" si="29"/>
        <v>0.85398483740297582</v>
      </c>
      <c r="AV214" s="12">
        <f t="shared" si="30"/>
        <v>0.30180968335371139</v>
      </c>
      <c r="AW214" s="12">
        <f t="shared" si="31"/>
        <v>0.57007374138795308</v>
      </c>
      <c r="AX214" s="12">
        <f t="shared" si="32"/>
        <v>0.86461709940772047</v>
      </c>
      <c r="AY214" s="12">
        <f t="shared" si="33"/>
        <v>0.46774193181266027</v>
      </c>
      <c r="AZ214" s="12">
        <f t="shared" si="34"/>
        <v>0.23337783030602285</v>
      </c>
    </row>
    <row r="215" spans="1:52" x14ac:dyDescent="0.55000000000000004">
      <c r="A215" s="12" t="s">
        <v>590</v>
      </c>
      <c r="B215" s="12" t="s">
        <v>591</v>
      </c>
      <c r="C215" s="12" t="s">
        <v>8</v>
      </c>
      <c r="D215" s="12" t="s">
        <v>9</v>
      </c>
      <c r="E215" s="12">
        <v>1652</v>
      </c>
      <c r="F215" s="12">
        <v>70.580423125488139</v>
      </c>
      <c r="G215" s="12">
        <v>51.984149458016134</v>
      </c>
      <c r="H215" s="14">
        <f t="shared" si="35"/>
        <v>85877.814904642655</v>
      </c>
      <c r="I215" s="12">
        <v>66.714118658376123</v>
      </c>
      <c r="J215" s="12">
        <v>18.129462018383581</v>
      </c>
      <c r="K215" s="12">
        <v>27.64814430074178</v>
      </c>
      <c r="L215" s="12">
        <v>72.091847526428694</v>
      </c>
      <c r="M215" s="12">
        <v>36.373540305625355</v>
      </c>
      <c r="N215" s="12">
        <v>12.112405419387837</v>
      </c>
      <c r="O215" s="12">
        <v>21.586483671625693</v>
      </c>
      <c r="P215" s="12">
        <v>37.520352768237018</v>
      </c>
      <c r="Q215" s="12">
        <v>862.25416139652043</v>
      </c>
      <c r="R215" s="15">
        <v>286.47054190134145</v>
      </c>
      <c r="S215" s="15">
        <v>872.19610911357256</v>
      </c>
      <c r="T215" s="15">
        <v>1080.3818758550703</v>
      </c>
      <c r="AP215" s="12">
        <f t="shared" si="27"/>
        <v>1.3868044063056586</v>
      </c>
      <c r="AQ215" s="12">
        <f t="shared" si="28"/>
        <v>0.72176525266686364</v>
      </c>
      <c r="AU215" s="12">
        <f t="shared" si="29"/>
        <v>0.92540447980500007</v>
      </c>
      <c r="AV215" s="12">
        <f t="shared" si="30"/>
        <v>0.25147728405403075</v>
      </c>
      <c r="AW215" s="12">
        <f t="shared" si="31"/>
        <v>0.38351277223969105</v>
      </c>
      <c r="AX215" s="12">
        <f t="shared" si="32"/>
        <v>0.96943492323498348</v>
      </c>
      <c r="AY215" s="12">
        <f t="shared" si="33"/>
        <v>0.3228222691349969</v>
      </c>
      <c r="AZ215" s="12">
        <f t="shared" si="34"/>
        <v>0.57532731115203706</v>
      </c>
    </row>
    <row r="216" spans="1:52" x14ac:dyDescent="0.55000000000000004">
      <c r="A216" s="12" t="s">
        <v>592</v>
      </c>
      <c r="B216" s="12" t="s">
        <v>593</v>
      </c>
      <c r="C216" s="12" t="s">
        <v>51</v>
      </c>
      <c r="D216" s="12" t="s">
        <v>9</v>
      </c>
      <c r="E216" s="12">
        <v>1195</v>
      </c>
      <c r="F216" s="12">
        <v>67.099785958085235</v>
      </c>
      <c r="G216" s="12">
        <v>40.068157255682706</v>
      </c>
      <c r="H216" s="14">
        <f t="shared" si="35"/>
        <v>47881.447920540835</v>
      </c>
      <c r="I216" s="12">
        <v>42.979215031990435</v>
      </c>
      <c r="J216" s="12">
        <v>24.383876221232487</v>
      </c>
      <c r="K216" s="12">
        <v>23.060729002141358</v>
      </c>
      <c r="L216" s="12">
        <v>50.238817509481024</v>
      </c>
      <c r="M216" s="12">
        <v>37.916346867380604</v>
      </c>
      <c r="N216" s="12">
        <v>23.075514903328383</v>
      </c>
      <c r="O216" s="12">
        <v>6.3208271993903971</v>
      </c>
      <c r="P216" s="12">
        <v>42.915307580540585</v>
      </c>
      <c r="Q216" s="12">
        <v>401.97841307250349</v>
      </c>
      <c r="R216" s="15">
        <v>73.41236232</v>
      </c>
      <c r="S216" s="15">
        <v>1208.1222453750279</v>
      </c>
      <c r="T216" s="15">
        <v>1236.7973960324271</v>
      </c>
      <c r="AP216" s="12">
        <f t="shared" si="27"/>
        <v>1.2538339906399327</v>
      </c>
      <c r="AQ216" s="12">
        <f t="shared" si="28"/>
        <v>1.07105768070864</v>
      </c>
      <c r="AU216" s="12">
        <f t="shared" si="29"/>
        <v>0.85549814192739382</v>
      </c>
      <c r="AV216" s="12">
        <f t="shared" si="30"/>
        <v>0.48535927854254901</v>
      </c>
      <c r="AW216" s="12">
        <f t="shared" si="31"/>
        <v>0.45902212960703859</v>
      </c>
      <c r="AX216" s="12">
        <f t="shared" si="32"/>
        <v>0.88351567319473912</v>
      </c>
      <c r="AY216" s="12">
        <f t="shared" si="33"/>
        <v>0.53769892852385592</v>
      </c>
      <c r="AZ216" s="12">
        <f t="shared" si="34"/>
        <v>0.14728607473051172</v>
      </c>
    </row>
    <row r="217" spans="1:52" x14ac:dyDescent="0.55000000000000004">
      <c r="A217" s="12" t="s">
        <v>594</v>
      </c>
      <c r="B217" s="12" t="s">
        <v>595</v>
      </c>
      <c r="C217" s="12" t="s">
        <v>8</v>
      </c>
      <c r="D217" s="12" t="s">
        <v>9</v>
      </c>
      <c r="E217" s="12">
        <v>1454</v>
      </c>
      <c r="F217" s="12">
        <v>69.929138630151598</v>
      </c>
      <c r="G217" s="12">
        <v>43.95069158414627</v>
      </c>
      <c r="H217" s="14">
        <f t="shared" si="35"/>
        <v>63904.30556334868</v>
      </c>
      <c r="I217" s="12">
        <v>49.029025211395194</v>
      </c>
      <c r="J217" s="12">
        <v>14.419869520652766</v>
      </c>
      <c r="K217" s="12">
        <v>28.704797575197826</v>
      </c>
      <c r="L217" s="12">
        <v>53.13600117545306</v>
      </c>
      <c r="M217" s="12">
        <v>38.614997399866077</v>
      </c>
      <c r="N217" s="12">
        <v>18.662254054643928</v>
      </c>
      <c r="O217" s="12">
        <v>11.558200889082586</v>
      </c>
      <c r="P217" s="12">
        <v>41.625136876424122</v>
      </c>
      <c r="Q217" s="12">
        <v>707.95387666972056</v>
      </c>
      <c r="R217" s="15">
        <v>2422.0120479996763</v>
      </c>
      <c r="S217" s="15">
        <v>1191.4650143115143</v>
      </c>
      <c r="T217" s="15">
        <v>2425.3932544626641</v>
      </c>
      <c r="AP217" s="12">
        <f t="shared" si="27"/>
        <v>1.2089912413259973</v>
      </c>
      <c r="AQ217" s="12">
        <f t="shared" si="28"/>
        <v>0.9470871873934058</v>
      </c>
      <c r="AU217" s="12">
        <f t="shared" si="29"/>
        <v>0.92270822280177256</v>
      </c>
      <c r="AV217" s="12">
        <f t="shared" si="30"/>
        <v>0.27137664110324944</v>
      </c>
      <c r="AW217" s="12">
        <f t="shared" si="31"/>
        <v>0.54021373344252377</v>
      </c>
      <c r="AX217" s="12">
        <f t="shared" si="32"/>
        <v>0.92768457469594667</v>
      </c>
      <c r="AY217" s="12">
        <f t="shared" si="33"/>
        <v>0.44834096546152041</v>
      </c>
      <c r="AZ217" s="12">
        <f t="shared" si="34"/>
        <v>0.27767358275352566</v>
      </c>
    </row>
    <row r="218" spans="1:52" x14ac:dyDescent="0.55000000000000004">
      <c r="A218" s="12" t="s">
        <v>596</v>
      </c>
      <c r="B218" s="12" t="s">
        <v>597</v>
      </c>
      <c r="C218" s="12" t="s">
        <v>8</v>
      </c>
      <c r="D218" s="12" t="s">
        <v>9</v>
      </c>
      <c r="E218" s="12">
        <v>1853</v>
      </c>
      <c r="F218" s="12">
        <v>77.164926330845375</v>
      </c>
      <c r="G218" s="12">
        <v>36.417607860130197</v>
      </c>
      <c r="H218" s="14">
        <f t="shared" si="35"/>
        <v>67481.827364821249</v>
      </c>
      <c r="I218" s="12">
        <v>36.478325877423572</v>
      </c>
      <c r="J218" s="12">
        <v>52.584631752295138</v>
      </c>
      <c r="K218" s="12">
        <v>27.592895290249167</v>
      </c>
      <c r="L218" s="12">
        <v>55.219745647172672</v>
      </c>
      <c r="M218" s="12">
        <v>43.306042037124001</v>
      </c>
      <c r="N218" s="12">
        <v>19.531391698015938</v>
      </c>
      <c r="O218" s="12">
        <v>19.386968338527069</v>
      </c>
      <c r="P218" s="12">
        <v>49.720663114510529</v>
      </c>
      <c r="Q218" s="12">
        <v>668.57804100735154</v>
      </c>
      <c r="R218" s="15">
        <v>137.18258533496967</v>
      </c>
      <c r="S218" s="15">
        <v>1180.9106131434705</v>
      </c>
      <c r="T218" s="15">
        <v>1336.1224538522647</v>
      </c>
      <c r="AP218" s="12">
        <f t="shared" si="27"/>
        <v>1.5162924994759734</v>
      </c>
      <c r="AQ218" s="12">
        <f t="shared" si="28"/>
        <v>1.3652918474347253</v>
      </c>
      <c r="AU218" s="12">
        <f t="shared" si="29"/>
        <v>0.66060293197477471</v>
      </c>
      <c r="AV218" s="12">
        <f t="shared" si="30"/>
        <v>0.95227949958852343</v>
      </c>
      <c r="AW218" s="12">
        <f t="shared" si="31"/>
        <v>0.49969254596995705</v>
      </c>
      <c r="AX218" s="12">
        <f t="shared" si="32"/>
        <v>0.87098681563009006</v>
      </c>
      <c r="AY218" s="12">
        <f t="shared" si="33"/>
        <v>0.39282242984237026</v>
      </c>
      <c r="AZ218" s="12">
        <f t="shared" si="34"/>
        <v>0.38991773488373199</v>
      </c>
    </row>
    <row r="219" spans="1:52" x14ac:dyDescent="0.55000000000000004">
      <c r="A219" s="12" t="s">
        <v>598</v>
      </c>
      <c r="B219" s="12" t="s">
        <v>599</v>
      </c>
      <c r="C219" s="12" t="s">
        <v>134</v>
      </c>
      <c r="D219" s="12" t="s">
        <v>9</v>
      </c>
      <c r="E219" s="12">
        <v>1471</v>
      </c>
      <c r="F219" s="12">
        <v>69.209220920591576</v>
      </c>
      <c r="G219" s="12">
        <v>43.05805263421302</v>
      </c>
      <c r="H219" s="14">
        <f t="shared" si="35"/>
        <v>63338.395424927352</v>
      </c>
      <c r="I219" s="12">
        <v>55.225274568444462</v>
      </c>
      <c r="J219" s="12">
        <v>20.913642286085434</v>
      </c>
      <c r="K219" s="12">
        <v>27.23403219459766</v>
      </c>
      <c r="L219" s="12">
        <v>62.239822952556985</v>
      </c>
      <c r="M219" s="12">
        <v>42.262865290222479</v>
      </c>
      <c r="N219" s="12">
        <v>16.602703766786071</v>
      </c>
      <c r="O219" s="12">
        <v>11.518225158841876</v>
      </c>
      <c r="P219" s="12">
        <v>46.306562283212095</v>
      </c>
      <c r="Q219" s="12">
        <v>500.95543747688566</v>
      </c>
      <c r="R219" s="15">
        <v>135.02165414338711</v>
      </c>
      <c r="S219" s="15">
        <v>1000.6294009997549</v>
      </c>
      <c r="T219" s="15">
        <v>1115.7597295118835</v>
      </c>
      <c r="AP219" s="12">
        <f t="shared" si="27"/>
        <v>1.4454862480961932</v>
      </c>
      <c r="AQ219" s="12">
        <f t="shared" si="28"/>
        <v>1.0754448808123263</v>
      </c>
      <c r="AU219" s="12">
        <f t="shared" si="29"/>
        <v>0.88729806655363652</v>
      </c>
      <c r="AV219" s="12">
        <f t="shared" si="30"/>
        <v>0.33601705939984916</v>
      </c>
      <c r="AW219" s="12">
        <f t="shared" si="31"/>
        <v>0.43756602931465777</v>
      </c>
      <c r="AX219" s="12">
        <f t="shared" si="32"/>
        <v>0.91267550874845205</v>
      </c>
      <c r="AY219" s="12">
        <f t="shared" si="33"/>
        <v>0.35853889704106123</v>
      </c>
      <c r="AZ219" s="12">
        <f t="shared" si="34"/>
        <v>0.24873850683184215</v>
      </c>
    </row>
    <row r="220" spans="1:52" x14ac:dyDescent="0.55000000000000004">
      <c r="A220" s="12" t="s">
        <v>600</v>
      </c>
      <c r="B220" s="12" t="s">
        <v>601</v>
      </c>
      <c r="C220" s="12" t="s">
        <v>51</v>
      </c>
      <c r="D220" s="12" t="s">
        <v>9</v>
      </c>
      <c r="E220" s="12">
        <v>1681</v>
      </c>
      <c r="F220" s="12">
        <v>70.214922239355303</v>
      </c>
      <c r="G220" s="12">
        <v>33.028242967326946</v>
      </c>
      <c r="H220" s="14">
        <f t="shared" si="35"/>
        <v>55520.476428076596</v>
      </c>
      <c r="I220" s="12">
        <v>41.259907018666418</v>
      </c>
      <c r="J220" s="12">
        <v>11.858059342787572</v>
      </c>
      <c r="K220" s="12">
        <v>25.223438169137484</v>
      </c>
      <c r="L220" s="12">
        <v>47.908438190888084</v>
      </c>
      <c r="M220" s="12">
        <v>36.94316046242588</v>
      </c>
      <c r="N220" s="12">
        <v>12.929084477807988</v>
      </c>
      <c r="O220" s="12">
        <v>10.01770994583338</v>
      </c>
      <c r="P220" s="12">
        <v>38.219134320613378</v>
      </c>
      <c r="Q220" s="12">
        <v>425.39796756761291</v>
      </c>
      <c r="R220" s="15">
        <v>123.61922976796532</v>
      </c>
      <c r="S220" s="15">
        <v>1184.3361563429303</v>
      </c>
      <c r="T220" s="15">
        <v>1216.9061793170245</v>
      </c>
      <c r="AP220" s="12">
        <f t="shared" si="27"/>
        <v>1.4505294222971929</v>
      </c>
      <c r="AQ220" s="12">
        <f t="shared" si="28"/>
        <v>1.1571652285112926</v>
      </c>
      <c r="AU220" s="12">
        <f t="shared" si="29"/>
        <v>0.86122421386956882</v>
      </c>
      <c r="AV220" s="12">
        <f t="shared" si="30"/>
        <v>0.24751504725618267</v>
      </c>
      <c r="AW220" s="12">
        <f t="shared" si="31"/>
        <v>0.52649259966764772</v>
      </c>
      <c r="AX220" s="12">
        <f t="shared" si="32"/>
        <v>0.9666142658417225</v>
      </c>
      <c r="AY220" s="12">
        <f t="shared" si="33"/>
        <v>0.33828826077922763</v>
      </c>
      <c r="AZ220" s="12">
        <f t="shared" si="34"/>
        <v>0.26211242415374009</v>
      </c>
    </row>
    <row r="221" spans="1:52" x14ac:dyDescent="0.55000000000000004">
      <c r="A221" s="12" t="s">
        <v>602</v>
      </c>
      <c r="B221" s="12" t="s">
        <v>603</v>
      </c>
      <c r="C221" s="12" t="s">
        <v>51</v>
      </c>
      <c r="D221" s="12" t="s">
        <v>9</v>
      </c>
      <c r="E221" s="12">
        <v>1352</v>
      </c>
      <c r="F221" s="12">
        <v>69.925678077672814</v>
      </c>
      <c r="G221" s="12">
        <v>35.116997132275714</v>
      </c>
      <c r="H221" s="14">
        <f t="shared" si="35"/>
        <v>47478.180122836762</v>
      </c>
      <c r="I221" s="12">
        <v>60.431094237128789</v>
      </c>
      <c r="J221" s="12">
        <v>20.112080396589008</v>
      </c>
      <c r="K221" s="12">
        <v>32.835765862421582</v>
      </c>
      <c r="L221" s="12">
        <v>68.511718039336003</v>
      </c>
      <c r="M221" s="12">
        <v>46.456290121004685</v>
      </c>
      <c r="N221" s="12">
        <v>19.2857816345768</v>
      </c>
      <c r="O221" s="12">
        <v>11.858265136904773</v>
      </c>
      <c r="P221" s="12">
        <v>49.698304875143052</v>
      </c>
      <c r="Q221" s="12">
        <v>566.30626945256813</v>
      </c>
      <c r="R221" s="15">
        <v>99.599449997430384</v>
      </c>
      <c r="S221" s="15">
        <v>929.13895862963216</v>
      </c>
      <c r="T221" s="15">
        <v>1041.2707052199414</v>
      </c>
      <c r="AP221" s="12">
        <f t="shared" si="27"/>
        <v>1.9509560507486416</v>
      </c>
      <c r="AQ221" s="12">
        <f t="shared" si="28"/>
        <v>1.4152208028477979</v>
      </c>
      <c r="AU221" s="12">
        <f t="shared" si="29"/>
        <v>0.88205486545283063</v>
      </c>
      <c r="AV221" s="12">
        <f t="shared" si="30"/>
        <v>0.29355679542354574</v>
      </c>
      <c r="AW221" s="12">
        <f t="shared" si="31"/>
        <v>0.47927225885021491</v>
      </c>
      <c r="AX221" s="12">
        <f t="shared" si="32"/>
        <v>0.9347660898639647</v>
      </c>
      <c r="AY221" s="12">
        <f t="shared" si="33"/>
        <v>0.38805713158685046</v>
      </c>
      <c r="AZ221" s="12">
        <f t="shared" si="34"/>
        <v>0.23860502217724061</v>
      </c>
    </row>
    <row r="222" spans="1:52" x14ac:dyDescent="0.55000000000000004">
      <c r="A222" s="12" t="s">
        <v>604</v>
      </c>
      <c r="B222" s="12" t="s">
        <v>605</v>
      </c>
      <c r="C222" s="12" t="s">
        <v>51</v>
      </c>
      <c r="D222" s="12" t="s">
        <v>9</v>
      </c>
      <c r="E222" s="12">
        <v>1256</v>
      </c>
      <c r="F222" s="12">
        <v>67.334295839119065</v>
      </c>
      <c r="G222" s="12">
        <v>49.620000555489248</v>
      </c>
      <c r="H222" s="14">
        <f t="shared" si="35"/>
        <v>62322.720697694494</v>
      </c>
      <c r="I222" s="12">
        <v>140.71232602827735</v>
      </c>
      <c r="J222" s="12">
        <v>24.674638260044311</v>
      </c>
      <c r="K222" s="12">
        <v>24.693761300289978</v>
      </c>
      <c r="L222" s="12">
        <v>143.54469589872198</v>
      </c>
      <c r="M222" s="12">
        <v>52.640581009346555</v>
      </c>
      <c r="N222" s="12">
        <v>18.308620113786027</v>
      </c>
      <c r="O222" s="12">
        <v>15.285309515197021</v>
      </c>
      <c r="P222" s="12">
        <v>53.42966005684972</v>
      </c>
      <c r="Q222" s="12">
        <v>2470.1312163379948</v>
      </c>
      <c r="R222" s="15">
        <v>505.26821659255336</v>
      </c>
      <c r="S222" s="15">
        <v>1010.229070241899</v>
      </c>
      <c r="T222" s="15">
        <v>2472.6858650932763</v>
      </c>
      <c r="AP222" s="12">
        <f t="shared" si="27"/>
        <v>2.8928797721031514</v>
      </c>
      <c r="AQ222" s="12">
        <f t="shared" si="28"/>
        <v>1.076776692033693</v>
      </c>
      <c r="AU222" s="12">
        <f t="shared" si="29"/>
        <v>0.98026837667033673</v>
      </c>
      <c r="AV222" s="12">
        <f t="shared" si="30"/>
        <v>0.17189515854666976</v>
      </c>
      <c r="AW222" s="12">
        <f t="shared" si="31"/>
        <v>0.17202837865714432</v>
      </c>
      <c r="AX222" s="12">
        <f t="shared" si="32"/>
        <v>0.98523144173735011</v>
      </c>
      <c r="AY222" s="12">
        <f t="shared" si="33"/>
        <v>0.34266772602156675</v>
      </c>
      <c r="AZ222" s="12">
        <f t="shared" si="34"/>
        <v>0.28608285171444647</v>
      </c>
    </row>
    <row r="223" spans="1:52" x14ac:dyDescent="0.55000000000000004">
      <c r="A223" s="12" t="s">
        <v>606</v>
      </c>
      <c r="B223" s="12" t="s">
        <v>607</v>
      </c>
      <c r="C223" s="12" t="s">
        <v>8</v>
      </c>
      <c r="D223" s="12" t="s">
        <v>9</v>
      </c>
      <c r="E223" s="12">
        <v>1296</v>
      </c>
      <c r="F223" s="12">
        <v>68.084233660069614</v>
      </c>
      <c r="G223" s="12">
        <v>48.944991039017431</v>
      </c>
      <c r="H223" s="14">
        <f t="shared" si="35"/>
        <v>63432.708386566592</v>
      </c>
      <c r="I223" s="12">
        <v>54.115942550205148</v>
      </c>
      <c r="J223" s="12">
        <v>19.919305420337938</v>
      </c>
      <c r="K223" s="12">
        <v>28.277016484452762</v>
      </c>
      <c r="L223" s="12">
        <v>58.254092033447591</v>
      </c>
      <c r="M223" s="12">
        <v>41.070316689656892</v>
      </c>
      <c r="N223" s="12">
        <v>13.538101561601902</v>
      </c>
      <c r="O223" s="12">
        <v>17.930372439287407</v>
      </c>
      <c r="P223" s="12">
        <v>46.468756466815336</v>
      </c>
      <c r="Q223" s="12">
        <v>701.69530219928197</v>
      </c>
      <c r="R223" s="15">
        <v>751.36000858389684</v>
      </c>
      <c r="S223" s="15">
        <v>2532.3238539154208</v>
      </c>
      <c r="T223" s="15">
        <v>2581.4640949645495</v>
      </c>
      <c r="AP223" s="12">
        <f t="shared" si="27"/>
        <v>1.1901951721067685</v>
      </c>
      <c r="AQ223" s="12">
        <f t="shared" si="28"/>
        <v>0.94940780415654547</v>
      </c>
      <c r="AU223" s="12">
        <f t="shared" si="29"/>
        <v>0.9289637974124384</v>
      </c>
      <c r="AV223" s="12">
        <f t="shared" si="30"/>
        <v>0.34193830381736834</v>
      </c>
      <c r="AW223" s="12">
        <f t="shared" si="31"/>
        <v>0.4854082433937349</v>
      </c>
      <c r="AX223" s="12">
        <f t="shared" si="32"/>
        <v>0.88382646346446514</v>
      </c>
      <c r="AY223" s="12">
        <f t="shared" si="33"/>
        <v>0.29133772002850661</v>
      </c>
      <c r="AZ223" s="12">
        <f t="shared" si="34"/>
        <v>0.38585866725510498</v>
      </c>
    </row>
    <row r="224" spans="1:52" x14ac:dyDescent="0.55000000000000004">
      <c r="A224" s="12" t="s">
        <v>608</v>
      </c>
      <c r="B224" s="12" t="s">
        <v>605</v>
      </c>
      <c r="C224" s="12" t="s">
        <v>51</v>
      </c>
      <c r="D224" s="12" t="s">
        <v>9</v>
      </c>
      <c r="E224" s="12">
        <v>1276</v>
      </c>
      <c r="F224" s="12">
        <v>68.037627481792256</v>
      </c>
      <c r="G224" s="12">
        <v>48.337468888275339</v>
      </c>
      <c r="H224" s="14">
        <f t="shared" si="35"/>
        <v>61678.61030143933</v>
      </c>
      <c r="I224" s="12">
        <v>76.1959874243679</v>
      </c>
      <c r="J224" s="12">
        <v>36.174383848119511</v>
      </c>
      <c r="K224" s="12">
        <v>33.277928792286929</v>
      </c>
      <c r="L224" s="12">
        <v>89.499579026544666</v>
      </c>
      <c r="M224" s="12">
        <v>48.642936015276966</v>
      </c>
      <c r="N224" s="12">
        <v>20.033966059829666</v>
      </c>
      <c r="O224" s="12">
        <v>11.231184017831795</v>
      </c>
      <c r="P224" s="12">
        <v>52.02451412092045</v>
      </c>
      <c r="Q224" s="12">
        <v>1326.3154927811634</v>
      </c>
      <c r="R224" s="15">
        <v>188.75080839773426</v>
      </c>
      <c r="S224" s="15">
        <v>1355.5684143191329</v>
      </c>
      <c r="T224" s="15">
        <v>1415.7465052356476</v>
      </c>
      <c r="AP224" s="12">
        <f t="shared" si="27"/>
        <v>1.8515570029827015</v>
      </c>
      <c r="AQ224" s="12">
        <f t="shared" si="28"/>
        <v>1.0762771679495082</v>
      </c>
      <c r="AU224" s="12">
        <f t="shared" si="29"/>
        <v>0.85135581924657933</v>
      </c>
      <c r="AV224" s="12">
        <f t="shared" si="30"/>
        <v>0.40418496088557643</v>
      </c>
      <c r="AW224" s="12">
        <f t="shared" si="31"/>
        <v>0.37182218234140557</v>
      </c>
      <c r="AX224" s="12">
        <f t="shared" si="32"/>
        <v>0.93500029432694576</v>
      </c>
      <c r="AY224" s="12">
        <f t="shared" si="33"/>
        <v>0.38508703826170809</v>
      </c>
      <c r="AZ224" s="12">
        <f t="shared" si="34"/>
        <v>0.21588253552406433</v>
      </c>
    </row>
    <row r="225" spans="1:52" x14ac:dyDescent="0.55000000000000004">
      <c r="A225" s="12" t="s">
        <v>609</v>
      </c>
      <c r="B225" s="12" t="s">
        <v>610</v>
      </c>
      <c r="C225" s="12" t="s">
        <v>8</v>
      </c>
      <c r="D225" s="12" t="s">
        <v>9</v>
      </c>
      <c r="E225" s="12">
        <v>1408</v>
      </c>
      <c r="F225" s="12">
        <v>68.019026768996113</v>
      </c>
      <c r="G225" s="12">
        <v>37.685122427078852</v>
      </c>
      <c r="H225" s="14">
        <f t="shared" si="35"/>
        <v>53060.652377327024</v>
      </c>
      <c r="I225" s="12">
        <v>83.51190365155999</v>
      </c>
      <c r="J225" s="12">
        <v>44.273900966196763</v>
      </c>
      <c r="K225" s="12">
        <v>29.386803149675352</v>
      </c>
      <c r="L225" s="12">
        <v>93.668496010164461</v>
      </c>
      <c r="M225" s="12">
        <v>40.861599732305187</v>
      </c>
      <c r="N225" s="12">
        <v>12.648869652218453</v>
      </c>
      <c r="O225" s="12">
        <v>22.972395556882262</v>
      </c>
      <c r="P225" s="12">
        <v>48.229111208122106</v>
      </c>
      <c r="Q225" s="12">
        <v>764.38588346857284</v>
      </c>
      <c r="R225" s="15">
        <v>222.42549830814352</v>
      </c>
      <c r="S225" s="15">
        <v>1315.0698301175566</v>
      </c>
      <c r="T225" s="15">
        <v>1403.4513663181151</v>
      </c>
      <c r="AP225" s="12">
        <f t="shared" si="27"/>
        <v>2.4855563675403758</v>
      </c>
      <c r="AQ225" s="12">
        <f t="shared" si="28"/>
        <v>1.2797918144340912</v>
      </c>
      <c r="AU225" s="12">
        <f t="shared" si="29"/>
        <v>0.89156874732458258</v>
      </c>
      <c r="AV225" s="12">
        <f t="shared" si="30"/>
        <v>0.47266586794979998</v>
      </c>
      <c r="AW225" s="12">
        <f t="shared" si="31"/>
        <v>0.31373198462038332</v>
      </c>
      <c r="AX225" s="12">
        <f t="shared" si="32"/>
        <v>0.84723932721828432</v>
      </c>
      <c r="AY225" s="12">
        <f t="shared" si="33"/>
        <v>0.26226628140906522</v>
      </c>
      <c r="AZ225" s="12">
        <f t="shared" si="34"/>
        <v>0.47631803658479105</v>
      </c>
    </row>
    <row r="226" spans="1:52" x14ac:dyDescent="0.55000000000000004">
      <c r="A226" s="12" t="s">
        <v>611</v>
      </c>
      <c r="B226" s="12" t="s">
        <v>612</v>
      </c>
      <c r="C226" s="12" t="s">
        <v>51</v>
      </c>
      <c r="D226" s="12" t="s">
        <v>9</v>
      </c>
      <c r="E226" s="12">
        <v>1316</v>
      </c>
      <c r="F226" s="12">
        <v>69.477968882226321</v>
      </c>
      <c r="G226" s="12">
        <v>44.384856852976348</v>
      </c>
      <c r="H226" s="14">
        <f t="shared" si="35"/>
        <v>58410.471618516873</v>
      </c>
      <c r="I226" s="12">
        <v>73.463773368061197</v>
      </c>
      <c r="J226" s="12">
        <v>17.946783346260151</v>
      </c>
      <c r="K226" s="12">
        <v>33.115121359225832</v>
      </c>
      <c r="L226" s="12">
        <v>75.701803093879306</v>
      </c>
      <c r="M226" s="12">
        <v>47.123634604350862</v>
      </c>
      <c r="N226" s="12">
        <v>22.506412465800661</v>
      </c>
      <c r="O226" s="12">
        <v>9.9671261633815398</v>
      </c>
      <c r="P226" s="12">
        <v>51.732989867070494</v>
      </c>
      <c r="Q226" s="12">
        <v>583.35617607108827</v>
      </c>
      <c r="R226" s="15">
        <v>2063.1803877152392</v>
      </c>
      <c r="S226" s="15">
        <v>1792.9743579645833</v>
      </c>
      <c r="T226" s="15">
        <v>2077.1318467322221</v>
      </c>
      <c r="AP226" s="12">
        <f t="shared" si="27"/>
        <v>1.7055772725513008</v>
      </c>
      <c r="AQ226" s="12">
        <f t="shared" si="28"/>
        <v>1.1655549557912204</v>
      </c>
      <c r="AU226" s="12">
        <f t="shared" si="29"/>
        <v>0.97043624280596485</v>
      </c>
      <c r="AV226" s="12">
        <f t="shared" si="30"/>
        <v>0.23707207243140549</v>
      </c>
      <c r="AW226" s="12">
        <f t="shared" si="31"/>
        <v>0.4374416461145465</v>
      </c>
      <c r="AX226" s="12">
        <f t="shared" si="32"/>
        <v>0.91090104642002112</v>
      </c>
      <c r="AY226" s="12">
        <f t="shared" si="33"/>
        <v>0.43504952108183925</v>
      </c>
      <c r="AZ226" s="12">
        <f t="shared" si="34"/>
        <v>0.19266480033325692</v>
      </c>
    </row>
    <row r="227" spans="1:52" x14ac:dyDescent="0.55000000000000004">
      <c r="A227" s="12" t="s">
        <v>613</v>
      </c>
      <c r="B227" s="12" t="s">
        <v>614</v>
      </c>
      <c r="C227" s="12" t="s">
        <v>51</v>
      </c>
      <c r="D227" s="12" t="s">
        <v>9</v>
      </c>
      <c r="E227" s="12">
        <v>1321</v>
      </c>
      <c r="F227" s="12">
        <v>68.425318443624889</v>
      </c>
      <c r="G227" s="12">
        <v>51.191052964357908</v>
      </c>
      <c r="H227" s="14">
        <f t="shared" si="35"/>
        <v>67623.380965916804</v>
      </c>
      <c r="I227" s="12">
        <v>41.273510815835408</v>
      </c>
      <c r="J227" s="12">
        <v>13.144961716852857</v>
      </c>
      <c r="K227" s="12">
        <v>34.285122306833763</v>
      </c>
      <c r="L227" s="12">
        <v>52.43021002317289</v>
      </c>
      <c r="M227" s="12">
        <v>37.520608145282267</v>
      </c>
      <c r="N227" s="12">
        <v>12.694589594323437</v>
      </c>
      <c r="O227" s="12">
        <v>16.632852081227412</v>
      </c>
      <c r="P227" s="12">
        <v>41.343339122292726</v>
      </c>
      <c r="Q227" s="12">
        <v>556.90533130452707</v>
      </c>
      <c r="R227" s="15">
        <v>1103.3223087202659</v>
      </c>
      <c r="S227" s="15">
        <v>1692.826642128937</v>
      </c>
      <c r="T227" s="15">
        <v>1773.0511150608372</v>
      </c>
      <c r="AP227" s="12">
        <f t="shared" si="27"/>
        <v>1.0242065163160006</v>
      </c>
      <c r="AQ227" s="12">
        <f t="shared" si="28"/>
        <v>0.80762822267161183</v>
      </c>
      <c r="AU227" s="12">
        <f t="shared" si="29"/>
        <v>0.78720857302676284</v>
      </c>
      <c r="AV227" s="12">
        <f t="shared" si="30"/>
        <v>0.25071350488665028</v>
      </c>
      <c r="AW227" s="12">
        <f t="shared" si="31"/>
        <v>0.65391922503611111</v>
      </c>
      <c r="AX227" s="12">
        <f t="shared" si="32"/>
        <v>0.90753695617804597</v>
      </c>
      <c r="AY227" s="12">
        <f t="shared" si="33"/>
        <v>0.30705283762332569</v>
      </c>
      <c r="AZ227" s="12">
        <f t="shared" si="34"/>
        <v>0.40231032215438106</v>
      </c>
    </row>
    <row r="228" spans="1:52" x14ac:dyDescent="0.55000000000000004">
      <c r="A228" s="12" t="s">
        <v>615</v>
      </c>
      <c r="B228" s="12" t="s">
        <v>616</v>
      </c>
      <c r="C228" s="12" t="s">
        <v>322</v>
      </c>
      <c r="D228" s="12" t="s">
        <v>9</v>
      </c>
      <c r="E228" s="12">
        <v>1669</v>
      </c>
      <c r="F228" s="12">
        <v>67.575659045575236</v>
      </c>
      <c r="G228" s="12">
        <v>42.401409420144333</v>
      </c>
      <c r="H228" s="14">
        <f t="shared" si="35"/>
        <v>70767.952322220895</v>
      </c>
      <c r="I228" s="12">
        <v>32.134518706273113</v>
      </c>
      <c r="J228" s="12">
        <v>54.258194453954786</v>
      </c>
      <c r="K228" s="12">
        <v>25.049914080578159</v>
      </c>
      <c r="L228" s="12">
        <v>63.166657251300002</v>
      </c>
      <c r="M228" s="12">
        <v>35.703513056353131</v>
      </c>
      <c r="N228" s="12">
        <v>21.567847239821251</v>
      </c>
      <c r="O228" s="12">
        <v>7.1476160852983277</v>
      </c>
      <c r="P228" s="12">
        <v>41.60196123342093</v>
      </c>
      <c r="Q228" s="12">
        <v>422.28116561052684</v>
      </c>
      <c r="R228" s="15">
        <v>209.29086668282989</v>
      </c>
      <c r="S228" s="15">
        <v>1011.5400976636023</v>
      </c>
      <c r="T228" s="15">
        <v>1015.2495403393029</v>
      </c>
      <c r="AP228" s="12">
        <f t="shared" si="27"/>
        <v>1.4897301319726977</v>
      </c>
      <c r="AQ228" s="12">
        <f t="shared" si="28"/>
        <v>0.98114571667177652</v>
      </c>
      <c r="AU228" s="12">
        <f t="shared" si="29"/>
        <v>0.50872596563769834</v>
      </c>
      <c r="AV228" s="12">
        <f t="shared" si="30"/>
        <v>0.85896890566958295</v>
      </c>
      <c r="AW228" s="12">
        <f t="shared" si="31"/>
        <v>0.39656861975330537</v>
      </c>
      <c r="AX228" s="12">
        <f t="shared" si="32"/>
        <v>0.85821706472027381</v>
      </c>
      <c r="AY228" s="12">
        <f t="shared" si="33"/>
        <v>0.5184334247803376</v>
      </c>
      <c r="AZ228" s="12">
        <f t="shared" si="34"/>
        <v>0.17180959438893692</v>
      </c>
    </row>
    <row r="229" spans="1:52" x14ac:dyDescent="0.55000000000000004">
      <c r="A229" s="12" t="s">
        <v>617</v>
      </c>
      <c r="B229" s="12" t="s">
        <v>618</v>
      </c>
      <c r="C229" s="12" t="s">
        <v>51</v>
      </c>
      <c r="D229" s="12" t="s">
        <v>9</v>
      </c>
      <c r="E229" s="18">
        <v>1101</v>
      </c>
      <c r="F229" s="12">
        <v>63.100075993101633</v>
      </c>
      <c r="G229" s="12">
        <v>61.362726878568864</v>
      </c>
      <c r="H229" s="14">
        <f t="shared" si="35"/>
        <v>67560.362293304323</v>
      </c>
      <c r="I229" s="12">
        <v>51.406464987076014</v>
      </c>
      <c r="J229" s="12">
        <v>21.920153169679438</v>
      </c>
      <c r="K229" s="12">
        <v>31.492866404308991</v>
      </c>
      <c r="L229" s="12">
        <v>62.483982148311888</v>
      </c>
      <c r="M229" s="12">
        <v>33.404458342020448</v>
      </c>
      <c r="N229" s="12">
        <v>31.221878113661663</v>
      </c>
      <c r="O229" s="12">
        <v>16.096495612547677</v>
      </c>
      <c r="P229" s="12">
        <v>39.253927253093728</v>
      </c>
      <c r="Q229" s="12">
        <v>768.23938964157458</v>
      </c>
      <c r="R229" s="15">
        <v>426.71358015497907</v>
      </c>
      <c r="S229" s="15">
        <v>1454.8976896408726</v>
      </c>
      <c r="T229" s="15">
        <v>1513.0996172417165</v>
      </c>
      <c r="AP229" s="12">
        <f t="shared" si="27"/>
        <v>1.0182725789217595</v>
      </c>
      <c r="AQ229" s="12">
        <f t="shared" si="28"/>
        <v>0.63970311050181328</v>
      </c>
      <c r="AU229" s="12">
        <f t="shared" si="29"/>
        <v>0.82271428964078674</v>
      </c>
      <c r="AV229" s="12">
        <f t="shared" si="30"/>
        <v>0.35081235888022938</v>
      </c>
      <c r="AW229" s="12">
        <f t="shared" si="31"/>
        <v>0.50401503427802619</v>
      </c>
      <c r="AX229" s="12">
        <f t="shared" si="32"/>
        <v>0.85098385510936958</v>
      </c>
      <c r="AY229" s="12">
        <f t="shared" si="33"/>
        <v>0.79538227888270641</v>
      </c>
      <c r="AZ229" s="12">
        <f t="shared" si="34"/>
        <v>0.41006076942986797</v>
      </c>
    </row>
    <row r="230" spans="1:52" x14ac:dyDescent="0.55000000000000004">
      <c r="A230" s="12" t="s">
        <v>619</v>
      </c>
      <c r="B230" s="12" t="s">
        <v>620</v>
      </c>
      <c r="C230" s="12" t="s">
        <v>51</v>
      </c>
      <c r="D230" s="12" t="s">
        <v>9</v>
      </c>
      <c r="E230" s="12">
        <v>1394</v>
      </c>
      <c r="F230" s="12">
        <v>68.044024327993583</v>
      </c>
      <c r="G230" s="12">
        <v>43.270453570079894</v>
      </c>
      <c r="H230" s="14">
        <f t="shared" si="35"/>
        <v>60319.01227669137</v>
      </c>
      <c r="I230" s="12">
        <v>33.686874216480767</v>
      </c>
      <c r="J230" s="12">
        <v>15.439147165186911</v>
      </c>
      <c r="K230" s="12">
        <v>28.800895672923332</v>
      </c>
      <c r="L230" s="12">
        <v>45.701308530815005</v>
      </c>
      <c r="M230" s="12">
        <v>37.443149010496171</v>
      </c>
      <c r="N230" s="12">
        <v>18.888898748574867</v>
      </c>
      <c r="O230" s="12">
        <v>14.319162893996834</v>
      </c>
      <c r="P230" s="12">
        <v>43.796191085903246</v>
      </c>
      <c r="Q230" s="12">
        <v>566.91955251177365</v>
      </c>
      <c r="R230" s="15">
        <v>133.85274635931057</v>
      </c>
      <c r="S230" s="15">
        <v>993.14324848656247</v>
      </c>
      <c r="T230" s="15">
        <v>1065.5237687390706</v>
      </c>
      <c r="AP230" s="12">
        <f t="shared" si="27"/>
        <v>1.0561781714813354</v>
      </c>
      <c r="AQ230" s="12">
        <f t="shared" si="28"/>
        <v>1.0121500347800116</v>
      </c>
      <c r="AU230" s="12">
        <f t="shared" si="29"/>
        <v>0.73710962113408041</v>
      </c>
      <c r="AV230" s="12">
        <f t="shared" si="30"/>
        <v>0.33782724524784147</v>
      </c>
      <c r="AW230" s="12">
        <f t="shared" si="31"/>
        <v>0.6301984910017131</v>
      </c>
      <c r="AX230" s="12">
        <f t="shared" si="32"/>
        <v>0.85494076270363295</v>
      </c>
      <c r="AY230" s="12">
        <f t="shared" si="33"/>
        <v>0.43129090179384727</v>
      </c>
      <c r="AZ230" s="12">
        <f t="shared" si="34"/>
        <v>0.3269499593220509</v>
      </c>
    </row>
    <row r="231" spans="1:52" x14ac:dyDescent="0.55000000000000004">
      <c r="A231" s="12" t="s">
        <v>621</v>
      </c>
      <c r="B231" s="12" t="s">
        <v>622</v>
      </c>
      <c r="C231" s="12" t="s">
        <v>51</v>
      </c>
      <c r="D231" s="12" t="s">
        <v>9</v>
      </c>
      <c r="E231" s="12">
        <v>1578</v>
      </c>
      <c r="F231" s="12">
        <v>68.675240125408209</v>
      </c>
      <c r="G231" s="12">
        <v>56.887003709616359</v>
      </c>
      <c r="H231" s="14">
        <f t="shared" si="35"/>
        <v>89767.69185377461</v>
      </c>
      <c r="I231" s="12">
        <v>55.255688436389676</v>
      </c>
      <c r="J231" s="12">
        <v>16.56668033932888</v>
      </c>
      <c r="K231" s="12">
        <v>33.516399648565709</v>
      </c>
      <c r="L231" s="12">
        <v>64.62875282700206</v>
      </c>
      <c r="M231" s="12">
        <v>37.233246307483057</v>
      </c>
      <c r="N231" s="12">
        <v>19.708114322658442</v>
      </c>
      <c r="O231" s="12">
        <v>7.6680646833487263</v>
      </c>
      <c r="P231" s="12">
        <v>42.219233337760102</v>
      </c>
      <c r="Q231" s="12">
        <v>536.12575784791375</v>
      </c>
      <c r="R231" s="15">
        <v>1114.7430834648151</v>
      </c>
      <c r="S231" s="15">
        <v>917.85837907734935</v>
      </c>
      <c r="T231" s="15">
        <v>1146.2819763166731</v>
      </c>
      <c r="AP231" s="12">
        <f t="shared" si="27"/>
        <v>1.1360899434412821</v>
      </c>
      <c r="AQ231" s="12">
        <f t="shared" si="28"/>
        <v>0.74215955463696237</v>
      </c>
      <c r="AU231" s="12">
        <f t="shared" si="29"/>
        <v>0.85497067511573122</v>
      </c>
      <c r="AV231" s="12">
        <f t="shared" si="30"/>
        <v>0.25633606737970777</v>
      </c>
      <c r="AW231" s="12">
        <f t="shared" si="31"/>
        <v>0.51859889263656767</v>
      </c>
      <c r="AX231" s="12">
        <f t="shared" si="32"/>
        <v>0.88190247344407202</v>
      </c>
      <c r="AY231" s="12">
        <f t="shared" si="33"/>
        <v>0.46680417346735353</v>
      </c>
      <c r="AZ231" s="12">
        <f t="shared" si="34"/>
        <v>0.18162491540296519</v>
      </c>
    </row>
    <row r="232" spans="1:52" x14ac:dyDescent="0.55000000000000004">
      <c r="A232" s="12" t="s">
        <v>623</v>
      </c>
      <c r="B232" s="12" t="s">
        <v>624</v>
      </c>
      <c r="C232" s="12" t="s">
        <v>322</v>
      </c>
      <c r="D232" s="12" t="s">
        <v>9</v>
      </c>
      <c r="E232" s="12">
        <v>1791</v>
      </c>
      <c r="F232" s="12">
        <v>69.638934074004837</v>
      </c>
      <c r="G232" s="12">
        <v>36.989939961033102</v>
      </c>
      <c r="H232" s="14">
        <f t="shared" si="35"/>
        <v>66248.982470210278</v>
      </c>
      <c r="I232" s="12">
        <v>47.918618653363097</v>
      </c>
      <c r="J232" s="12">
        <v>20.494719371160862</v>
      </c>
      <c r="K232" s="12">
        <v>23.660536802585941</v>
      </c>
      <c r="L232" s="12">
        <v>54.883726607819874</v>
      </c>
      <c r="M232" s="12">
        <v>30.199086802980666</v>
      </c>
      <c r="N232" s="12">
        <v>11.781684004226825</v>
      </c>
      <c r="O232" s="12">
        <v>17.097447577699416</v>
      </c>
      <c r="P232" s="12">
        <v>35.614543371983686</v>
      </c>
      <c r="Q232" s="12">
        <v>961.20225021776298</v>
      </c>
      <c r="R232" s="15">
        <v>263.60488865353477</v>
      </c>
      <c r="S232" s="15">
        <v>1097.1661873505805</v>
      </c>
      <c r="T232" s="15">
        <v>1430.4572647322577</v>
      </c>
      <c r="AP232" s="12">
        <f t="shared" si="27"/>
        <v>1.483747382819137</v>
      </c>
      <c r="AQ232" s="12">
        <f t="shared" si="28"/>
        <v>0.96281700942206661</v>
      </c>
      <c r="AU232" s="12">
        <f t="shared" si="29"/>
        <v>0.87309338514443402</v>
      </c>
      <c r="AV232" s="12">
        <f t="shared" si="30"/>
        <v>0.37342069567558772</v>
      </c>
      <c r="AW232" s="12">
        <f t="shared" si="31"/>
        <v>0.43110295646751456</v>
      </c>
      <c r="AX232" s="12">
        <f t="shared" si="32"/>
        <v>0.84794255221974546</v>
      </c>
      <c r="AY232" s="12">
        <f t="shared" si="33"/>
        <v>0.33081103641202181</v>
      </c>
      <c r="AZ232" s="12">
        <f t="shared" si="34"/>
        <v>0.48006926269197059</v>
      </c>
    </row>
    <row r="233" spans="1:52" x14ac:dyDescent="0.55000000000000004">
      <c r="A233" s="12" t="s">
        <v>625</v>
      </c>
      <c r="B233" s="12" t="s">
        <v>626</v>
      </c>
      <c r="C233" s="12" t="s">
        <v>8</v>
      </c>
      <c r="D233" s="12" t="s">
        <v>9</v>
      </c>
      <c r="E233" s="12">
        <v>1622</v>
      </c>
      <c r="F233" s="12">
        <v>51.709259396212303</v>
      </c>
      <c r="G233" s="12">
        <v>69.985017520902758</v>
      </c>
      <c r="H233" s="14">
        <f t="shared" si="35"/>
        <v>113515.69841890427</v>
      </c>
      <c r="I233" s="12">
        <v>39.397694909420551</v>
      </c>
      <c r="J233" s="12">
        <v>18.624168150911839</v>
      </c>
      <c r="K233" s="12">
        <v>32.127758332434198</v>
      </c>
      <c r="L233" s="12">
        <v>50.848211549819631</v>
      </c>
      <c r="M233" s="12">
        <v>42.908496042803414</v>
      </c>
      <c r="N233" s="12">
        <v>16.744284195282599</v>
      </c>
      <c r="O233" s="12">
        <v>20.134766234014499</v>
      </c>
      <c r="P233" s="12">
        <v>49.49418421375934</v>
      </c>
      <c r="Q233" s="12">
        <v>494.31573322012434</v>
      </c>
      <c r="R233" s="15">
        <v>142.04559309886034</v>
      </c>
      <c r="S233" s="15">
        <v>1598.0305880344592</v>
      </c>
      <c r="T233" s="15">
        <v>1642.6672877726958</v>
      </c>
      <c r="AP233" s="12">
        <f t="shared" si="27"/>
        <v>0.72655853139756021</v>
      </c>
      <c r="AQ233" s="12">
        <f t="shared" si="28"/>
        <v>0.70721114271317675</v>
      </c>
      <c r="AU233" s="12">
        <f t="shared" si="29"/>
        <v>0.77480984499955929</v>
      </c>
      <c r="AV233" s="12">
        <f t="shared" si="30"/>
        <v>0.36626987623083673</v>
      </c>
      <c r="AW233" s="12">
        <f t="shared" si="31"/>
        <v>0.631836545538211</v>
      </c>
      <c r="AX233" s="12">
        <f t="shared" si="32"/>
        <v>0.86694016124170992</v>
      </c>
      <c r="AY233" s="12">
        <f t="shared" si="33"/>
        <v>0.33830811561548485</v>
      </c>
      <c r="AZ233" s="12">
        <f t="shared" si="34"/>
        <v>0.40681075067436007</v>
      </c>
    </row>
    <row r="234" spans="1:52" x14ac:dyDescent="0.55000000000000004">
      <c r="A234" s="12" t="s">
        <v>627</v>
      </c>
      <c r="B234" s="12" t="s">
        <v>628</v>
      </c>
      <c r="C234" s="12" t="s">
        <v>8</v>
      </c>
      <c r="D234" s="12" t="s">
        <v>9</v>
      </c>
      <c r="E234" s="12">
        <v>1552</v>
      </c>
      <c r="F234" s="12">
        <v>71.998462112507852</v>
      </c>
      <c r="G234" s="12">
        <v>45.732129880176444</v>
      </c>
      <c r="H234" s="14">
        <f t="shared" si="35"/>
        <v>70976.265574033838</v>
      </c>
      <c r="I234" s="12">
        <v>36.474083958854081</v>
      </c>
      <c r="J234" s="12">
        <v>17.295340009973195</v>
      </c>
      <c r="K234" s="12">
        <v>23.811583390523712</v>
      </c>
      <c r="L234" s="12">
        <v>40.933778704608542</v>
      </c>
      <c r="M234" s="12">
        <v>35.596645504058742</v>
      </c>
      <c r="N234" s="12">
        <v>14.387531693236248</v>
      </c>
      <c r="O234" s="12">
        <v>6.0955220575631701</v>
      </c>
      <c r="P234" s="12">
        <v>38.464209867831926</v>
      </c>
      <c r="Q234" s="12">
        <v>416.88182779430173</v>
      </c>
      <c r="R234" s="15">
        <v>243.64783713242741</v>
      </c>
      <c r="S234" s="15">
        <v>1023.9289069517913</v>
      </c>
      <c r="T234" s="15">
        <v>1023.9934256002922</v>
      </c>
      <c r="AP234" s="12">
        <f t="shared" si="27"/>
        <v>0.89507702378743026</v>
      </c>
      <c r="AQ234" s="12">
        <f t="shared" si="28"/>
        <v>0.8410762841925945</v>
      </c>
      <c r="AU234" s="12">
        <f t="shared" si="29"/>
        <v>0.89105098803760407</v>
      </c>
      <c r="AV234" s="12">
        <f t="shared" si="30"/>
        <v>0.4225199958885299</v>
      </c>
      <c r="AW234" s="12">
        <f t="shared" si="31"/>
        <v>0.58170987736939317</v>
      </c>
      <c r="AX234" s="12">
        <f t="shared" si="32"/>
        <v>0.92544850463257888</v>
      </c>
      <c r="AY234" s="12">
        <f t="shared" si="33"/>
        <v>0.37404984380736522</v>
      </c>
      <c r="AZ234" s="12">
        <f t="shared" si="34"/>
        <v>0.15847256653674113</v>
      </c>
    </row>
    <row r="235" spans="1:52" x14ac:dyDescent="0.55000000000000004">
      <c r="A235" s="12" t="s">
        <v>629</v>
      </c>
      <c r="B235" s="12" t="s">
        <v>630</v>
      </c>
      <c r="C235" s="12" t="s">
        <v>8</v>
      </c>
      <c r="D235" s="12" t="s">
        <v>9</v>
      </c>
      <c r="E235" s="12">
        <v>1570</v>
      </c>
      <c r="F235" s="12">
        <v>68.31075239867495</v>
      </c>
      <c r="G235" s="12">
        <v>35.77449758470862</v>
      </c>
      <c r="H235" s="14">
        <f>E235*G235</f>
        <v>56165.961207992535</v>
      </c>
      <c r="I235" s="12">
        <v>29.54976122332295</v>
      </c>
      <c r="J235" s="12">
        <v>23.641305997512525</v>
      </c>
      <c r="K235" s="12">
        <v>25.680867103829438</v>
      </c>
      <c r="L235" s="12">
        <v>38.2408028571881</v>
      </c>
      <c r="M235" s="12">
        <v>33.900921213414293</v>
      </c>
      <c r="N235" s="12">
        <v>11.236549898309615</v>
      </c>
      <c r="O235" s="12">
        <v>13.088312024593712</v>
      </c>
      <c r="P235" s="12">
        <v>36.615106536798741</v>
      </c>
      <c r="Q235" s="12">
        <v>544.88721634695014</v>
      </c>
      <c r="R235" s="15">
        <v>466.34747080555155</v>
      </c>
      <c r="S235" s="15">
        <v>1239.3380199551989</v>
      </c>
      <c r="T235" s="15">
        <v>1293.8368409934949</v>
      </c>
      <c r="AP235" s="12">
        <f t="shared" si="27"/>
        <v>1.0689403189140432</v>
      </c>
      <c r="AQ235" s="12">
        <f t="shared" si="28"/>
        <v>1.0234974355712385</v>
      </c>
      <c r="AU235" s="12">
        <f t="shared" si="29"/>
        <v>0.77272857825913821</v>
      </c>
      <c r="AV235" s="12">
        <f t="shared" si="30"/>
        <v>0.61822200976799535</v>
      </c>
      <c r="AW235" s="12">
        <f t="shared" si="31"/>
        <v>0.67155669298408105</v>
      </c>
      <c r="AX235" s="12">
        <f t="shared" si="32"/>
        <v>0.92587252694030397</v>
      </c>
      <c r="AY235" s="12">
        <f t="shared" si="33"/>
        <v>0.30688289509732031</v>
      </c>
      <c r="AZ235" s="12">
        <f t="shared" si="34"/>
        <v>0.35745661456535049</v>
      </c>
    </row>
    <row r="236" spans="1:52" x14ac:dyDescent="0.55000000000000004">
      <c r="A236" s="12" t="s">
        <v>631</v>
      </c>
      <c r="B236" s="12" t="s">
        <v>632</v>
      </c>
      <c r="C236" s="12" t="s">
        <v>322</v>
      </c>
      <c r="D236" s="12" t="s">
        <v>9</v>
      </c>
      <c r="E236" s="18">
        <v>1845</v>
      </c>
      <c r="F236" s="12">
        <v>69.787627007713255</v>
      </c>
      <c r="G236" s="12">
        <v>57.211432734584179</v>
      </c>
      <c r="H236" s="14">
        <f>E236*G236</f>
        <v>105555.09339530781</v>
      </c>
      <c r="I236" s="12">
        <v>47.947416099003888</v>
      </c>
      <c r="J236" s="12">
        <v>22.254158379411933</v>
      </c>
      <c r="K236" s="12">
        <v>21.384196976467081</v>
      </c>
      <c r="L236" s="12">
        <v>53.709992550685968</v>
      </c>
      <c r="M236" s="12">
        <v>43.969269144276311</v>
      </c>
      <c r="N236" s="12">
        <v>15.984555389439414</v>
      </c>
      <c r="O236" s="12">
        <v>12.640705463624375</v>
      </c>
      <c r="P236" s="12">
        <v>48.241899284181052</v>
      </c>
      <c r="Q236" s="12">
        <v>1102.9602257852862</v>
      </c>
      <c r="R236" s="15">
        <v>173.05851191615724</v>
      </c>
      <c r="S236" s="15">
        <v>926.62757305113655</v>
      </c>
      <c r="T236" s="15">
        <v>1423.5156222991561</v>
      </c>
      <c r="AP236" s="12">
        <f t="shared" si="27"/>
        <v>0.9387982433486306</v>
      </c>
      <c r="AQ236" s="12">
        <f t="shared" si="28"/>
        <v>0.84322131046753068</v>
      </c>
      <c r="AU236" s="12">
        <f t="shared" si="29"/>
        <v>0.89270941629262091</v>
      </c>
      <c r="AV236" s="12">
        <f t="shared" si="30"/>
        <v>0.41433925648771497</v>
      </c>
      <c r="AW236" s="12">
        <f t="shared" si="31"/>
        <v>0.39814187194844375</v>
      </c>
      <c r="AX236" s="12">
        <f t="shared" si="32"/>
        <v>0.91143321048087811</v>
      </c>
      <c r="AY236" s="12">
        <f t="shared" si="33"/>
        <v>0.33134175118766296</v>
      </c>
      <c r="AZ236" s="12">
        <f t="shared" si="34"/>
        <v>0.26202752485264141</v>
      </c>
    </row>
    <row r="237" spans="1:52" x14ac:dyDescent="0.55000000000000004">
      <c r="A237" s="12" t="s">
        <v>633</v>
      </c>
      <c r="B237" s="12" t="s">
        <v>634</v>
      </c>
      <c r="C237" s="12" t="s">
        <v>322</v>
      </c>
      <c r="D237" s="12" t="s">
        <v>9</v>
      </c>
      <c r="E237" s="12">
        <v>1643</v>
      </c>
      <c r="F237" s="12">
        <v>69.09030805157326</v>
      </c>
      <c r="G237" s="12">
        <v>43.746587693238801</v>
      </c>
      <c r="H237" s="14">
        <f t="shared" si="35"/>
        <v>71875.643579991345</v>
      </c>
      <c r="I237" s="12">
        <v>34.18043289424579</v>
      </c>
      <c r="J237" s="12">
        <v>26.106318388120073</v>
      </c>
      <c r="K237" s="12">
        <v>26.458321169172557</v>
      </c>
      <c r="L237" s="12">
        <v>45.289297581886245</v>
      </c>
      <c r="M237" s="12">
        <v>34.296715570248594</v>
      </c>
      <c r="N237" s="12">
        <v>12.138071153521434</v>
      </c>
      <c r="O237" s="12">
        <v>19.47605954615009</v>
      </c>
      <c r="P237" s="12">
        <v>37.173147482704756</v>
      </c>
      <c r="Q237" s="12">
        <v>709.90930343680907</v>
      </c>
      <c r="R237" s="15">
        <v>146.64653596183351</v>
      </c>
      <c r="S237" s="15">
        <v>1192.3787788991524</v>
      </c>
      <c r="T237" s="15">
        <v>1307.2298910522554</v>
      </c>
      <c r="AP237" s="12">
        <f t="shared" si="27"/>
        <v>1.035264690802064</v>
      </c>
      <c r="AQ237" s="12">
        <f t="shared" si="28"/>
        <v>0.84973821828965201</v>
      </c>
      <c r="AU237" s="12">
        <f t="shared" si="29"/>
        <v>0.75471324836613229</v>
      </c>
      <c r="AV237" s="12">
        <f t="shared" si="30"/>
        <v>0.57643460556918569</v>
      </c>
      <c r="AW237" s="12">
        <f t="shared" si="31"/>
        <v>0.58420692264732177</v>
      </c>
      <c r="AX237" s="12">
        <f t="shared" si="32"/>
        <v>0.92262070587930556</v>
      </c>
      <c r="AY237" s="12">
        <f t="shared" si="33"/>
        <v>0.32652793684389558</v>
      </c>
      <c r="AZ237" s="12">
        <f t="shared" si="34"/>
        <v>0.52392818109393491</v>
      </c>
    </row>
    <row r="238" spans="1:52" x14ac:dyDescent="0.55000000000000004">
      <c r="A238" s="12" t="s">
        <v>635</v>
      </c>
      <c r="B238" s="12" t="s">
        <v>636</v>
      </c>
      <c r="C238" s="12" t="s">
        <v>51</v>
      </c>
      <c r="D238" s="12" t="s">
        <v>9</v>
      </c>
      <c r="E238" s="12">
        <v>1645</v>
      </c>
      <c r="F238" s="12">
        <v>61.891717149366841</v>
      </c>
      <c r="G238" s="12">
        <v>47.67255676203925</v>
      </c>
      <c r="H238" s="14">
        <f t="shared" si="35"/>
        <v>78421.355873554567</v>
      </c>
      <c r="I238" s="12">
        <v>55.517473285876548</v>
      </c>
      <c r="J238" s="12">
        <v>33.500667201025124</v>
      </c>
      <c r="K238" s="12">
        <v>29.162283981893019</v>
      </c>
      <c r="L238" s="12">
        <v>66.845169324202985</v>
      </c>
      <c r="M238" s="12">
        <v>38.549162173302975</v>
      </c>
      <c r="N238" s="12">
        <v>16.912896885713703</v>
      </c>
      <c r="O238" s="12">
        <v>20.371653412982134</v>
      </c>
      <c r="P238" s="12">
        <v>44.412293715222489</v>
      </c>
      <c r="Q238" s="12">
        <v>539.47772331672422</v>
      </c>
      <c r="R238" s="15">
        <v>123.88194881472089</v>
      </c>
      <c r="S238" s="15">
        <v>1946.6493263649395</v>
      </c>
      <c r="T238" s="15">
        <v>1970.7000673248642</v>
      </c>
      <c r="AP238" s="12">
        <f t="shared" si="27"/>
        <v>1.4021729452830716</v>
      </c>
      <c r="AQ238" s="12">
        <f t="shared" si="28"/>
        <v>0.93161132382534917</v>
      </c>
      <c r="AU238" s="12">
        <f t="shared" si="29"/>
        <v>0.83053829988242756</v>
      </c>
      <c r="AV238" s="12">
        <f t="shared" si="30"/>
        <v>0.50116811042163611</v>
      </c>
      <c r="AW238" s="12">
        <f t="shared" si="31"/>
        <v>0.43626613974832251</v>
      </c>
      <c r="AX238" s="12">
        <f t="shared" si="32"/>
        <v>0.86798404109648808</v>
      </c>
      <c r="AY238" s="12">
        <f t="shared" si="33"/>
        <v>0.38081565870390388</v>
      </c>
      <c r="AZ238" s="12">
        <f t="shared" si="34"/>
        <v>0.45869401710273905</v>
      </c>
    </row>
    <row r="239" spans="1:52" x14ac:dyDescent="0.55000000000000004">
      <c r="A239" s="12" t="s">
        <v>637</v>
      </c>
      <c r="B239" s="12" t="s">
        <v>638</v>
      </c>
      <c r="C239" s="12" t="s">
        <v>322</v>
      </c>
      <c r="D239" s="12" t="s">
        <v>9</v>
      </c>
      <c r="E239" s="12">
        <v>1933</v>
      </c>
      <c r="F239" s="12">
        <v>61.759759170475533</v>
      </c>
      <c r="G239" s="12">
        <v>41.180229022778299</v>
      </c>
      <c r="H239" s="14">
        <f t="shared" si="35"/>
        <v>79601.382701030452</v>
      </c>
      <c r="I239" s="12">
        <v>44.980805117136313</v>
      </c>
      <c r="J239" s="12">
        <v>20.21048340360624</v>
      </c>
      <c r="K239" s="12">
        <v>17.79391111866061</v>
      </c>
      <c r="L239" s="12">
        <v>48.38785238680498</v>
      </c>
      <c r="M239" s="12">
        <v>38.767967787897199</v>
      </c>
      <c r="N239" s="12">
        <v>22.927188555749158</v>
      </c>
      <c r="O239" s="12">
        <v>23.973794829560408</v>
      </c>
      <c r="P239" s="12">
        <v>48.307182173332102</v>
      </c>
      <c r="Q239" s="12">
        <v>554.5011571124428</v>
      </c>
      <c r="R239" s="15">
        <v>26.054730849589699</v>
      </c>
      <c r="S239" s="15">
        <v>1604.6048655072225</v>
      </c>
      <c r="T239" s="15">
        <v>1687.1393826160413</v>
      </c>
      <c r="AP239" s="12">
        <f t="shared" si="27"/>
        <v>1.1750263059498742</v>
      </c>
      <c r="AQ239" s="12">
        <f t="shared" si="28"/>
        <v>1.1730673510002001</v>
      </c>
      <c r="AU239" s="12">
        <f t="shared" si="29"/>
        <v>0.92958878930122257</v>
      </c>
      <c r="AV239" s="12">
        <f t="shared" si="30"/>
        <v>0.41767680123611961</v>
      </c>
      <c r="AW239" s="12">
        <f t="shared" si="31"/>
        <v>0.36773508723674792</v>
      </c>
      <c r="AX239" s="12">
        <f t="shared" si="32"/>
        <v>0.80253010098566646</v>
      </c>
      <c r="AY239" s="12">
        <f t="shared" si="33"/>
        <v>0.47461241836635371</v>
      </c>
      <c r="AZ239" s="12">
        <f t="shared" si="34"/>
        <v>0.49627806365396121</v>
      </c>
    </row>
    <row r="240" spans="1:52" x14ac:dyDescent="0.55000000000000004">
      <c r="A240" s="12" t="s">
        <v>639</v>
      </c>
      <c r="B240" s="12" t="s">
        <v>640</v>
      </c>
      <c r="C240" s="12" t="s">
        <v>51</v>
      </c>
      <c r="D240" s="12" t="s">
        <v>9</v>
      </c>
      <c r="E240" s="12">
        <v>1195</v>
      </c>
      <c r="F240" s="12">
        <v>60.641519075790299</v>
      </c>
      <c r="G240" s="12">
        <v>41.261059589711188</v>
      </c>
      <c r="H240" s="14">
        <f t="shared" si="35"/>
        <v>49306.966209704871</v>
      </c>
      <c r="I240" s="12">
        <v>65.002912769835973</v>
      </c>
      <c r="J240" s="12">
        <v>21.619651380459974</v>
      </c>
      <c r="K240" s="12">
        <v>32.540221561318873</v>
      </c>
      <c r="L240" s="12">
        <v>74.354774069626529</v>
      </c>
      <c r="M240" s="12">
        <v>48.764259364400466</v>
      </c>
      <c r="N240" s="12">
        <v>15.742458051906166</v>
      </c>
      <c r="O240" s="12">
        <v>11.440500064025075</v>
      </c>
      <c r="P240" s="12">
        <v>49.886476008691346</v>
      </c>
      <c r="Q240" s="12">
        <v>784.46867195826508</v>
      </c>
      <c r="R240" s="15">
        <v>195.93891000124279</v>
      </c>
      <c r="S240" s="15">
        <v>1151.1896272582462</v>
      </c>
      <c r="T240" s="15">
        <v>1180.6469044402268</v>
      </c>
      <c r="AP240" s="12">
        <f t="shared" si="27"/>
        <v>1.802056825709041</v>
      </c>
      <c r="AQ240" s="12">
        <f t="shared" si="28"/>
        <v>1.2090449567885306</v>
      </c>
      <c r="AU240" s="12">
        <f t="shared" si="29"/>
        <v>0.87422648489210142</v>
      </c>
      <c r="AV240" s="12">
        <f t="shared" si="30"/>
        <v>0.29076346005994347</v>
      </c>
      <c r="AW240" s="12">
        <f t="shared" si="31"/>
        <v>0.43763459668168575</v>
      </c>
      <c r="AX240" s="12">
        <f t="shared" si="32"/>
        <v>0.97750459174355464</v>
      </c>
      <c r="AY240" s="12">
        <f t="shared" si="33"/>
        <v>0.31556564647227187</v>
      </c>
      <c r="AZ240" s="12">
        <f t="shared" si="34"/>
        <v>0.22933069199018755</v>
      </c>
    </row>
    <row r="241" spans="1:52" x14ac:dyDescent="0.55000000000000004">
      <c r="A241" s="12" t="s">
        <v>641</v>
      </c>
      <c r="B241" s="12" t="s">
        <v>642</v>
      </c>
      <c r="C241" s="12" t="s">
        <v>8</v>
      </c>
      <c r="D241" s="12" t="s">
        <v>9</v>
      </c>
      <c r="E241" s="12">
        <v>2219</v>
      </c>
      <c r="F241" s="12">
        <v>70.203220896536862</v>
      </c>
      <c r="G241" s="12">
        <v>43.656037681527017</v>
      </c>
      <c r="H241" s="14">
        <f t="shared" si="35"/>
        <v>96872.747615308457</v>
      </c>
      <c r="I241" s="12">
        <v>55.103405427314541</v>
      </c>
      <c r="J241" s="12">
        <v>9.0699809676657335</v>
      </c>
      <c r="K241" s="12">
        <v>36.794941162064177</v>
      </c>
      <c r="L241" s="12">
        <v>59.714678925948633</v>
      </c>
      <c r="M241" s="12">
        <v>31.96094615776201</v>
      </c>
      <c r="N241" s="12">
        <v>9.4391452772836253</v>
      </c>
      <c r="O241" s="12">
        <v>16.858711658639788</v>
      </c>
      <c r="P241" s="12">
        <v>36.088374455320931</v>
      </c>
      <c r="Q241" s="12">
        <v>585.05033405456118</v>
      </c>
      <c r="R241" s="15">
        <v>368.03955092350293</v>
      </c>
      <c r="S241" s="15">
        <v>679.22393471644011</v>
      </c>
      <c r="T241" s="15">
        <v>781.96985141154596</v>
      </c>
      <c r="AP241" s="12">
        <f t="shared" si="27"/>
        <v>1.367844680764897</v>
      </c>
      <c r="AQ241" s="12">
        <f t="shared" si="28"/>
        <v>0.82665254044783976</v>
      </c>
      <c r="AU241" s="12">
        <f t="shared" si="29"/>
        <v>0.92277822502650531</v>
      </c>
      <c r="AV241" s="12">
        <f t="shared" si="30"/>
        <v>0.15188863326073132</v>
      </c>
      <c r="AW241" s="12">
        <f t="shared" si="31"/>
        <v>0.61617916773349957</v>
      </c>
      <c r="AX241" s="12">
        <f t="shared" si="32"/>
        <v>0.88562997475353544</v>
      </c>
      <c r="AY241" s="12">
        <f t="shared" si="33"/>
        <v>0.26155639924900809</v>
      </c>
      <c r="AZ241" s="12">
        <f t="shared" si="34"/>
        <v>0.46715076290043622</v>
      </c>
    </row>
    <row r="242" spans="1:52" x14ac:dyDescent="0.55000000000000004">
      <c r="A242" s="12" t="s">
        <v>643</v>
      </c>
      <c r="B242" s="12" t="s">
        <v>644</v>
      </c>
      <c r="C242" s="12" t="s">
        <v>51</v>
      </c>
      <c r="D242" s="12" t="s">
        <v>9</v>
      </c>
      <c r="E242" s="12">
        <v>1073</v>
      </c>
      <c r="F242" s="12">
        <v>67.401607277764356</v>
      </c>
      <c r="G242" s="12">
        <v>49.907303866967602</v>
      </c>
      <c r="H242" s="14">
        <f t="shared" si="35"/>
        <v>53550.537049256236</v>
      </c>
      <c r="I242" s="12">
        <v>44.812821136816765</v>
      </c>
      <c r="J242" s="12">
        <v>38.118150417256288</v>
      </c>
      <c r="K242" s="12">
        <v>34.209570912877126</v>
      </c>
      <c r="L242" s="12">
        <v>52.53942903822027</v>
      </c>
      <c r="M242" s="12">
        <v>42.014916616248009</v>
      </c>
      <c r="N242" s="12">
        <v>11.254248025044568</v>
      </c>
      <c r="O242" s="12">
        <v>17.907718545258334</v>
      </c>
      <c r="P242" s="12">
        <v>44.131030489046942</v>
      </c>
      <c r="Q242" s="12">
        <v>502.94636691711548</v>
      </c>
      <c r="R242" s="15">
        <v>170.06028233087585</v>
      </c>
      <c r="S242" s="15">
        <v>1799.8464653073129</v>
      </c>
      <c r="T242" s="15">
        <v>1812.9108995453378</v>
      </c>
      <c r="AP242" s="12">
        <f t="shared" si="27"/>
        <v>1.0527402798249497</v>
      </c>
      <c r="AQ242" s="12">
        <f t="shared" si="28"/>
        <v>0.88425995935749535</v>
      </c>
      <c r="AU242" s="12">
        <f t="shared" si="29"/>
        <v>0.85293696481203263</v>
      </c>
      <c r="AV242" s="12">
        <f t="shared" si="30"/>
        <v>0.7255151248318078</v>
      </c>
      <c r="AW242" s="12">
        <f t="shared" si="31"/>
        <v>0.65112186293442731</v>
      </c>
      <c r="AX242" s="12">
        <f t="shared" si="32"/>
        <v>0.95204929843357855</v>
      </c>
      <c r="AY242" s="12">
        <f t="shared" si="33"/>
        <v>0.25501892659945491</v>
      </c>
      <c r="AZ242" s="12">
        <f t="shared" si="34"/>
        <v>0.40578518894325211</v>
      </c>
    </row>
    <row r="243" spans="1:52" x14ac:dyDescent="0.55000000000000004">
      <c r="A243" s="12" t="s">
        <v>645</v>
      </c>
      <c r="B243" s="12" t="s">
        <v>646</v>
      </c>
      <c r="C243" s="12" t="s">
        <v>8</v>
      </c>
      <c r="D243" s="12" t="s">
        <v>9</v>
      </c>
      <c r="E243" s="12">
        <v>1622</v>
      </c>
      <c r="F243" s="12">
        <v>62.042227847362938</v>
      </c>
      <c r="G243" s="12">
        <v>33.841986525260388</v>
      </c>
      <c r="H243" s="14">
        <f t="shared" si="35"/>
        <v>54891.702143972347</v>
      </c>
      <c r="I243" s="12">
        <v>37.296006177285108</v>
      </c>
      <c r="J243" s="12">
        <v>22.214113666487606</v>
      </c>
      <c r="K243" s="12">
        <v>15.806209375022496</v>
      </c>
      <c r="L243" s="12">
        <v>38.781849315481885</v>
      </c>
      <c r="M243" s="12">
        <v>35.863772164039936</v>
      </c>
      <c r="N243" s="12">
        <v>10.949484981547155</v>
      </c>
      <c r="O243" s="12">
        <v>9.757396115463596</v>
      </c>
      <c r="P243" s="12">
        <v>37.53546250945665</v>
      </c>
      <c r="Q243" s="12">
        <v>648.3777880930777</v>
      </c>
      <c r="R243" s="15">
        <v>94.837996445308065</v>
      </c>
      <c r="S243" s="15">
        <v>735.33388657072442</v>
      </c>
      <c r="T243" s="15">
        <v>928.65095404739577</v>
      </c>
      <c r="AP243" s="12">
        <f t="shared" si="27"/>
        <v>1.1459684639533285</v>
      </c>
      <c r="AQ243" s="12">
        <f t="shared" si="28"/>
        <v>1.1091388645710669</v>
      </c>
      <c r="AU243" s="12">
        <f t="shared" si="29"/>
        <v>0.96168715096307633</v>
      </c>
      <c r="AV243" s="12">
        <f t="shared" si="30"/>
        <v>0.57279665767819987</v>
      </c>
      <c r="AW243" s="12">
        <f t="shared" si="31"/>
        <v>0.40756719068351871</v>
      </c>
      <c r="AX243" s="12">
        <f t="shared" si="32"/>
        <v>0.95546370728759367</v>
      </c>
      <c r="AY243" s="12">
        <f t="shared" si="33"/>
        <v>0.29171040529442127</v>
      </c>
      <c r="AZ243" s="12">
        <f t="shared" si="34"/>
        <v>0.25995140230402985</v>
      </c>
    </row>
    <row r="244" spans="1:52" x14ac:dyDescent="0.55000000000000004">
      <c r="A244" s="12" t="s">
        <v>647</v>
      </c>
      <c r="B244" s="12" t="s">
        <v>648</v>
      </c>
      <c r="C244" s="12" t="s">
        <v>322</v>
      </c>
      <c r="D244" s="12" t="s">
        <v>9</v>
      </c>
      <c r="E244" s="12">
        <v>1720</v>
      </c>
      <c r="F244" s="12">
        <v>62.567083889105277</v>
      </c>
      <c r="G244" s="12">
        <v>34.554341365121225</v>
      </c>
      <c r="H244" s="14">
        <f t="shared" si="35"/>
        <v>59433.467148008509</v>
      </c>
      <c r="I244" s="12">
        <v>55.798316370813829</v>
      </c>
      <c r="J244" s="12">
        <v>11.160382339852539</v>
      </c>
      <c r="K244" s="12">
        <v>25.906475046017462</v>
      </c>
      <c r="L244" s="12">
        <v>61.305315970810383</v>
      </c>
      <c r="M244" s="12">
        <v>37.090668532721743</v>
      </c>
      <c r="N244" s="12">
        <v>9.6297062258214083</v>
      </c>
      <c r="O244" s="12">
        <v>6.879454610801031</v>
      </c>
      <c r="P244" s="12">
        <v>38.732322920762044</v>
      </c>
      <c r="Q244" s="12">
        <v>590.77549502121087</v>
      </c>
      <c r="R244" s="15">
        <v>121.89171290017904</v>
      </c>
      <c r="S244" s="15">
        <v>1013.4160507604913</v>
      </c>
      <c r="T244" s="15">
        <v>1029.9473518993179</v>
      </c>
      <c r="AP244" s="12">
        <f t="shared" si="27"/>
        <v>1.7741711619684148</v>
      </c>
      <c r="AQ244" s="12">
        <f t="shared" si="28"/>
        <v>1.1209104671246326</v>
      </c>
      <c r="AU244" s="12">
        <f t="shared" si="29"/>
        <v>0.9101709286904478</v>
      </c>
      <c r="AV244" s="12">
        <f t="shared" si="30"/>
        <v>0.18204591499318573</v>
      </c>
      <c r="AW244" s="12">
        <f t="shared" si="31"/>
        <v>0.42258121723656794</v>
      </c>
      <c r="AX244" s="12">
        <f t="shared" si="32"/>
        <v>0.95761539034468002</v>
      </c>
      <c r="AY244" s="12">
        <f t="shared" si="33"/>
        <v>0.24862196479983151</v>
      </c>
      <c r="AZ244" s="12">
        <f t="shared" si="34"/>
        <v>0.17761533757928508</v>
      </c>
    </row>
    <row r="245" spans="1:52" x14ac:dyDescent="0.55000000000000004">
      <c r="A245" s="12" t="s">
        <v>649</v>
      </c>
      <c r="B245" s="12" t="s">
        <v>650</v>
      </c>
      <c r="C245" s="12" t="s">
        <v>8</v>
      </c>
      <c r="D245" s="12" t="s">
        <v>9</v>
      </c>
      <c r="E245" s="12">
        <v>1677</v>
      </c>
      <c r="F245" s="12">
        <v>63.656996853509185</v>
      </c>
      <c r="G245" s="12">
        <v>41.84396733932234</v>
      </c>
      <c r="H245" s="14">
        <f t="shared" si="35"/>
        <v>70172.333228043572</v>
      </c>
      <c r="I245" s="12">
        <v>70.114052247214573</v>
      </c>
      <c r="J245" s="12">
        <v>22.561043388848177</v>
      </c>
      <c r="K245" s="12">
        <v>45.49531346107203</v>
      </c>
      <c r="L245" s="12">
        <v>80.252938980834358</v>
      </c>
      <c r="M245" s="12">
        <v>49.31223814364003</v>
      </c>
      <c r="N245" s="12">
        <v>27.229402186100721</v>
      </c>
      <c r="O245" s="12">
        <v>11.04150325540059</v>
      </c>
      <c r="P245" s="12">
        <v>51.830628384372112</v>
      </c>
      <c r="Q245" s="12">
        <v>429.20347320977521</v>
      </c>
      <c r="R245" s="15">
        <v>82.863988164648759</v>
      </c>
      <c r="S245" s="15">
        <v>1825.9759397929608</v>
      </c>
      <c r="T245" s="15">
        <v>1863.7047040238974</v>
      </c>
      <c r="AP245" s="12">
        <f t="shared" si="27"/>
        <v>1.9179094164290122</v>
      </c>
      <c r="AQ245" s="12">
        <f t="shared" si="28"/>
        <v>1.2386642969120409</v>
      </c>
      <c r="AU245" s="12">
        <f t="shared" si="29"/>
        <v>0.87366335909466064</v>
      </c>
      <c r="AV245" s="12">
        <f t="shared" si="30"/>
        <v>0.28112420149791778</v>
      </c>
      <c r="AW245" s="12">
        <f t="shared" si="31"/>
        <v>0.56689903246953999</v>
      </c>
      <c r="AX245" s="12">
        <f t="shared" si="32"/>
        <v>0.95141115747129501</v>
      </c>
      <c r="AY245" s="12">
        <f t="shared" si="33"/>
        <v>0.52535350303240558</v>
      </c>
      <c r="AZ245" s="12">
        <f t="shared" si="34"/>
        <v>0.21303047251361912</v>
      </c>
    </row>
    <row r="246" spans="1:52" x14ac:dyDescent="0.55000000000000004">
      <c r="A246" s="12" t="s">
        <v>651</v>
      </c>
      <c r="B246" s="12" t="s">
        <v>652</v>
      </c>
      <c r="C246" s="12" t="s">
        <v>134</v>
      </c>
      <c r="D246" s="12" t="s">
        <v>9</v>
      </c>
      <c r="E246" s="12">
        <v>1754</v>
      </c>
      <c r="F246" s="12">
        <v>68.125821863243303</v>
      </c>
      <c r="G246" s="12">
        <v>35.342828862380138</v>
      </c>
      <c r="H246" s="14">
        <f t="shared" si="35"/>
        <v>61991.321824614759</v>
      </c>
      <c r="I246" s="12">
        <v>45.507723946723608</v>
      </c>
      <c r="J246" s="12">
        <v>9.9055609658021204</v>
      </c>
      <c r="K246" s="12">
        <v>33.167424645788302</v>
      </c>
      <c r="L246" s="12">
        <v>55.046612767627778</v>
      </c>
      <c r="M246" s="12">
        <v>41.234484073572247</v>
      </c>
      <c r="N246" s="12">
        <v>12.760613060938102</v>
      </c>
      <c r="O246" s="12">
        <v>16.662036624437025</v>
      </c>
      <c r="P246" s="12">
        <v>44.863752363861387</v>
      </c>
      <c r="Q246" s="12">
        <v>627.40899352188296</v>
      </c>
      <c r="R246" s="15">
        <v>160.4898644502502</v>
      </c>
      <c r="S246" s="15">
        <v>1452.2705824645973</v>
      </c>
      <c r="T246" s="15">
        <v>1497.4335095012007</v>
      </c>
      <c r="AP246" s="12">
        <f t="shared" si="27"/>
        <v>1.5575044369530047</v>
      </c>
      <c r="AQ246" s="12">
        <f t="shared" si="28"/>
        <v>1.2693877034731529</v>
      </c>
      <c r="AU246" s="12">
        <f t="shared" si="29"/>
        <v>0.82671251978443494</v>
      </c>
      <c r="AV246" s="12">
        <f t="shared" si="30"/>
        <v>0.1799486011540288</v>
      </c>
      <c r="AW246" s="12">
        <f t="shared" si="31"/>
        <v>0.60253343445127738</v>
      </c>
      <c r="AX246" s="12">
        <f t="shared" si="32"/>
        <v>0.91910466470003549</v>
      </c>
      <c r="AY246" s="12">
        <f t="shared" si="33"/>
        <v>0.28443035610229117</v>
      </c>
      <c r="AZ246" s="12">
        <f t="shared" si="34"/>
        <v>0.37139195333689062</v>
      </c>
    </row>
    <row r="247" spans="1:52" x14ac:dyDescent="0.55000000000000004">
      <c r="A247" s="12" t="s">
        <v>653</v>
      </c>
      <c r="B247" s="12" t="s">
        <v>654</v>
      </c>
      <c r="C247" s="12" t="s">
        <v>134</v>
      </c>
      <c r="D247" s="12" t="s">
        <v>9</v>
      </c>
      <c r="E247" s="12">
        <v>1685</v>
      </c>
      <c r="F247" s="12">
        <v>69.140581857959077</v>
      </c>
      <c r="G247" s="12">
        <v>33.221700563976093</v>
      </c>
      <c r="H247" s="14">
        <f t="shared" si="35"/>
        <v>55978.565450299713</v>
      </c>
      <c r="I247" s="12">
        <v>53.472556150822378</v>
      </c>
      <c r="J247" s="12">
        <v>15.516877898173679</v>
      </c>
      <c r="K247" s="12">
        <v>27.431516081719465</v>
      </c>
      <c r="L247" s="12">
        <v>59.600807187270782</v>
      </c>
      <c r="M247" s="12">
        <v>36.003206394900076</v>
      </c>
      <c r="N247" s="12">
        <v>17.976301004144354</v>
      </c>
      <c r="O247" s="12">
        <v>11.450739182476063</v>
      </c>
      <c r="P247" s="12">
        <v>39.627760210332717</v>
      </c>
      <c r="Q247" s="12">
        <v>505.03373861987086</v>
      </c>
      <c r="R247" s="15">
        <v>2344.3039736358614</v>
      </c>
      <c r="S247" s="15">
        <v>1270.1230590331293</v>
      </c>
      <c r="T247" s="15">
        <v>2361.168208351658</v>
      </c>
      <c r="AP247" s="12">
        <f t="shared" si="27"/>
        <v>1.7940323997712158</v>
      </c>
      <c r="AQ247" s="12">
        <f t="shared" si="28"/>
        <v>1.1928275656455416</v>
      </c>
      <c r="AU247" s="12">
        <f t="shared" si="29"/>
        <v>0.89717838858804511</v>
      </c>
      <c r="AV247" s="12">
        <f t="shared" si="30"/>
        <v>0.26034677432166875</v>
      </c>
      <c r="AW247" s="12">
        <f t="shared" si="31"/>
        <v>0.46025410353130486</v>
      </c>
      <c r="AX247" s="12">
        <f t="shared" si="32"/>
        <v>0.90853498163422419</v>
      </c>
      <c r="AY247" s="12">
        <f t="shared" si="33"/>
        <v>0.45362899413772906</v>
      </c>
      <c r="AZ247" s="12">
        <f t="shared" si="34"/>
        <v>0.28895751669281444</v>
      </c>
    </row>
    <row r="248" spans="1:52" x14ac:dyDescent="0.55000000000000004">
      <c r="A248" s="12" t="s">
        <v>655</v>
      </c>
      <c r="B248" s="12" t="s">
        <v>656</v>
      </c>
      <c r="C248" s="12" t="s">
        <v>51</v>
      </c>
      <c r="D248" s="12" t="s">
        <v>9</v>
      </c>
      <c r="E248" s="12">
        <v>1379</v>
      </c>
      <c r="F248" s="12">
        <v>68.642085791726274</v>
      </c>
      <c r="G248" s="12">
        <v>38.402913215248191</v>
      </c>
      <c r="H248" s="14">
        <f t="shared" si="35"/>
        <v>52957.617323827253</v>
      </c>
      <c r="I248" s="12">
        <v>49.513555899552571</v>
      </c>
      <c r="J248" s="12">
        <v>13.271837139524674</v>
      </c>
      <c r="K248" s="12">
        <v>28.797273763388922</v>
      </c>
      <c r="L248" s="12">
        <v>54.080194635814216</v>
      </c>
      <c r="M248" s="12">
        <v>39.455249641378984</v>
      </c>
      <c r="N248" s="12">
        <v>16.553903237070475</v>
      </c>
      <c r="O248" s="12">
        <v>19.031944744032437</v>
      </c>
      <c r="P248" s="12">
        <v>42.606359213358246</v>
      </c>
      <c r="Q248" s="12">
        <v>598.36169108762761</v>
      </c>
      <c r="R248" s="15">
        <v>168.40754882659564</v>
      </c>
      <c r="S248" s="15">
        <v>1766.4613208083265</v>
      </c>
      <c r="T248" s="15">
        <v>1854.0914748265534</v>
      </c>
      <c r="AP248" s="12">
        <f t="shared" si="27"/>
        <v>1.4082315665141059</v>
      </c>
      <c r="AQ248" s="12">
        <f t="shared" si="28"/>
        <v>1.1094564356237704</v>
      </c>
      <c r="AU248" s="12">
        <f t="shared" si="29"/>
        <v>0.91555801958528049</v>
      </c>
      <c r="AV248" s="12">
        <f t="shared" si="30"/>
        <v>0.24541030646985684</v>
      </c>
      <c r="AW248" s="12">
        <f t="shared" si="31"/>
        <v>0.53249205106074338</v>
      </c>
      <c r="AX248" s="12">
        <f t="shared" si="32"/>
        <v>0.92604133208849015</v>
      </c>
      <c r="AY248" s="12">
        <f t="shared" si="33"/>
        <v>0.38853127896176537</v>
      </c>
      <c r="AZ248" s="12">
        <f t="shared" si="34"/>
        <v>0.44669258522482269</v>
      </c>
    </row>
    <row r="249" spans="1:52" x14ac:dyDescent="0.55000000000000004">
      <c r="A249" s="12" t="s">
        <v>657</v>
      </c>
      <c r="B249" s="12" t="s">
        <v>658</v>
      </c>
      <c r="C249" s="12" t="s">
        <v>322</v>
      </c>
      <c r="D249" s="12" t="s">
        <v>9</v>
      </c>
      <c r="E249" s="12">
        <v>1777</v>
      </c>
      <c r="F249" s="12">
        <v>67.20294047706065</v>
      </c>
      <c r="G249" s="12">
        <v>42.839185003503928</v>
      </c>
      <c r="H249" s="14">
        <f t="shared" si="35"/>
        <v>76125.231751226485</v>
      </c>
      <c r="I249" s="12">
        <v>45.898894936518403</v>
      </c>
      <c r="J249" s="12">
        <v>19.287987833769613</v>
      </c>
      <c r="K249" s="12">
        <v>31.649573756851677</v>
      </c>
      <c r="L249" s="12">
        <v>49.131319822442357</v>
      </c>
      <c r="M249" s="12">
        <v>38.476549562024914</v>
      </c>
      <c r="N249" s="12">
        <v>16.417534044297543</v>
      </c>
      <c r="O249" s="12">
        <v>12.830692653733159</v>
      </c>
      <c r="P249" s="12">
        <v>41.836695881982386</v>
      </c>
      <c r="Q249" s="12">
        <v>369.86156648222345</v>
      </c>
      <c r="R249" s="15">
        <v>195.01219360539062</v>
      </c>
      <c r="S249" s="15">
        <v>1223.2896918664476</v>
      </c>
      <c r="T249" s="15">
        <v>1224.1651710452948</v>
      </c>
      <c r="AP249" s="12">
        <f t="shared" si="27"/>
        <v>1.1468780234363418</v>
      </c>
      <c r="AQ249" s="12">
        <f t="shared" si="28"/>
        <v>0.9765987816659083</v>
      </c>
      <c r="AU249" s="12">
        <f t="shared" si="29"/>
        <v>0.93420846625725207</v>
      </c>
      <c r="AV249" s="12">
        <f t="shared" si="30"/>
        <v>0.39258029101345626</v>
      </c>
      <c r="AW249" s="12">
        <f t="shared" si="31"/>
        <v>0.64418325970544532</v>
      </c>
      <c r="AX249" s="12">
        <f t="shared" si="32"/>
        <v>0.91968423296533386</v>
      </c>
      <c r="AY249" s="12">
        <f t="shared" si="33"/>
        <v>0.3924194704718067</v>
      </c>
      <c r="AZ249" s="12">
        <f t="shared" si="34"/>
        <v>0.30668513330802716</v>
      </c>
    </row>
    <row r="250" spans="1:52" x14ac:dyDescent="0.55000000000000004">
      <c r="A250" s="12" t="s">
        <v>659</v>
      </c>
      <c r="B250" s="12" t="s">
        <v>660</v>
      </c>
      <c r="C250" s="12" t="s">
        <v>322</v>
      </c>
      <c r="D250" s="12" t="s">
        <v>9</v>
      </c>
      <c r="E250" s="12">
        <v>1657</v>
      </c>
      <c r="F250" s="12">
        <v>69.096231138307772</v>
      </c>
      <c r="G250" s="12">
        <v>49.242288162920133</v>
      </c>
      <c r="H250" s="14">
        <f t="shared" si="35"/>
        <v>81594.471485958653</v>
      </c>
      <c r="I250" s="12">
        <v>59.644030879171154</v>
      </c>
      <c r="J250" s="12">
        <v>6.1698759542017463</v>
      </c>
      <c r="K250" s="12">
        <v>39.222626269597349</v>
      </c>
      <c r="L250" s="12">
        <v>68.023179230645582</v>
      </c>
      <c r="M250" s="12">
        <v>41.059488129207793</v>
      </c>
      <c r="N250" s="12">
        <v>7.0299605650977561</v>
      </c>
      <c r="O250" s="12">
        <v>22.133699447584295</v>
      </c>
      <c r="P250" s="12">
        <v>42.921285627263146</v>
      </c>
      <c r="Q250" s="12">
        <v>922.60593016150483</v>
      </c>
      <c r="R250" s="15">
        <v>81.174625563154379</v>
      </c>
      <c r="S250" s="15">
        <v>1572.6013449827201</v>
      </c>
      <c r="T250" s="15">
        <v>1637.421615328657</v>
      </c>
      <c r="AP250" s="12">
        <f t="shared" si="27"/>
        <v>1.3813976110449639</v>
      </c>
      <c r="AQ250" s="12">
        <f t="shared" si="28"/>
        <v>0.87163467069719236</v>
      </c>
      <c r="AU250" s="12">
        <f t="shared" si="29"/>
        <v>0.87681921888620751</v>
      </c>
      <c r="AV250" s="12">
        <f t="shared" si="30"/>
        <v>9.0702552041585754E-2</v>
      </c>
      <c r="AW250" s="12">
        <f t="shared" si="31"/>
        <v>0.57660677894230061</v>
      </c>
      <c r="AX250" s="12">
        <f t="shared" si="32"/>
        <v>0.95662297923171347</v>
      </c>
      <c r="AY250" s="12">
        <f t="shared" si="33"/>
        <v>0.163787278557947</v>
      </c>
      <c r="AZ250" s="12">
        <f t="shared" si="34"/>
        <v>0.51568118531671392</v>
      </c>
    </row>
    <row r="251" spans="1:52" x14ac:dyDescent="0.55000000000000004">
      <c r="A251" s="12" t="s">
        <v>661</v>
      </c>
      <c r="B251" s="12" t="s">
        <v>662</v>
      </c>
      <c r="C251" s="12" t="s">
        <v>515</v>
      </c>
      <c r="D251" s="12" t="s">
        <v>9</v>
      </c>
      <c r="E251" s="12">
        <v>2433</v>
      </c>
      <c r="F251" s="12">
        <v>73.626878552447295</v>
      </c>
      <c r="G251" s="12">
        <v>49.568853482004826</v>
      </c>
      <c r="H251" s="14">
        <f t="shared" si="35"/>
        <v>120601.02052171774</v>
      </c>
      <c r="I251" s="12">
        <v>51.222696286366997</v>
      </c>
      <c r="J251" s="12">
        <v>34.616646963640179</v>
      </c>
      <c r="K251" s="12">
        <v>18.589350363656454</v>
      </c>
      <c r="L251" s="12">
        <v>61.529941811982354</v>
      </c>
      <c r="M251" s="12">
        <v>38.206104932294174</v>
      </c>
      <c r="N251" s="12">
        <v>13.565372109441679</v>
      </c>
      <c r="O251" s="12">
        <v>19.63038457364436</v>
      </c>
      <c r="P251" s="12">
        <v>43.501568030567078</v>
      </c>
      <c r="Q251" s="12">
        <v>1269.068980954039</v>
      </c>
      <c r="R251" s="15">
        <v>440.15775743050403</v>
      </c>
      <c r="S251" s="15">
        <v>811.57645367014595</v>
      </c>
      <c r="T251" s="15">
        <v>1443.5047381316822</v>
      </c>
      <c r="AP251" s="12">
        <f t="shared" si="27"/>
        <v>1.2413025012636172</v>
      </c>
      <c r="AQ251" s="12">
        <f t="shared" si="28"/>
        <v>0.87759883424295104</v>
      </c>
      <c r="AU251" s="12">
        <f t="shared" si="29"/>
        <v>0.83248406837257694</v>
      </c>
      <c r="AV251" s="12">
        <f t="shared" si="30"/>
        <v>0.56259840240737757</v>
      </c>
      <c r="AW251" s="12">
        <f t="shared" si="31"/>
        <v>0.3021187704103494</v>
      </c>
      <c r="AX251" s="12">
        <f t="shared" si="32"/>
        <v>0.87826960410824817</v>
      </c>
      <c r="AY251" s="12">
        <f t="shared" si="33"/>
        <v>0.31183639403319324</v>
      </c>
      <c r="AZ251" s="12">
        <f t="shared" si="34"/>
        <v>0.45125694227506358</v>
      </c>
    </row>
    <row r="252" spans="1:52" x14ac:dyDescent="0.55000000000000004">
      <c r="A252" s="12" t="s">
        <v>663</v>
      </c>
      <c r="B252" s="12" t="s">
        <v>664</v>
      </c>
      <c r="C252" s="12" t="s">
        <v>515</v>
      </c>
      <c r="D252" s="12" t="s">
        <v>9</v>
      </c>
      <c r="E252" s="12">
        <v>2614</v>
      </c>
      <c r="F252" s="12">
        <v>71.350665766807097</v>
      </c>
      <c r="G252" s="12">
        <v>48.083105191701293</v>
      </c>
      <c r="H252" s="14">
        <f t="shared" si="35"/>
        <v>125689.23697110718</v>
      </c>
      <c r="I252" s="12">
        <v>34.210093361305368</v>
      </c>
      <c r="J252" s="12">
        <v>35.909884184496235</v>
      </c>
      <c r="K252" s="12">
        <v>28.74695004268284</v>
      </c>
      <c r="L252" s="12">
        <v>48.313014389824644</v>
      </c>
      <c r="M252" s="12">
        <v>33.180892007098088</v>
      </c>
      <c r="N252" s="12">
        <v>17.852463951291448</v>
      </c>
      <c r="O252" s="12">
        <v>13.299995210091438</v>
      </c>
      <c r="P252" s="12">
        <v>37.531773877417024</v>
      </c>
      <c r="Q252" s="12">
        <v>350.03290846360915</v>
      </c>
      <c r="R252" s="15">
        <v>126.01891709247435</v>
      </c>
      <c r="S252" s="15">
        <v>1517.9320711083128</v>
      </c>
      <c r="T252" s="15">
        <v>1521.0024313574197</v>
      </c>
      <c r="AP252" s="12">
        <f t="shared" si="27"/>
        <v>1.0047814964779569</v>
      </c>
      <c r="AQ252" s="12">
        <f t="shared" si="28"/>
        <v>0.78056052594320935</v>
      </c>
      <c r="AU252" s="12">
        <f t="shared" si="29"/>
        <v>0.7080927115264094</v>
      </c>
      <c r="AV252" s="12">
        <f t="shared" si="30"/>
        <v>0.74327558812102046</v>
      </c>
      <c r="AW252" s="12">
        <f t="shared" si="31"/>
        <v>0.59501462299022534</v>
      </c>
      <c r="AX252" s="12">
        <f t="shared" si="32"/>
        <v>0.88407470735251137</v>
      </c>
      <c r="AY252" s="12">
        <f t="shared" si="33"/>
        <v>0.47566267476724106</v>
      </c>
      <c r="AZ252" s="12">
        <f t="shared" si="34"/>
        <v>0.35436628317997204</v>
      </c>
    </row>
    <row r="253" spans="1:52" x14ac:dyDescent="0.55000000000000004">
      <c r="A253" s="12" t="s">
        <v>665</v>
      </c>
      <c r="B253" s="12" t="s">
        <v>666</v>
      </c>
      <c r="C253" s="12" t="s">
        <v>515</v>
      </c>
      <c r="D253" s="12" t="s">
        <v>9</v>
      </c>
      <c r="E253" s="12">
        <v>2473</v>
      </c>
      <c r="F253" s="12">
        <v>69.448872240204494</v>
      </c>
      <c r="G253" s="12">
        <v>36.984055316250085</v>
      </c>
      <c r="H253" s="14">
        <f t="shared" si="35"/>
        <v>91461.568797086467</v>
      </c>
      <c r="I253" s="12">
        <v>30.563772908488545</v>
      </c>
      <c r="J253" s="12">
        <v>15.581246353353158</v>
      </c>
      <c r="K253" s="12">
        <v>29.988195476011629</v>
      </c>
      <c r="L253" s="12">
        <v>41.371171613690457</v>
      </c>
      <c r="M253" s="12">
        <v>28.658752640626375</v>
      </c>
      <c r="N253" s="12">
        <v>12.685983641598256</v>
      </c>
      <c r="O253" s="12">
        <v>13.408576763939074</v>
      </c>
      <c r="P253" s="12">
        <v>30.061566055867051</v>
      </c>
      <c r="Q253" s="12">
        <v>608.54628249124289</v>
      </c>
      <c r="R253" s="15">
        <v>134.29897306626481</v>
      </c>
      <c r="S253" s="15">
        <v>1210.562908793429</v>
      </c>
      <c r="T253" s="15">
        <v>1339.357467418293</v>
      </c>
      <c r="AP253" s="12">
        <f t="shared" si="27"/>
        <v>1.1186218293241832</v>
      </c>
      <c r="AQ253" s="12">
        <f t="shared" si="28"/>
        <v>0.8128250349728029</v>
      </c>
      <c r="AU253" s="12">
        <f t="shared" si="29"/>
        <v>0.7387698176373243</v>
      </c>
      <c r="AV253" s="12">
        <f t="shared" si="30"/>
        <v>0.37662086292468078</v>
      </c>
      <c r="AW253" s="12">
        <f t="shared" si="31"/>
        <v>0.72485729328699988</v>
      </c>
      <c r="AX253" s="12">
        <f t="shared" si="32"/>
        <v>0.95333531817225825</v>
      </c>
      <c r="AY253" s="12">
        <f t="shared" si="33"/>
        <v>0.42200009201191829</v>
      </c>
      <c r="AZ253" s="12">
        <f t="shared" si="34"/>
        <v>0.44603720042463163</v>
      </c>
    </row>
    <row r="254" spans="1:52" x14ac:dyDescent="0.55000000000000004">
      <c r="A254" s="12" t="s">
        <v>667</v>
      </c>
      <c r="B254" s="12" t="s">
        <v>668</v>
      </c>
      <c r="C254" s="12" t="s">
        <v>515</v>
      </c>
      <c r="D254" s="12" t="s">
        <v>9</v>
      </c>
      <c r="E254" s="12">
        <v>2216</v>
      </c>
      <c r="F254" s="12">
        <v>71.298918402541574</v>
      </c>
      <c r="G254" s="12">
        <v>47.525954345009275</v>
      </c>
      <c r="H254" s="14">
        <f t="shared" si="35"/>
        <v>105317.51482854056</v>
      </c>
      <c r="I254" s="12">
        <v>47.348564610436561</v>
      </c>
      <c r="J254" s="12">
        <v>14.865796346145601</v>
      </c>
      <c r="K254" s="12">
        <v>16.766841416547798</v>
      </c>
      <c r="L254" s="12">
        <v>47.605451827677825</v>
      </c>
      <c r="M254" s="12">
        <v>32.629880021279106</v>
      </c>
      <c r="N254" s="12">
        <v>13.097716979969576</v>
      </c>
      <c r="O254" s="12">
        <v>14.499099799788089</v>
      </c>
      <c r="P254" s="12">
        <v>35.909955615288936</v>
      </c>
      <c r="Q254" s="12">
        <v>616.53685270210099</v>
      </c>
      <c r="R254" s="15">
        <v>140.84763168884004</v>
      </c>
      <c r="S254" s="15">
        <v>1018.0485006583224</v>
      </c>
      <c r="T254" s="15">
        <v>1168.8454831187912</v>
      </c>
      <c r="AP254" s="12">
        <f t="shared" si="27"/>
        <v>1.0016727172292312</v>
      </c>
      <c r="AQ254" s="12">
        <f t="shared" si="28"/>
        <v>0.75558620779300267</v>
      </c>
      <c r="AU254" s="12">
        <f t="shared" si="29"/>
        <v>0.99460382776806433</v>
      </c>
      <c r="AV254" s="12">
        <f t="shared" si="30"/>
        <v>0.31227088023356647</v>
      </c>
      <c r="AW254" s="12">
        <f t="shared" si="31"/>
        <v>0.35220422814681807</v>
      </c>
      <c r="AX254" s="12">
        <f t="shared" si="32"/>
        <v>0.90865832224495113</v>
      </c>
      <c r="AY254" s="12">
        <f t="shared" si="33"/>
        <v>0.36473776576858602</v>
      </c>
      <c r="AZ254" s="12">
        <f t="shared" si="34"/>
        <v>0.40376267671060523</v>
      </c>
    </row>
    <row r="255" spans="1:52" x14ac:dyDescent="0.55000000000000004">
      <c r="A255" s="12" t="s">
        <v>669</v>
      </c>
      <c r="B255" s="12" t="s">
        <v>670</v>
      </c>
      <c r="C255" s="12" t="s">
        <v>322</v>
      </c>
      <c r="D255" s="12" t="s">
        <v>9</v>
      </c>
      <c r="E255" s="12">
        <v>1834</v>
      </c>
      <c r="F255" s="12">
        <v>67.139267121286608</v>
      </c>
      <c r="G255" s="12">
        <v>44.004017986448154</v>
      </c>
      <c r="H255" s="14">
        <f t="shared" si="35"/>
        <v>80703.368987145921</v>
      </c>
      <c r="I255" s="12">
        <v>34.426545052793173</v>
      </c>
      <c r="J255" s="12">
        <v>31.875421547394332</v>
      </c>
      <c r="K255" s="12">
        <v>33.05370220698785</v>
      </c>
      <c r="L255" s="12">
        <v>50.339302779990561</v>
      </c>
      <c r="M255" s="12">
        <v>39.867019552328159</v>
      </c>
      <c r="N255" s="12">
        <v>18.200588919381904</v>
      </c>
      <c r="O255" s="12">
        <v>17.934905187167821</v>
      </c>
      <c r="P255" s="12">
        <v>42.568718226054237</v>
      </c>
      <c r="Q255" s="12">
        <v>382.34091405039158</v>
      </c>
      <c r="R255" s="15">
        <v>103.92670084693262</v>
      </c>
      <c r="S255" s="15">
        <v>1560.8068681327536</v>
      </c>
      <c r="T255" s="15">
        <v>1605.7519307554583</v>
      </c>
      <c r="AP255" s="12">
        <f t="shared" si="27"/>
        <v>1.1439705982188597</v>
      </c>
      <c r="AQ255" s="12">
        <f t="shared" si="28"/>
        <v>0.96738252945819758</v>
      </c>
      <c r="AU255" s="12">
        <f t="shared" si="29"/>
        <v>0.68388998558949898</v>
      </c>
      <c r="AV255" s="12">
        <f t="shared" si="30"/>
        <v>0.63321142302480471</v>
      </c>
      <c r="AW255" s="12">
        <f t="shared" si="31"/>
        <v>0.6566181965501201</v>
      </c>
      <c r="AX255" s="12">
        <f t="shared" si="32"/>
        <v>0.9365332388121449</v>
      </c>
      <c r="AY255" s="12">
        <f t="shared" si="33"/>
        <v>0.42755783302496081</v>
      </c>
      <c r="AZ255" s="12">
        <f t="shared" si="34"/>
        <v>0.4213165426294358</v>
      </c>
    </row>
    <row r="256" spans="1:52" x14ac:dyDescent="0.55000000000000004">
      <c r="A256" s="12" t="s">
        <v>672</v>
      </c>
      <c r="B256" s="12" t="s">
        <v>673</v>
      </c>
      <c r="C256" s="12" t="s">
        <v>671</v>
      </c>
      <c r="D256" s="12" t="s">
        <v>9</v>
      </c>
      <c r="E256" s="12">
        <v>2011</v>
      </c>
      <c r="F256" s="12">
        <v>69.606411625251724</v>
      </c>
      <c r="G256" s="12">
        <v>39.232500223017063</v>
      </c>
      <c r="H256" s="14">
        <f t="shared" si="35"/>
        <v>78896.557948487316</v>
      </c>
      <c r="I256" s="12">
        <v>30.67586732006815</v>
      </c>
      <c r="J256" s="12">
        <v>16.217592771385167</v>
      </c>
      <c r="K256" s="12">
        <v>23.926689804914339</v>
      </c>
      <c r="L256" s="12">
        <v>37.250141357772058</v>
      </c>
      <c r="M256" s="12">
        <v>33.098089850337573</v>
      </c>
      <c r="N256" s="12">
        <v>9.3978165978455142</v>
      </c>
      <c r="O256" s="12">
        <v>11.029646950275852</v>
      </c>
      <c r="P256" s="12">
        <v>34.264922971685557</v>
      </c>
      <c r="Q256" s="12">
        <v>482.19071744788937</v>
      </c>
      <c r="R256" s="15">
        <v>212.6377988373776</v>
      </c>
      <c r="S256" s="15">
        <v>1087.2461260388543</v>
      </c>
      <c r="T256" s="15">
        <v>1130.0525746836499</v>
      </c>
      <c r="AP256" s="12">
        <f t="shared" si="27"/>
        <v>0.94947151331227198</v>
      </c>
      <c r="AQ256" s="12">
        <f t="shared" si="28"/>
        <v>0.87338106867792464</v>
      </c>
      <c r="AU256" s="12">
        <f t="shared" si="29"/>
        <v>0.82351009155748567</v>
      </c>
      <c r="AV256" s="12">
        <f t="shared" si="30"/>
        <v>0.4353699658646113</v>
      </c>
      <c r="AW256" s="12">
        <f t="shared" si="31"/>
        <v>0.64232480556539295</v>
      </c>
      <c r="AX256" s="12">
        <f t="shared" si="32"/>
        <v>0.9659467169293745</v>
      </c>
      <c r="AY256" s="12">
        <f t="shared" si="33"/>
        <v>0.27426930466504468</v>
      </c>
      <c r="AZ256" s="12">
        <f t="shared" si="34"/>
        <v>0.32189323639776107</v>
      </c>
    </row>
    <row r="257" spans="1:52" x14ac:dyDescent="0.55000000000000004">
      <c r="A257" s="12" t="s">
        <v>678</v>
      </c>
      <c r="B257" s="12" t="s">
        <v>679</v>
      </c>
      <c r="C257" s="12" t="s">
        <v>322</v>
      </c>
      <c r="D257" s="12" t="s">
        <v>9</v>
      </c>
      <c r="E257" s="12">
        <v>1443</v>
      </c>
      <c r="F257" s="12">
        <v>67.386814713478913</v>
      </c>
      <c r="G257" s="12">
        <v>41.359575909734133</v>
      </c>
      <c r="H257" s="14">
        <f t="shared" si="35"/>
        <v>59681.868037746353</v>
      </c>
      <c r="I257" s="12">
        <v>38.190953690070209</v>
      </c>
      <c r="J257" s="12">
        <v>23.638425813645746</v>
      </c>
      <c r="K257" s="12">
        <v>30.772257804822011</v>
      </c>
      <c r="L257" s="12">
        <v>50.929104954634859</v>
      </c>
      <c r="M257" s="12">
        <v>37.968957021385343</v>
      </c>
      <c r="N257" s="12">
        <v>17.077764644046745</v>
      </c>
      <c r="O257" s="12">
        <v>16.264173037921424</v>
      </c>
      <c r="P257" s="12">
        <v>41.522727716166735</v>
      </c>
      <c r="Q257" s="12">
        <v>475.97054414192877</v>
      </c>
      <c r="R257" s="15">
        <v>203.59816929431642</v>
      </c>
      <c r="S257" s="15">
        <v>1497.1823619901411</v>
      </c>
      <c r="T257" s="15">
        <v>1528.9856272452291</v>
      </c>
      <c r="AP257" s="12">
        <f t="shared" si="27"/>
        <v>1.2313739644184432</v>
      </c>
      <c r="AQ257" s="12">
        <f t="shared" si="28"/>
        <v>1.0039447166186779</v>
      </c>
      <c r="AU257" s="12">
        <f t="shared" si="29"/>
        <v>0.74988464305604485</v>
      </c>
      <c r="AV257" s="12">
        <f t="shared" si="30"/>
        <v>0.46414375109677841</v>
      </c>
      <c r="AW257" s="12">
        <f t="shared" si="31"/>
        <v>0.60421752615194058</v>
      </c>
      <c r="AX257" s="12">
        <f t="shared" si="32"/>
        <v>0.91441384296634864</v>
      </c>
      <c r="AY257" s="12">
        <f t="shared" si="33"/>
        <v>0.41128715725960302</v>
      </c>
      <c r="AZ257" s="12">
        <f t="shared" si="34"/>
        <v>0.39169327095023726</v>
      </c>
    </row>
    <row r="258" spans="1:52" x14ac:dyDescent="0.55000000000000004">
      <c r="A258" s="12" t="s">
        <v>680</v>
      </c>
      <c r="B258" s="12" t="s">
        <v>681</v>
      </c>
      <c r="C258" s="12" t="s">
        <v>322</v>
      </c>
      <c r="D258" s="12" t="s">
        <v>9</v>
      </c>
      <c r="E258" s="12">
        <v>1965</v>
      </c>
      <c r="F258" s="12">
        <v>69.093427788851841</v>
      </c>
      <c r="G258" s="12">
        <v>37.245527073020497</v>
      </c>
      <c r="H258" s="14">
        <f t="shared" si="35"/>
        <v>73187.460698485273</v>
      </c>
      <c r="I258" s="12">
        <v>37.4929267123321</v>
      </c>
      <c r="J258" s="12">
        <v>28.079840833351092</v>
      </c>
      <c r="K258" s="12">
        <v>23.894452017714226</v>
      </c>
      <c r="L258" s="12">
        <v>43.95987779993964</v>
      </c>
      <c r="M258" s="12">
        <v>39.032768092053253</v>
      </c>
      <c r="N258" s="12">
        <v>19.213367410545853</v>
      </c>
      <c r="O258" s="12">
        <v>11.917237772333978</v>
      </c>
      <c r="P258" s="12">
        <v>43.155290115071907</v>
      </c>
      <c r="Q258" s="12">
        <v>757.18388822060433</v>
      </c>
      <c r="R258" s="15">
        <v>111.63617963565696</v>
      </c>
      <c r="S258" s="15">
        <v>1575.7042994828284</v>
      </c>
      <c r="T258" s="15">
        <v>1748.1909163445346</v>
      </c>
      <c r="AP258" s="12">
        <f t="shared" ref="AP258:AP319" si="36">L258/G258</f>
        <v>1.1802726731120101</v>
      </c>
      <c r="AQ258" s="12">
        <f t="shared" ref="AQ258:AQ319" si="37">P258/G258</f>
        <v>1.1586704097505511</v>
      </c>
      <c r="AU258" s="12">
        <f t="shared" ref="AU258:AU319" si="38">I258/$L258</f>
        <v>0.85288969371028556</v>
      </c>
      <c r="AV258" s="12">
        <f t="shared" ref="AV258:AV319" si="39">J258/$L258</f>
        <v>0.63876066628623906</v>
      </c>
      <c r="AW258" s="12">
        <f t="shared" ref="AW258:AW319" si="40">K258/$L258</f>
        <v>0.5435513748800056</v>
      </c>
      <c r="AX258" s="12">
        <f t="shared" ref="AX258:AX319" si="41">M258/$P258</f>
        <v>0.90447238306066047</v>
      </c>
      <c r="AY258" s="12">
        <f t="shared" ref="AY258:AY319" si="42">N258/$P258</f>
        <v>0.44521465060978976</v>
      </c>
      <c r="AZ258" s="12">
        <f t="shared" ref="AZ258:AZ319" si="43">O258/$P258</f>
        <v>0.27614778490787867</v>
      </c>
    </row>
    <row r="259" spans="1:52" x14ac:dyDescent="0.55000000000000004">
      <c r="A259" s="12" t="s">
        <v>682</v>
      </c>
      <c r="B259" s="12" t="s">
        <v>683</v>
      </c>
      <c r="C259" s="12" t="s">
        <v>134</v>
      </c>
      <c r="D259" s="12" t="s">
        <v>9</v>
      </c>
      <c r="E259" s="12">
        <v>1490</v>
      </c>
      <c r="F259" s="12">
        <v>67.99878823180083</v>
      </c>
      <c r="G259" s="12">
        <v>33.326847298216599</v>
      </c>
      <c r="H259" s="14">
        <f t="shared" ref="H259:H320" si="44">E259*G259</f>
        <v>49657.002474342735</v>
      </c>
      <c r="I259" s="12">
        <v>46.569680294530876</v>
      </c>
      <c r="J259" s="12">
        <v>19.473659519311823</v>
      </c>
      <c r="K259" s="12">
        <v>15.005927126435411</v>
      </c>
      <c r="L259" s="12">
        <v>48.626101990893076</v>
      </c>
      <c r="M259" s="12">
        <v>39.184884726433978</v>
      </c>
      <c r="N259" s="12">
        <v>12.316306356193945</v>
      </c>
      <c r="O259" s="12">
        <v>11.095386765350753</v>
      </c>
      <c r="P259" s="12">
        <v>40.445214817375856</v>
      </c>
      <c r="Q259" s="12">
        <v>713.4186832178259</v>
      </c>
      <c r="R259" s="15">
        <v>42.976771543740156</v>
      </c>
      <c r="S259" s="15">
        <v>865.63383656766132</v>
      </c>
      <c r="T259" s="15">
        <v>942.92664874056243</v>
      </c>
      <c r="AP259" s="12">
        <f t="shared" si="36"/>
        <v>1.4590669665142666</v>
      </c>
      <c r="AQ259" s="12">
        <f t="shared" si="37"/>
        <v>1.2135925866453074</v>
      </c>
      <c r="AU259" s="12">
        <f t="shared" si="38"/>
        <v>0.95770950966319823</v>
      </c>
      <c r="AV259" s="12">
        <f t="shared" si="39"/>
        <v>0.40047749504903646</v>
      </c>
      <c r="AW259" s="12">
        <f t="shared" si="40"/>
        <v>0.30859819134270294</v>
      </c>
      <c r="AX259" s="12">
        <f t="shared" si="41"/>
        <v>0.96883858580965132</v>
      </c>
      <c r="AY259" s="12">
        <f t="shared" si="42"/>
        <v>0.30451825789049042</v>
      </c>
      <c r="AZ259" s="12">
        <f t="shared" si="43"/>
        <v>0.27433126058175894</v>
      </c>
    </row>
    <row r="260" spans="1:52" x14ac:dyDescent="0.55000000000000004">
      <c r="A260" s="12" t="s">
        <v>684</v>
      </c>
      <c r="B260" s="12" t="s">
        <v>685</v>
      </c>
      <c r="C260" s="12" t="s">
        <v>51</v>
      </c>
      <c r="D260" s="12" t="s">
        <v>9</v>
      </c>
      <c r="E260" s="12">
        <v>2148</v>
      </c>
      <c r="F260" s="12">
        <v>69.971707036329178</v>
      </c>
      <c r="G260" s="12">
        <v>31.484358926337638</v>
      </c>
      <c r="H260" s="14">
        <f t="shared" si="44"/>
        <v>67628.402973773249</v>
      </c>
      <c r="I260" s="12">
        <v>58.031408010792788</v>
      </c>
      <c r="J260" s="12">
        <v>33.847020808779007</v>
      </c>
      <c r="K260" s="12">
        <v>32.704658284878249</v>
      </c>
      <c r="L260" s="12">
        <v>66.644893655456357</v>
      </c>
      <c r="M260" s="12">
        <v>38.266431398176756</v>
      </c>
      <c r="N260" s="12">
        <v>9.1404388788155568</v>
      </c>
      <c r="O260" s="12">
        <v>28.011215178352053</v>
      </c>
      <c r="P260" s="12">
        <v>40.566004553709575</v>
      </c>
      <c r="Q260" s="12">
        <v>723.53078346471602</v>
      </c>
      <c r="R260" s="15">
        <v>81.379595492527443</v>
      </c>
      <c r="S260" s="15">
        <v>1412.0018927175506</v>
      </c>
      <c r="T260" s="15">
        <v>1525.4871724003194</v>
      </c>
      <c r="AP260" s="12">
        <f t="shared" si="36"/>
        <v>2.1167619709641237</v>
      </c>
      <c r="AQ260" s="12">
        <f t="shared" si="37"/>
        <v>1.2884494376594995</v>
      </c>
      <c r="AU260" s="12">
        <f t="shared" si="38"/>
        <v>0.87075550470237162</v>
      </c>
      <c r="AV260" s="12">
        <f t="shared" si="39"/>
        <v>0.50787118040525048</v>
      </c>
      <c r="AW260" s="12">
        <f t="shared" si="40"/>
        <v>0.49073014436719187</v>
      </c>
      <c r="AX260" s="12">
        <f t="shared" si="41"/>
        <v>0.94331280142494256</v>
      </c>
      <c r="AY260" s="12">
        <f t="shared" si="42"/>
        <v>0.22532263108913214</v>
      </c>
      <c r="AZ260" s="12">
        <f t="shared" si="43"/>
        <v>0.69050959014869395</v>
      </c>
    </row>
    <row r="261" spans="1:52" x14ac:dyDescent="0.55000000000000004">
      <c r="A261" s="12" t="s">
        <v>686</v>
      </c>
      <c r="B261" s="12" t="s">
        <v>687</v>
      </c>
      <c r="C261" s="12" t="s">
        <v>515</v>
      </c>
      <c r="D261" s="12" t="s">
        <v>9</v>
      </c>
      <c r="E261" s="12">
        <v>1988</v>
      </c>
      <c r="F261" s="12">
        <v>71.777797961921365</v>
      </c>
      <c r="G261" s="12">
        <v>43.17396748004699</v>
      </c>
      <c r="H261" s="14">
        <f t="shared" si="44"/>
        <v>85829.84735033341</v>
      </c>
      <c r="I261" s="12">
        <v>57.040085454345288</v>
      </c>
      <c r="J261" s="12">
        <v>51.870691273027049</v>
      </c>
      <c r="K261" s="12">
        <v>27.358743821285032</v>
      </c>
      <c r="L261" s="12">
        <v>80.39472464157457</v>
      </c>
      <c r="M261" s="12">
        <v>33.445278267607314</v>
      </c>
      <c r="N261" s="12">
        <v>27.33133991780587</v>
      </c>
      <c r="O261" s="12">
        <v>18.930808231096634</v>
      </c>
      <c r="P261" s="12">
        <v>44.603857087555689</v>
      </c>
      <c r="Q261" s="12">
        <v>428.74840393176106</v>
      </c>
      <c r="R261" s="15">
        <v>110.6231564350943</v>
      </c>
      <c r="S261" s="15">
        <v>1355.9683666365286</v>
      </c>
      <c r="T261" s="15">
        <v>1385.1757763066541</v>
      </c>
      <c r="AP261" s="12">
        <f t="shared" si="36"/>
        <v>1.862111113108363</v>
      </c>
      <c r="AQ261" s="12">
        <f t="shared" si="37"/>
        <v>1.0331192542860355</v>
      </c>
      <c r="AU261" s="12">
        <f t="shared" si="38"/>
        <v>0.70950035227620045</v>
      </c>
      <c r="AV261" s="12">
        <f t="shared" si="39"/>
        <v>0.6452001857619788</v>
      </c>
      <c r="AW261" s="12">
        <f t="shared" si="40"/>
        <v>0.34030521210513592</v>
      </c>
      <c r="AX261" s="12">
        <f t="shared" si="41"/>
        <v>0.74982928498662116</v>
      </c>
      <c r="AY261" s="12">
        <f t="shared" si="42"/>
        <v>0.61275731971240699</v>
      </c>
      <c r="AZ261" s="12">
        <f t="shared" si="43"/>
        <v>0.42442087898219588</v>
      </c>
    </row>
    <row r="262" spans="1:52" x14ac:dyDescent="0.55000000000000004">
      <c r="A262" s="12" t="s">
        <v>688</v>
      </c>
      <c r="B262" s="12" t="s">
        <v>689</v>
      </c>
      <c r="C262" s="12" t="s">
        <v>322</v>
      </c>
      <c r="D262" s="12" t="s">
        <v>9</v>
      </c>
      <c r="E262" s="12">
        <v>1693</v>
      </c>
      <c r="F262" s="12">
        <v>72.568553719100493</v>
      </c>
      <c r="G262" s="12">
        <v>61.326152981968626</v>
      </c>
      <c r="H262" s="14">
        <f t="shared" si="44"/>
        <v>103825.17699847289</v>
      </c>
      <c r="I262" s="12">
        <v>39.03617707911225</v>
      </c>
      <c r="J262" s="12">
        <v>29.868990631685726</v>
      </c>
      <c r="K262" s="12">
        <v>27.833451937676642</v>
      </c>
      <c r="L262" s="12">
        <v>48.956552394622264</v>
      </c>
      <c r="M262" s="12">
        <v>38.783672247431248</v>
      </c>
      <c r="N262" s="12">
        <v>16.340653406127501</v>
      </c>
      <c r="O262" s="12">
        <v>14.490765194731553</v>
      </c>
      <c r="P262" s="12">
        <v>43.746890885113153</v>
      </c>
      <c r="Q262" s="12">
        <v>449.32227871092635</v>
      </c>
      <c r="R262" s="15">
        <v>120.20399021153018</v>
      </c>
      <c r="S262" s="15">
        <v>1165.6900187182225</v>
      </c>
      <c r="T262" s="15">
        <v>1182.6295364432228</v>
      </c>
      <c r="AP262" s="12">
        <f t="shared" si="36"/>
        <v>0.79829811612374701</v>
      </c>
      <c r="AQ262" s="12">
        <f t="shared" si="37"/>
        <v>0.71334803763046739</v>
      </c>
      <c r="AU262" s="12">
        <f t="shared" si="38"/>
        <v>0.79736368616104314</v>
      </c>
      <c r="AV262" s="12">
        <f t="shared" si="39"/>
        <v>0.61011221523365988</v>
      </c>
      <c r="AW262" s="12">
        <f t="shared" si="40"/>
        <v>0.56853374219084241</v>
      </c>
      <c r="AX262" s="12">
        <f t="shared" si="41"/>
        <v>0.88654693997074741</v>
      </c>
      <c r="AY262" s="12">
        <f t="shared" si="42"/>
        <v>0.37352719417342967</v>
      </c>
      <c r="AZ262" s="12">
        <f t="shared" si="43"/>
        <v>0.33124102996911919</v>
      </c>
    </row>
    <row r="263" spans="1:52" x14ac:dyDescent="0.55000000000000004">
      <c r="A263" s="12" t="s">
        <v>690</v>
      </c>
      <c r="B263" s="12" t="s">
        <v>691</v>
      </c>
      <c r="C263" s="12" t="s">
        <v>51</v>
      </c>
      <c r="D263" s="12" t="s">
        <v>9</v>
      </c>
      <c r="E263" s="12">
        <v>1759</v>
      </c>
      <c r="F263" s="12">
        <v>68.819426721989387</v>
      </c>
      <c r="G263" s="12">
        <v>29.085754171630374</v>
      </c>
      <c r="H263" s="14">
        <f t="shared" si="44"/>
        <v>51161.841587897827</v>
      </c>
      <c r="I263" s="12">
        <v>38.073716791779205</v>
      </c>
      <c r="J263" s="12">
        <v>38.376587555986397</v>
      </c>
      <c r="K263" s="12">
        <v>19.820855828509732</v>
      </c>
      <c r="L263" s="12">
        <v>51.892794308067451</v>
      </c>
      <c r="M263" s="12">
        <v>29.134178452442544</v>
      </c>
      <c r="N263" s="12">
        <v>10.326863410246421</v>
      </c>
      <c r="O263" s="12">
        <v>22.49799723677701</v>
      </c>
      <c r="P263" s="12">
        <v>33.146228612475362</v>
      </c>
      <c r="Q263" s="12">
        <v>881.81808850962898</v>
      </c>
      <c r="R263" s="15">
        <v>199.75908835326589</v>
      </c>
      <c r="S263" s="15">
        <v>695.35591165209416</v>
      </c>
      <c r="T263" s="15">
        <v>885.10239124705754</v>
      </c>
      <c r="AP263" s="12">
        <f t="shared" si="36"/>
        <v>1.784130952969498</v>
      </c>
      <c r="AQ263" s="12">
        <f t="shared" si="37"/>
        <v>1.1396035467014118</v>
      </c>
      <c r="AU263" s="12">
        <f t="shared" si="38"/>
        <v>0.73369949141204982</v>
      </c>
      <c r="AV263" s="12">
        <f t="shared" si="39"/>
        <v>0.73953596193258431</v>
      </c>
      <c r="AW263" s="12">
        <f t="shared" si="40"/>
        <v>0.38195776683061189</v>
      </c>
      <c r="AX263" s="12">
        <f t="shared" si="41"/>
        <v>0.87895907534642448</v>
      </c>
      <c r="AY263" s="12">
        <f t="shared" si="42"/>
        <v>0.31155470297938098</v>
      </c>
      <c r="AZ263" s="12">
        <f t="shared" si="43"/>
        <v>0.67874983606157113</v>
      </c>
    </row>
    <row r="264" spans="1:52" x14ac:dyDescent="0.55000000000000004">
      <c r="A264" s="12" t="s">
        <v>692</v>
      </c>
      <c r="B264" s="12" t="s">
        <v>693</v>
      </c>
      <c r="C264" s="12" t="s">
        <v>322</v>
      </c>
      <c r="D264" s="12" t="s">
        <v>9</v>
      </c>
      <c r="E264" s="12">
        <v>1524</v>
      </c>
      <c r="F264" s="12">
        <v>70.323296715093534</v>
      </c>
      <c r="G264" s="12">
        <v>43.980689527433128</v>
      </c>
      <c r="H264" s="14">
        <f t="shared" si="44"/>
        <v>67026.57083980809</v>
      </c>
      <c r="I264" s="12">
        <v>42.834831400990161</v>
      </c>
      <c r="J264" s="12">
        <v>24.797319946069308</v>
      </c>
      <c r="K264" s="12">
        <v>36.334569900207882</v>
      </c>
      <c r="L264" s="12">
        <v>55.467659885963307</v>
      </c>
      <c r="M264" s="12">
        <v>42.480174974415661</v>
      </c>
      <c r="N264" s="12">
        <v>14.481616872293687</v>
      </c>
      <c r="O264" s="12">
        <v>8.4645159644093706</v>
      </c>
      <c r="P264" s="12">
        <v>44.416524840458003</v>
      </c>
      <c r="Q264" s="12">
        <v>616.96990938605495</v>
      </c>
      <c r="R264" s="15">
        <v>284.04150896441206</v>
      </c>
      <c r="S264" s="15">
        <v>1171.7614476942601</v>
      </c>
      <c r="T264" s="15">
        <v>1251.333155120401</v>
      </c>
      <c r="AP264" s="12">
        <f t="shared" si="36"/>
        <v>1.2611821342947598</v>
      </c>
      <c r="AQ264" s="12">
        <f t="shared" si="37"/>
        <v>1.0099096971354444</v>
      </c>
      <c r="AU264" s="12">
        <f t="shared" si="38"/>
        <v>0.77224875700642237</v>
      </c>
      <c r="AV264" s="12">
        <f t="shared" si="39"/>
        <v>0.44705906102854248</v>
      </c>
      <c r="AW264" s="12">
        <f t="shared" si="40"/>
        <v>0.65505864092533561</v>
      </c>
      <c r="AX264" s="12">
        <f t="shared" si="41"/>
        <v>0.95640474186133162</v>
      </c>
      <c r="AY264" s="12">
        <f t="shared" si="42"/>
        <v>0.32604119580068341</v>
      </c>
      <c r="AZ264" s="12">
        <f t="shared" si="43"/>
        <v>0.19057132440715477</v>
      </c>
    </row>
    <row r="265" spans="1:52" x14ac:dyDescent="0.55000000000000004">
      <c r="A265" s="12" t="s">
        <v>694</v>
      </c>
      <c r="B265" s="12" t="s">
        <v>695</v>
      </c>
      <c r="C265" s="12" t="s">
        <v>322</v>
      </c>
      <c r="D265" s="12" t="s">
        <v>9</v>
      </c>
      <c r="E265" s="12">
        <v>2097</v>
      </c>
      <c r="F265" s="12">
        <v>71.277298512053562</v>
      </c>
      <c r="G265" s="12">
        <v>40.796479013772412</v>
      </c>
      <c r="H265" s="14">
        <f t="shared" si="44"/>
        <v>85550.216491880754</v>
      </c>
      <c r="I265" s="12">
        <v>34.904196656505171</v>
      </c>
      <c r="J265" s="12">
        <v>14.89166848760604</v>
      </c>
      <c r="K265" s="12">
        <v>30.429296039501445</v>
      </c>
      <c r="L265" s="12">
        <v>47.108715915642463</v>
      </c>
      <c r="M265" s="12">
        <v>40.046045877108568</v>
      </c>
      <c r="N265" s="12">
        <v>15.00094425878375</v>
      </c>
      <c r="O265" s="12">
        <v>13.033486854169716</v>
      </c>
      <c r="P265" s="12">
        <v>42.935815012270297</v>
      </c>
      <c r="Q265" s="12">
        <v>570.43450662048531</v>
      </c>
      <c r="R265" s="15">
        <v>97.184464984696973</v>
      </c>
      <c r="S265" s="15">
        <v>1263.9651310055929</v>
      </c>
      <c r="T265" s="15">
        <v>1271.3437140270307</v>
      </c>
      <c r="AP265" s="12">
        <f t="shared" si="36"/>
        <v>1.1547250413384722</v>
      </c>
      <c r="AQ265" s="12">
        <f t="shared" si="37"/>
        <v>1.0524392312820836</v>
      </c>
      <c r="AU265" s="12">
        <f t="shared" si="38"/>
        <v>0.74092863662444308</v>
      </c>
      <c r="AV265" s="12">
        <f t="shared" si="39"/>
        <v>0.31611280838714723</v>
      </c>
      <c r="AW265" s="12">
        <f t="shared" si="40"/>
        <v>0.64593770914900672</v>
      </c>
      <c r="AX265" s="12">
        <f t="shared" si="41"/>
        <v>0.93269560309182709</v>
      </c>
      <c r="AY265" s="12">
        <f t="shared" si="42"/>
        <v>0.34938068031308467</v>
      </c>
      <c r="AZ265" s="12">
        <f t="shared" si="43"/>
        <v>0.30355745781103671</v>
      </c>
    </row>
    <row r="266" spans="1:52" x14ac:dyDescent="0.55000000000000004">
      <c r="A266" s="12" t="s">
        <v>696</v>
      </c>
      <c r="B266" s="12" t="s">
        <v>697</v>
      </c>
      <c r="C266" s="12" t="s">
        <v>8</v>
      </c>
      <c r="D266" s="12" t="s">
        <v>9</v>
      </c>
      <c r="E266" s="12">
        <v>1486</v>
      </c>
      <c r="F266" s="12">
        <v>71.82747233451623</v>
      </c>
      <c r="G266" s="12">
        <v>50.020971511686973</v>
      </c>
      <c r="H266" s="14">
        <f t="shared" si="44"/>
        <v>74331.163666366847</v>
      </c>
      <c r="I266" s="12">
        <v>45.041547274048938</v>
      </c>
      <c r="J266" s="12">
        <v>17.729235355279563</v>
      </c>
      <c r="K266" s="12">
        <v>31.991871297012498</v>
      </c>
      <c r="L266" s="12">
        <v>51.282392003499396</v>
      </c>
      <c r="M266" s="12">
        <v>46.847519024878004</v>
      </c>
      <c r="N266" s="12">
        <v>14.923587911582132</v>
      </c>
      <c r="O266" s="12">
        <v>16.559879732461681</v>
      </c>
      <c r="P266" s="12">
        <v>48.246572745163284</v>
      </c>
      <c r="Q266" s="12">
        <v>508.83683003672746</v>
      </c>
      <c r="R266" s="15">
        <v>47.959378265177932</v>
      </c>
      <c r="S266" s="15">
        <v>1301.5333468078627</v>
      </c>
      <c r="T266" s="15">
        <v>1334.008400017897</v>
      </c>
      <c r="AP266" s="12">
        <f t="shared" si="36"/>
        <v>1.0252178327147785</v>
      </c>
      <c r="AQ266" s="12">
        <f t="shared" si="37"/>
        <v>0.96452690315882583</v>
      </c>
      <c r="AU266" s="12">
        <f t="shared" si="38"/>
        <v>0.87830433633000982</v>
      </c>
      <c r="AV266" s="12">
        <f t="shared" si="39"/>
        <v>0.34571779245534723</v>
      </c>
      <c r="AW266" s="12">
        <f t="shared" si="40"/>
        <v>0.62383734547385084</v>
      </c>
      <c r="AX266" s="12">
        <f t="shared" si="41"/>
        <v>0.97100200821154625</v>
      </c>
      <c r="AY266" s="12">
        <f t="shared" si="42"/>
        <v>0.30931913009464951</v>
      </c>
      <c r="AZ266" s="12">
        <f t="shared" si="43"/>
        <v>0.34323432298352857</v>
      </c>
    </row>
    <row r="267" spans="1:52" x14ac:dyDescent="0.55000000000000004">
      <c r="A267" s="12" t="s">
        <v>698</v>
      </c>
      <c r="B267" s="12" t="s">
        <v>699</v>
      </c>
      <c r="C267" s="12" t="s">
        <v>322</v>
      </c>
      <c r="D267" s="12" t="s">
        <v>9</v>
      </c>
      <c r="E267" s="12">
        <v>1869</v>
      </c>
      <c r="F267" s="12">
        <v>69.873679761550449</v>
      </c>
      <c r="G267" s="12">
        <v>36.343789440363054</v>
      </c>
      <c r="H267" s="14">
        <f t="shared" si="44"/>
        <v>67926.542464038546</v>
      </c>
      <c r="I267" s="12">
        <v>34.335899618979354</v>
      </c>
      <c r="J267" s="12">
        <v>16.598330753499638</v>
      </c>
      <c r="K267" s="12">
        <v>38.500110189826842</v>
      </c>
      <c r="L267" s="12">
        <v>53.386303777214614</v>
      </c>
      <c r="M267" s="12">
        <v>33.702133948114451</v>
      </c>
      <c r="N267" s="12">
        <v>18.077965731930032</v>
      </c>
      <c r="O267" s="12">
        <v>16.192110308548894</v>
      </c>
      <c r="P267" s="12">
        <v>40.475868514559735</v>
      </c>
      <c r="Q267" s="12">
        <v>370.11924348918188</v>
      </c>
      <c r="R267" s="15">
        <v>93.003060710025977</v>
      </c>
      <c r="S267" s="15">
        <v>1054.1956245092447</v>
      </c>
      <c r="T267" s="15">
        <v>1074.6434456059458</v>
      </c>
      <c r="AP267" s="12">
        <f t="shared" si="36"/>
        <v>1.4689250790652093</v>
      </c>
      <c r="AQ267" s="12">
        <f t="shared" si="37"/>
        <v>1.113694227757319</v>
      </c>
      <c r="AU267" s="12">
        <f t="shared" si="38"/>
        <v>0.6431593346912694</v>
      </c>
      <c r="AV267" s="12">
        <f t="shared" si="39"/>
        <v>0.31090990720702116</v>
      </c>
      <c r="AW267" s="12">
        <f t="shared" si="40"/>
        <v>0.72116081215307448</v>
      </c>
      <c r="AX267" s="12">
        <f t="shared" si="41"/>
        <v>0.83264757953226676</v>
      </c>
      <c r="AY267" s="12">
        <f t="shared" si="42"/>
        <v>0.44663564724811611</v>
      </c>
      <c r="AZ267" s="12">
        <f t="shared" si="43"/>
        <v>0.40004355441377043</v>
      </c>
    </row>
    <row r="268" spans="1:52" x14ac:dyDescent="0.55000000000000004">
      <c r="A268" s="12" t="s">
        <v>700</v>
      </c>
      <c r="B268" s="12" t="s">
        <v>701</v>
      </c>
      <c r="C268" s="12" t="s">
        <v>322</v>
      </c>
      <c r="D268" s="12" t="s">
        <v>9</v>
      </c>
      <c r="E268" s="12">
        <v>1937</v>
      </c>
      <c r="F268" s="12">
        <v>72.020988790514878</v>
      </c>
      <c r="G268" s="12">
        <v>42.38670549873428</v>
      </c>
      <c r="H268" s="14">
        <f t="shared" si="44"/>
        <v>82103.048551048298</v>
      </c>
      <c r="I268" s="12">
        <v>41.246330332852992</v>
      </c>
      <c r="J268" s="12">
        <v>19.200098844269487</v>
      </c>
      <c r="K268" s="12">
        <v>27.095918808128985</v>
      </c>
      <c r="L268" s="12">
        <v>48.289399212182346</v>
      </c>
      <c r="M268" s="12">
        <v>40.522209380865178</v>
      </c>
      <c r="N268" s="12">
        <v>19.646254890076076</v>
      </c>
      <c r="O268" s="12">
        <v>12.302183848598958</v>
      </c>
      <c r="P268" s="12">
        <v>42.946251237722393</v>
      </c>
      <c r="Q268" s="12">
        <v>443.03353915446257</v>
      </c>
      <c r="R268" s="15">
        <v>56.362756313950655</v>
      </c>
      <c r="S268" s="15">
        <v>951.44331745137379</v>
      </c>
      <c r="T268" s="15">
        <v>1045.7175782155302</v>
      </c>
      <c r="AP268" s="12">
        <f t="shared" si="36"/>
        <v>1.1392581387016343</v>
      </c>
      <c r="AQ268" s="12">
        <f t="shared" si="37"/>
        <v>1.0132009726258349</v>
      </c>
      <c r="AU268" s="12">
        <f t="shared" si="38"/>
        <v>0.85414875740362195</v>
      </c>
      <c r="AV268" s="12">
        <f t="shared" si="39"/>
        <v>0.39760483993401446</v>
      </c>
      <c r="AW268" s="12">
        <f t="shared" si="40"/>
        <v>0.56111526028870706</v>
      </c>
      <c r="AX268" s="12">
        <f t="shared" si="41"/>
        <v>0.94355638066197434</v>
      </c>
      <c r="AY268" s="12">
        <f t="shared" si="42"/>
        <v>0.45746146226657231</v>
      </c>
      <c r="AZ268" s="12">
        <f t="shared" si="43"/>
        <v>0.28645535975892528</v>
      </c>
    </row>
    <row r="269" spans="1:52" x14ac:dyDescent="0.55000000000000004">
      <c r="A269" s="12" t="s">
        <v>702</v>
      </c>
      <c r="B269" s="12" t="s">
        <v>703</v>
      </c>
      <c r="C269" s="12" t="s">
        <v>322</v>
      </c>
      <c r="D269" s="12" t="s">
        <v>9</v>
      </c>
      <c r="E269" s="12">
        <v>2769</v>
      </c>
      <c r="F269" s="12">
        <v>69.509369035129652</v>
      </c>
      <c r="G269" s="12">
        <v>35.492994958420034</v>
      </c>
      <c r="H269" s="14">
        <f t="shared" si="44"/>
        <v>98280.103039865076</v>
      </c>
      <c r="I269" s="12">
        <v>41.303319189881591</v>
      </c>
      <c r="J269" s="12">
        <v>15.2304732163248</v>
      </c>
      <c r="K269" s="12">
        <v>31.23438164637281</v>
      </c>
      <c r="L269" s="12">
        <v>46.073987823763296</v>
      </c>
      <c r="M269" s="12">
        <v>32.308466281711318</v>
      </c>
      <c r="N269" s="12">
        <v>9.14004985305227</v>
      </c>
      <c r="O269" s="12">
        <v>19.6228069436421</v>
      </c>
      <c r="P269" s="12">
        <v>33.859690511573369</v>
      </c>
      <c r="Q269" s="12">
        <v>292.17672844866047</v>
      </c>
      <c r="R269" s="15">
        <v>43.402576087156859</v>
      </c>
      <c r="S269" s="15">
        <v>1070.1077088585262</v>
      </c>
      <c r="T269" s="15">
        <v>1072.8037868660599</v>
      </c>
      <c r="AP269" s="12">
        <f t="shared" si="36"/>
        <v>1.2981149626211841</v>
      </c>
      <c r="AQ269" s="12">
        <f t="shared" si="37"/>
        <v>0.95398234359314904</v>
      </c>
      <c r="AU269" s="12">
        <f t="shared" si="38"/>
        <v>0.89645635511017852</v>
      </c>
      <c r="AV269" s="12">
        <f t="shared" si="39"/>
        <v>0.33056555196790394</v>
      </c>
      <c r="AW269" s="12">
        <f t="shared" si="40"/>
        <v>0.67791791250730948</v>
      </c>
      <c r="AX269" s="12">
        <f t="shared" si="41"/>
        <v>0.95418669791645505</v>
      </c>
      <c r="AY269" s="12">
        <f t="shared" si="42"/>
        <v>0.26993896621495012</v>
      </c>
      <c r="AZ269" s="12">
        <f t="shared" si="43"/>
        <v>0.57953296817450095</v>
      </c>
    </row>
    <row r="270" spans="1:52" x14ac:dyDescent="0.55000000000000004">
      <c r="A270" s="12" t="s">
        <v>704</v>
      </c>
      <c r="B270" s="12" t="s">
        <v>705</v>
      </c>
      <c r="C270" s="12" t="s">
        <v>8</v>
      </c>
      <c r="D270" s="12" t="s">
        <v>9</v>
      </c>
      <c r="E270" s="12">
        <v>1776</v>
      </c>
      <c r="F270" s="12">
        <v>71.599151536600999</v>
      </c>
      <c r="G270" s="12">
        <v>31.019674730537545</v>
      </c>
      <c r="H270" s="14">
        <f t="shared" si="44"/>
        <v>55090.942321434683</v>
      </c>
      <c r="I270" s="12">
        <v>44.046070277942547</v>
      </c>
      <c r="J270" s="12">
        <v>16.17880010350358</v>
      </c>
      <c r="K270" s="12">
        <v>28.23456003861185</v>
      </c>
      <c r="L270" s="12">
        <v>47.562604836395501</v>
      </c>
      <c r="M270" s="12">
        <v>34.484885883022756</v>
      </c>
      <c r="N270" s="12">
        <v>8.8990844845808628</v>
      </c>
      <c r="O270" s="12">
        <v>18.590027327062181</v>
      </c>
      <c r="P270" s="12">
        <v>35.701375388170696</v>
      </c>
      <c r="Q270" s="12">
        <v>875.34813582091374</v>
      </c>
      <c r="R270" s="15">
        <v>110.40377143529054</v>
      </c>
      <c r="S270" s="15">
        <v>872.7309416014441</v>
      </c>
      <c r="T270" s="15">
        <v>992.46479470461179</v>
      </c>
      <c r="AP270" s="12">
        <f t="shared" si="36"/>
        <v>1.5333044349937088</v>
      </c>
      <c r="AQ270" s="12">
        <f t="shared" si="37"/>
        <v>1.1509268133306445</v>
      </c>
      <c r="AU270" s="12">
        <f t="shared" si="38"/>
        <v>0.92606513939787294</v>
      </c>
      <c r="AV270" s="12">
        <f t="shared" si="39"/>
        <v>0.34015799090808752</v>
      </c>
      <c r="AW270" s="12">
        <f t="shared" si="40"/>
        <v>0.59362938879677196</v>
      </c>
      <c r="AX270" s="12">
        <f t="shared" si="41"/>
        <v>0.96592597646669343</v>
      </c>
      <c r="AY270" s="12">
        <f t="shared" si="42"/>
        <v>0.24926447196567916</v>
      </c>
      <c r="AZ270" s="12">
        <f t="shared" si="43"/>
        <v>0.52070899580025165</v>
      </c>
    </row>
    <row r="271" spans="1:52" x14ac:dyDescent="0.55000000000000004">
      <c r="A271" s="12" t="s">
        <v>706</v>
      </c>
      <c r="B271" s="12" t="s">
        <v>707</v>
      </c>
      <c r="C271" s="12" t="s">
        <v>322</v>
      </c>
      <c r="D271" s="12" t="s">
        <v>9</v>
      </c>
      <c r="E271" s="12">
        <v>2231</v>
      </c>
      <c r="F271" s="12">
        <v>69.183693597943346</v>
      </c>
      <c r="G271" s="12">
        <v>30.198812125381512</v>
      </c>
      <c r="H271" s="14">
        <f t="shared" si="44"/>
        <v>67373.549851726159</v>
      </c>
      <c r="I271" s="12">
        <v>29.327993519106684</v>
      </c>
      <c r="J271" s="12">
        <v>6.6816117651578981</v>
      </c>
      <c r="K271" s="12">
        <v>31.231760214649746</v>
      </c>
      <c r="L271" s="12">
        <v>38.401944720274081</v>
      </c>
      <c r="M271" s="12">
        <v>25.883211008649369</v>
      </c>
      <c r="N271" s="12">
        <v>8.897032756990253</v>
      </c>
      <c r="O271" s="12">
        <v>23.053608491629046</v>
      </c>
      <c r="P271" s="12">
        <v>32.439606200414715</v>
      </c>
      <c r="Q271" s="12">
        <v>416.12127041361401</v>
      </c>
      <c r="R271" s="15">
        <v>87.95796315736429</v>
      </c>
      <c r="S271" s="15">
        <v>930.55040042161363</v>
      </c>
      <c r="T271" s="15">
        <v>973.24079530503252</v>
      </c>
      <c r="AP271" s="12">
        <f t="shared" si="36"/>
        <v>1.2716375915991078</v>
      </c>
      <c r="AQ271" s="12">
        <f t="shared" si="37"/>
        <v>1.0742013979135907</v>
      </c>
      <c r="AU271" s="12">
        <f t="shared" si="38"/>
        <v>0.76371115402452894</v>
      </c>
      <c r="AV271" s="12">
        <f t="shared" si="39"/>
        <v>0.17399149480131354</v>
      </c>
      <c r="AW271" s="12">
        <f t="shared" si="40"/>
        <v>0.81328590106951337</v>
      </c>
      <c r="AX271" s="12">
        <f t="shared" si="41"/>
        <v>0.79788918671640574</v>
      </c>
      <c r="AY271" s="12">
        <f t="shared" si="42"/>
        <v>0.27426451178302252</v>
      </c>
      <c r="AZ271" s="12">
        <f t="shared" si="43"/>
        <v>0.7106624029034706</v>
      </c>
    </row>
    <row r="272" spans="1:52" x14ac:dyDescent="0.55000000000000004">
      <c r="A272" s="12" t="s">
        <v>708</v>
      </c>
      <c r="B272" s="12" t="s">
        <v>709</v>
      </c>
      <c r="C272" s="12" t="s">
        <v>322</v>
      </c>
      <c r="D272" s="12" t="s">
        <v>9</v>
      </c>
      <c r="E272" s="12">
        <v>2300</v>
      </c>
      <c r="F272" s="12">
        <v>70.062221185943699</v>
      </c>
      <c r="G272" s="12">
        <v>37.807745630653805</v>
      </c>
      <c r="H272" s="14">
        <f t="shared" si="44"/>
        <v>86957.814950503758</v>
      </c>
      <c r="I272" s="12">
        <v>37.327061950928908</v>
      </c>
      <c r="J272" s="12">
        <v>12.496414243846607</v>
      </c>
      <c r="K272" s="12">
        <v>38.787758158255421</v>
      </c>
      <c r="L272" s="12">
        <v>52.782343508636693</v>
      </c>
      <c r="M272" s="12">
        <v>33.60140396695094</v>
      </c>
      <c r="N272" s="12">
        <v>15.409982827576769</v>
      </c>
      <c r="O272" s="12">
        <v>18.195653750078264</v>
      </c>
      <c r="P272" s="12">
        <v>40.437771303486755</v>
      </c>
      <c r="Q272" s="12">
        <v>385.35096817146871</v>
      </c>
      <c r="R272" s="15">
        <v>157.51632626027171</v>
      </c>
      <c r="S272" s="15">
        <v>1148.8976401044306</v>
      </c>
      <c r="T272" s="15">
        <v>1157.9233021167308</v>
      </c>
      <c r="AP272" s="12">
        <f t="shared" si="36"/>
        <v>1.3960722235139502</v>
      </c>
      <c r="AQ272" s="12">
        <f t="shared" si="37"/>
        <v>1.0695631445081606</v>
      </c>
      <c r="AU272" s="12">
        <f t="shared" si="38"/>
        <v>0.70718841699063895</v>
      </c>
      <c r="AV272" s="12">
        <f t="shared" si="39"/>
        <v>0.23675368339417968</v>
      </c>
      <c r="AW272" s="12">
        <f t="shared" si="40"/>
        <v>0.73486237214739514</v>
      </c>
      <c r="AX272" s="12">
        <f t="shared" si="41"/>
        <v>0.83094104555791015</v>
      </c>
      <c r="AY272" s="12">
        <f t="shared" si="42"/>
        <v>0.38107893513528129</v>
      </c>
      <c r="AZ272" s="12">
        <f t="shared" si="43"/>
        <v>0.44996678015510072</v>
      </c>
    </row>
    <row r="273" spans="1:61" x14ac:dyDescent="0.55000000000000004">
      <c r="A273" s="12" t="s">
        <v>722</v>
      </c>
      <c r="B273" s="12" t="s">
        <v>723</v>
      </c>
      <c r="C273" s="12" t="s">
        <v>322</v>
      </c>
      <c r="D273" s="12" t="s">
        <v>9</v>
      </c>
      <c r="E273" s="12">
        <v>1700</v>
      </c>
      <c r="F273" s="12">
        <v>68.755033016406557</v>
      </c>
      <c r="G273" s="12">
        <v>39.630569310933566</v>
      </c>
      <c r="H273" s="14">
        <f t="shared" si="44"/>
        <v>67371.967828587061</v>
      </c>
      <c r="I273" s="12">
        <v>44.407390169832922</v>
      </c>
      <c r="J273" s="12">
        <v>27.778528392859428</v>
      </c>
      <c r="K273" s="12">
        <v>21.761140294482267</v>
      </c>
      <c r="L273" s="12">
        <v>51.097337269673496</v>
      </c>
      <c r="M273" s="12">
        <v>34.384344417756658</v>
      </c>
      <c r="N273" s="12">
        <v>14.345545438771358</v>
      </c>
      <c r="O273" s="12">
        <v>11.657564665736839</v>
      </c>
      <c r="P273" s="12">
        <v>38.616103389473032</v>
      </c>
      <c r="Q273" s="12">
        <v>620.77827077944892</v>
      </c>
      <c r="R273" s="15">
        <v>121.43989470259362</v>
      </c>
      <c r="S273" s="15">
        <v>523.16292428226109</v>
      </c>
      <c r="T273" s="15">
        <v>673.32781659000489</v>
      </c>
      <c r="U273" s="12">
        <v>52.085528458583596</v>
      </c>
      <c r="V273" s="12">
        <v>15.659501447755174</v>
      </c>
      <c r="W273" s="12">
        <v>70.197987762529777</v>
      </c>
      <c r="X273" s="12">
        <v>77.031871962405503</v>
      </c>
      <c r="Y273" s="12">
        <v>54.209122835776839</v>
      </c>
      <c r="Z273" s="12">
        <v>20.013140187409746</v>
      </c>
      <c r="AA273" s="12">
        <v>10.337108271505503</v>
      </c>
      <c r="AB273" s="12">
        <v>55.449707475761151</v>
      </c>
      <c r="AC273" s="12">
        <v>61.671393792608711</v>
      </c>
      <c r="AD273" s="12">
        <v>16.482069881803834</v>
      </c>
      <c r="AE273" s="12">
        <v>26.774286843049961</v>
      </c>
      <c r="AF273" s="12">
        <v>65.220046097036416</v>
      </c>
      <c r="AG273" s="12">
        <v>1400.1863230408785</v>
      </c>
      <c r="AH273" s="12">
        <v>1092.3936535956354</v>
      </c>
      <c r="AI273" s="12">
        <v>2541.5990997663675</v>
      </c>
      <c r="AJ273" s="12">
        <v>2743.5549771618771</v>
      </c>
      <c r="AK273" s="12">
        <v>1358.7130443617536</v>
      </c>
      <c r="AL273" s="12">
        <v>1428.2943695009567</v>
      </c>
      <c r="AM273" s="12">
        <v>1474.7638997999948</v>
      </c>
      <c r="AN273" s="12">
        <v>1936.4768347500856</v>
      </c>
      <c r="AP273" s="12">
        <f t="shared" si="36"/>
        <v>1.2893414896156032</v>
      </c>
      <c r="AQ273" s="12">
        <f t="shared" si="37"/>
        <v>0.97440193418617749</v>
      </c>
      <c r="AR273" s="12">
        <f>X273/G273</f>
        <v>1.9437488106221426</v>
      </c>
      <c r="AS273" s="12">
        <f>AB273/G273</f>
        <v>1.3991650496038492</v>
      </c>
      <c r="AT273" s="12">
        <f>AF273/G273</f>
        <v>1.6457004587880861</v>
      </c>
      <c r="AU273" s="12">
        <f t="shared" si="38"/>
        <v>0.86907444776361986</v>
      </c>
      <c r="AV273" s="12">
        <f t="shared" si="39"/>
        <v>0.54363945123508639</v>
      </c>
      <c r="AW273" s="12">
        <f t="shared" si="40"/>
        <v>0.42587620915811603</v>
      </c>
      <c r="AX273" s="12">
        <f t="shared" si="41"/>
        <v>0.89041465605589876</v>
      </c>
      <c r="AY273" s="12">
        <f t="shared" si="42"/>
        <v>0.37149127383686348</v>
      </c>
      <c r="AZ273" s="12">
        <f t="shared" si="43"/>
        <v>0.3018835056494788</v>
      </c>
      <c r="BA273" s="12">
        <f t="shared" ref="BA273:BC275" si="45">U273/$X273</f>
        <v>0.67615555914314696</v>
      </c>
      <c r="BB273" s="12">
        <f t="shared" si="45"/>
        <v>0.20328600420612405</v>
      </c>
      <c r="BC273" s="12">
        <f t="shared" si="45"/>
        <v>0.91128497820732013</v>
      </c>
      <c r="BD273" s="12">
        <f t="shared" ref="BD273:BF275" si="46">Y273/$AB273</f>
        <v>0.97762684969029612</v>
      </c>
      <c r="BE273" s="12">
        <f t="shared" si="46"/>
        <v>0.36092417973815522</v>
      </c>
      <c r="BF273" s="12">
        <f t="shared" si="46"/>
        <v>0.18642313444167735</v>
      </c>
      <c r="BG273" s="12">
        <f t="shared" ref="BG273:BI275" si="47">AC273/$AF273</f>
        <v>0.94558954620872382</v>
      </c>
      <c r="BH273" s="12">
        <f t="shared" si="47"/>
        <v>0.25271478430544647</v>
      </c>
      <c r="BI273" s="12">
        <f t="shared" si="47"/>
        <v>0.41052235386669833</v>
      </c>
    </row>
    <row r="274" spans="1:61" x14ac:dyDescent="0.55000000000000004">
      <c r="A274" s="12" t="s">
        <v>724</v>
      </c>
      <c r="B274" s="12" t="s">
        <v>725</v>
      </c>
      <c r="C274" s="12" t="s">
        <v>322</v>
      </c>
      <c r="D274" s="12" t="s">
        <v>9</v>
      </c>
      <c r="E274" s="12">
        <v>1737</v>
      </c>
      <c r="F274" s="12">
        <v>71.151519972171783</v>
      </c>
      <c r="G274" s="12">
        <v>32.569267436720381</v>
      </c>
      <c r="H274" s="14">
        <f t="shared" si="44"/>
        <v>56572.817537583302</v>
      </c>
      <c r="I274" s="12">
        <v>38.952005959946391</v>
      </c>
      <c r="J274" s="12">
        <v>11.440786839235026</v>
      </c>
      <c r="K274" s="12">
        <v>21.269810181106934</v>
      </c>
      <c r="L274" s="12">
        <v>43.657471123524317</v>
      </c>
      <c r="M274" s="12">
        <v>36.579394126782248</v>
      </c>
      <c r="N274" s="12">
        <v>17.455052371827033</v>
      </c>
      <c r="O274" s="12">
        <v>9.6342196805826443</v>
      </c>
      <c r="P274" s="12">
        <v>37.626391021958931</v>
      </c>
      <c r="Q274" s="12">
        <v>537.46610316731801</v>
      </c>
      <c r="R274" s="15">
        <v>48.101019220204094</v>
      </c>
      <c r="S274" s="15">
        <v>928.88928363144487</v>
      </c>
      <c r="T274" s="15">
        <v>986.04923916522569</v>
      </c>
      <c r="U274" s="12">
        <v>63.091209949401922</v>
      </c>
      <c r="V274" s="12">
        <v>14.376122242122047</v>
      </c>
      <c r="W274" s="12">
        <v>80.600081750094716</v>
      </c>
      <c r="X274" s="12">
        <v>91.863319779342717</v>
      </c>
      <c r="Y274" s="12">
        <v>50.716980210535709</v>
      </c>
      <c r="Z274" s="12">
        <v>26.421907570853428</v>
      </c>
      <c r="AA274" s="12">
        <v>12.105918806249084</v>
      </c>
      <c r="AB274" s="12">
        <v>53.277298483206842</v>
      </c>
      <c r="AC274" s="12">
        <v>46.618497202198256</v>
      </c>
      <c r="AD274" s="12">
        <v>23.227721747804722</v>
      </c>
      <c r="AE274" s="12">
        <v>28.066585906185548</v>
      </c>
      <c r="AF274" s="12">
        <v>57.702194529704101</v>
      </c>
      <c r="AG274" s="12">
        <v>1685.9252042817507</v>
      </c>
      <c r="AH274" s="12">
        <v>444.00529935697364</v>
      </c>
      <c r="AI274" s="12">
        <v>2965.0054979148626</v>
      </c>
      <c r="AJ274" s="12">
        <v>3329.3467100302405</v>
      </c>
      <c r="AK274" s="12">
        <v>1678.4806417782131</v>
      </c>
      <c r="AL274" s="12">
        <v>1560.6021057323915</v>
      </c>
      <c r="AM274" s="12">
        <v>880.13486083556154</v>
      </c>
      <c r="AN274" s="12">
        <v>1702.6516254652738</v>
      </c>
      <c r="AP274" s="12">
        <f t="shared" si="36"/>
        <v>1.3404498952378181</v>
      </c>
      <c r="AQ274" s="12">
        <f t="shared" si="37"/>
        <v>1.1552728686656573</v>
      </c>
      <c r="AR274" s="12">
        <f>X274/G274</f>
        <v>2.8205522263534539</v>
      </c>
      <c r="AS274" s="12">
        <f>AB274/G274</f>
        <v>1.6358150697347</v>
      </c>
      <c r="AT274" s="12">
        <f>AF274/G274</f>
        <v>1.7716761558059324</v>
      </c>
      <c r="AU274" s="12">
        <f t="shared" si="38"/>
        <v>0.89221855864568289</v>
      </c>
      <c r="AV274" s="12">
        <f t="shared" si="39"/>
        <v>0.26205793750317097</v>
      </c>
      <c r="AW274" s="12">
        <f t="shared" si="40"/>
        <v>0.48719748610555563</v>
      </c>
      <c r="AX274" s="12">
        <f t="shared" si="41"/>
        <v>0.97217386874639</v>
      </c>
      <c r="AY274" s="12">
        <f t="shared" si="42"/>
        <v>0.46390450685637608</v>
      </c>
      <c r="AZ274" s="12">
        <f t="shared" si="43"/>
        <v>0.25604952850673535</v>
      </c>
      <c r="BA274" s="12">
        <f t="shared" si="45"/>
        <v>0.68679436037090869</v>
      </c>
      <c r="BB274" s="12">
        <f t="shared" si="45"/>
        <v>0.15649469534362292</v>
      </c>
      <c r="BC274" s="12">
        <f t="shared" si="45"/>
        <v>0.87739134557402787</v>
      </c>
      <c r="BD274" s="12">
        <f t="shared" si="46"/>
        <v>0.9519435417041997</v>
      </c>
      <c r="BE274" s="12">
        <f t="shared" si="46"/>
        <v>0.49593181942552306</v>
      </c>
      <c r="BF274" s="12">
        <f t="shared" si="46"/>
        <v>0.22722471204250164</v>
      </c>
      <c r="BG274" s="12">
        <f t="shared" si="47"/>
        <v>0.80791549753276459</v>
      </c>
      <c r="BH274" s="12">
        <f t="shared" si="47"/>
        <v>0.40254485877218221</v>
      </c>
      <c r="BI274" s="12">
        <f t="shared" si="47"/>
        <v>0.48640413306529184</v>
      </c>
    </row>
    <row r="275" spans="1:61" x14ac:dyDescent="0.55000000000000004">
      <c r="A275" s="12" t="s">
        <v>726</v>
      </c>
      <c r="B275" s="12" t="s">
        <v>727</v>
      </c>
      <c r="C275" s="12" t="s">
        <v>322</v>
      </c>
      <c r="D275" s="12" t="s">
        <v>9</v>
      </c>
      <c r="E275" s="12">
        <v>1961</v>
      </c>
      <c r="F275" s="12">
        <v>68.695438818889784</v>
      </c>
      <c r="G275" s="12">
        <v>46.092086420174674</v>
      </c>
      <c r="H275" s="14">
        <f t="shared" si="44"/>
        <v>90386.581469962533</v>
      </c>
      <c r="I275" s="12">
        <v>46.938238394341091</v>
      </c>
      <c r="J275" s="12">
        <v>13.699282969622605</v>
      </c>
      <c r="K275" s="12">
        <v>30.438244974304808</v>
      </c>
      <c r="L275" s="12">
        <v>54.370176176814709</v>
      </c>
      <c r="M275" s="12">
        <v>43.990285564503928</v>
      </c>
      <c r="N275" s="12">
        <v>13.402465226092627</v>
      </c>
      <c r="O275" s="12">
        <v>16.778955485461541</v>
      </c>
      <c r="P275" s="12">
        <v>48.23952018565668</v>
      </c>
      <c r="Q275" s="12">
        <v>544.950133823584</v>
      </c>
      <c r="R275" s="15">
        <v>64.161510752960652</v>
      </c>
      <c r="S275" s="15">
        <v>1236.9523146403749</v>
      </c>
      <c r="T275" s="15">
        <v>1322.8622709543938</v>
      </c>
      <c r="U275" s="12">
        <v>24.108826759663529</v>
      </c>
      <c r="V275" s="12">
        <v>13.829089640839985</v>
      </c>
      <c r="W275" s="12">
        <v>65.850637630600986</v>
      </c>
      <c r="X275" s="12">
        <v>70.61746530958294</v>
      </c>
      <c r="Y275" s="12">
        <v>36.597600850250458</v>
      </c>
      <c r="Z275" s="12">
        <v>43.180831902157614</v>
      </c>
      <c r="AA275" s="12">
        <v>24.404388472292311</v>
      </c>
      <c r="AB275" s="12">
        <v>56.598342963341864</v>
      </c>
      <c r="AC275" s="12">
        <v>39.542585710007231</v>
      </c>
      <c r="AD275" s="12">
        <v>29.762252366925637</v>
      </c>
      <c r="AE275" s="12">
        <v>45.322910617666295</v>
      </c>
      <c r="AF275" s="12">
        <v>52.40948727966186</v>
      </c>
      <c r="AG275" s="12">
        <v>803.37442312464998</v>
      </c>
      <c r="AH275" s="12">
        <v>192.59060242575612</v>
      </c>
      <c r="AI275" s="12">
        <v>2360.1278046477391</v>
      </c>
      <c r="AJ275" s="12">
        <v>2475.2854544742777</v>
      </c>
      <c r="AK275" s="12">
        <v>1398.3628443075568</v>
      </c>
      <c r="AL275" s="12">
        <v>3203.1735037768026</v>
      </c>
      <c r="AM275" s="12">
        <v>1603.8551305347278</v>
      </c>
      <c r="AN275" s="12">
        <v>3221.72844042098</v>
      </c>
      <c r="AP275" s="12">
        <f t="shared" si="36"/>
        <v>1.179598937682645</v>
      </c>
      <c r="AQ275" s="12">
        <f t="shared" si="37"/>
        <v>1.0465900750490233</v>
      </c>
      <c r="AR275" s="12">
        <f>X275/G275</f>
        <v>1.5320952205512097</v>
      </c>
      <c r="AS275" s="12">
        <f>AB275/G275</f>
        <v>1.2279405719973779</v>
      </c>
      <c r="AT275" s="12">
        <f>AF275/G275</f>
        <v>1.1370604229519548</v>
      </c>
      <c r="AU275" s="12">
        <f t="shared" si="38"/>
        <v>0.86330855801709083</v>
      </c>
      <c r="AV275" s="12">
        <f t="shared" si="39"/>
        <v>0.25196318888266622</v>
      </c>
      <c r="AW275" s="12">
        <f t="shared" si="40"/>
        <v>0.55983348068098981</v>
      </c>
      <c r="AX275" s="12">
        <f t="shared" si="41"/>
        <v>0.91191382905968044</v>
      </c>
      <c r="AY275" s="12">
        <f t="shared" si="42"/>
        <v>0.2778316445626185</v>
      </c>
      <c r="AZ275" s="12">
        <f t="shared" si="43"/>
        <v>0.34782591992800377</v>
      </c>
      <c r="BA275" s="12">
        <f t="shared" si="45"/>
        <v>0.34140034131743202</v>
      </c>
      <c r="BB275" s="12">
        <f t="shared" si="45"/>
        <v>0.19583101121251018</v>
      </c>
      <c r="BC275" s="12">
        <f t="shared" si="45"/>
        <v>0.93249789328908295</v>
      </c>
      <c r="BD275" s="12">
        <f t="shared" si="46"/>
        <v>0.64661965234484564</v>
      </c>
      <c r="BE275" s="12">
        <f t="shared" si="46"/>
        <v>0.7629345602949078</v>
      </c>
      <c r="BF275" s="12">
        <f t="shared" si="46"/>
        <v>0.43118556470988506</v>
      </c>
      <c r="BG275" s="12">
        <f t="shared" si="47"/>
        <v>0.75449289360539518</v>
      </c>
      <c r="BH275" s="12">
        <f t="shared" si="47"/>
        <v>0.56787909807458159</v>
      </c>
      <c r="BI275" s="12">
        <f t="shared" si="47"/>
        <v>0.86478446880846327</v>
      </c>
    </row>
    <row r="276" spans="1:61" x14ac:dyDescent="0.55000000000000004">
      <c r="A276" s="12" t="s">
        <v>710</v>
      </c>
      <c r="B276" s="12" t="s">
        <v>711</v>
      </c>
      <c r="C276" s="12" t="s">
        <v>322</v>
      </c>
      <c r="D276" s="12" t="s">
        <v>9</v>
      </c>
      <c r="E276" s="12">
        <v>2220</v>
      </c>
      <c r="F276" s="12">
        <v>69.311039060437793</v>
      </c>
      <c r="G276" s="12">
        <v>27.998060630667581</v>
      </c>
      <c r="H276" s="14">
        <f t="shared" si="44"/>
        <v>62155.694600082032</v>
      </c>
      <c r="I276" s="12">
        <v>46.599623058940409</v>
      </c>
      <c r="J276" s="12">
        <v>13.615098984476688</v>
      </c>
      <c r="K276" s="12">
        <v>25.878142486905318</v>
      </c>
      <c r="L276" s="12">
        <v>49.955233209342012</v>
      </c>
      <c r="M276" s="12">
        <v>34.371154384825374</v>
      </c>
      <c r="N276" s="12">
        <v>8.3861086498088788</v>
      </c>
      <c r="O276" s="12">
        <v>15.01253726308453</v>
      </c>
      <c r="P276" s="12">
        <v>35.931449485817765</v>
      </c>
      <c r="Q276" s="12">
        <v>581.56115229582338</v>
      </c>
      <c r="R276" s="15">
        <v>53.996766377368303</v>
      </c>
      <c r="S276" s="15">
        <v>930.91882758029476</v>
      </c>
      <c r="T276" s="15">
        <v>1026.4619172538426</v>
      </c>
      <c r="AP276" s="12">
        <f t="shared" si="36"/>
        <v>1.7842390538515984</v>
      </c>
      <c r="AQ276" s="12">
        <f t="shared" si="37"/>
        <v>1.2833549423226969</v>
      </c>
      <c r="AU276" s="12">
        <f t="shared" si="38"/>
        <v>0.93282765518600208</v>
      </c>
      <c r="AV276" s="12">
        <f t="shared" si="39"/>
        <v>0.27254599988396333</v>
      </c>
      <c r="AW276" s="12">
        <f t="shared" si="40"/>
        <v>0.51802665755678845</v>
      </c>
      <c r="AX276" s="12">
        <f t="shared" si="41"/>
        <v>0.95657578184792558</v>
      </c>
      <c r="AY276" s="12">
        <f t="shared" si="42"/>
        <v>0.23339188287182505</v>
      </c>
      <c r="AZ276" s="12">
        <f t="shared" si="43"/>
        <v>0.41781051078971965</v>
      </c>
    </row>
    <row r="277" spans="1:61" x14ac:dyDescent="0.55000000000000004">
      <c r="A277" s="12" t="s">
        <v>728</v>
      </c>
      <c r="B277" s="12" t="s">
        <v>729</v>
      </c>
      <c r="C277" s="12" t="s">
        <v>322</v>
      </c>
      <c r="D277" s="12" t="s">
        <v>9</v>
      </c>
      <c r="E277" s="12">
        <v>1765</v>
      </c>
      <c r="F277" s="12">
        <v>67.397455712348219</v>
      </c>
      <c r="G277" s="12">
        <v>74.648794215863049</v>
      </c>
      <c r="H277" s="14">
        <f t="shared" si="44"/>
        <v>131755.1217909983</v>
      </c>
      <c r="I277" s="12">
        <v>41.122696873448639</v>
      </c>
      <c r="J277" s="12">
        <v>24.278438655773908</v>
      </c>
      <c r="K277" s="12">
        <v>27.942533544143572</v>
      </c>
      <c r="L277" s="12">
        <v>49.077735772615696</v>
      </c>
      <c r="M277" s="12">
        <v>34.446715784436812</v>
      </c>
      <c r="N277" s="12">
        <v>14.387673582554834</v>
      </c>
      <c r="O277" s="12">
        <v>18.246061103755558</v>
      </c>
      <c r="P277" s="12">
        <v>38.077324293491607</v>
      </c>
      <c r="Q277" s="12">
        <v>307.33594512163688</v>
      </c>
      <c r="R277" s="15">
        <v>57.082116580898131</v>
      </c>
      <c r="S277" s="15">
        <v>1656.9812128254507</v>
      </c>
      <c r="T277" s="15">
        <v>1673.2150023367453</v>
      </c>
      <c r="U277" s="12">
        <v>61.526320478485189</v>
      </c>
      <c r="V277" s="12">
        <v>7.4586219934740328</v>
      </c>
      <c r="W277" s="12">
        <v>87.906614948570265</v>
      </c>
      <c r="X277" s="12">
        <v>97.652281917249582</v>
      </c>
      <c r="Y277" s="12">
        <v>59.854459698055834</v>
      </c>
      <c r="Z277" s="12">
        <v>18.043902026258497</v>
      </c>
      <c r="AA277" s="12">
        <v>20.154309300463879</v>
      </c>
      <c r="AB277" s="12">
        <v>62.263841621359717</v>
      </c>
      <c r="AC277" s="12">
        <v>74.323299349364873</v>
      </c>
      <c r="AD277" s="12">
        <v>21.61311888836633</v>
      </c>
      <c r="AE277" s="12">
        <v>37.572911810627438</v>
      </c>
      <c r="AF277" s="12">
        <v>85.27287055563373</v>
      </c>
      <c r="AG277" s="12">
        <v>1444.7645920788766</v>
      </c>
      <c r="AH277" s="12">
        <v>48.691275696761551</v>
      </c>
      <c r="AI277" s="12">
        <v>3278.127143745663</v>
      </c>
      <c r="AJ277" s="12">
        <v>3571.0608946483881</v>
      </c>
      <c r="AK277" s="12">
        <v>1598.5503245372622</v>
      </c>
      <c r="AL277" s="12">
        <v>2587.9689275835908</v>
      </c>
      <c r="AM277" s="12">
        <v>1887.1310964173431</v>
      </c>
      <c r="AN277" s="12">
        <v>2806.3965714560463</v>
      </c>
      <c r="AP277" s="12">
        <f t="shared" si="36"/>
        <v>0.65744847305499488</v>
      </c>
      <c r="AQ277" s="12">
        <f t="shared" si="37"/>
        <v>0.51008626051457484</v>
      </c>
      <c r="AR277" s="12">
        <f t="shared" ref="AR277:AR286" si="48">X277/G277</f>
        <v>1.3081561858168398</v>
      </c>
      <c r="AS277" s="12">
        <f t="shared" ref="AS277:AS286" si="49">AB277/G277</f>
        <v>0.83409038652801848</v>
      </c>
      <c r="AT277" s="12">
        <f t="shared" ref="AT277:AT286" si="50">AF277/G277</f>
        <v>1.142320803053414</v>
      </c>
      <c r="AU277" s="12">
        <f t="shared" si="38"/>
        <v>0.83790941505484462</v>
      </c>
      <c r="AV277" s="12">
        <f t="shared" si="39"/>
        <v>0.49469353615373479</v>
      </c>
      <c r="AW277" s="12">
        <f t="shared" si="40"/>
        <v>0.56935254050034834</v>
      </c>
      <c r="AX277" s="12">
        <f t="shared" si="41"/>
        <v>0.90465169030599768</v>
      </c>
      <c r="AY277" s="12">
        <f t="shared" si="42"/>
        <v>0.37785411263821544</v>
      </c>
      <c r="AZ277" s="12">
        <f t="shared" si="43"/>
        <v>0.47918443436621094</v>
      </c>
      <c r="BA277" s="12">
        <f t="shared" ref="BA277:BA286" si="51">U277/$X277</f>
        <v>0.63005512283494325</v>
      </c>
      <c r="BB277" s="12">
        <f t="shared" ref="BB277:BB286" si="52">V277/$X277</f>
        <v>7.6379392749822875E-2</v>
      </c>
      <c r="BC277" s="12">
        <f t="shared" ref="BC277:BC286" si="53">W277/$X277</f>
        <v>0.90020031506342291</v>
      </c>
      <c r="BD277" s="12">
        <f t="shared" ref="BD277:BD286" si="54">Y277/$AB277</f>
        <v>0.9613036738408165</v>
      </c>
      <c r="BE277" s="12">
        <f t="shared" ref="BE277:BE286" si="55">Z277/$AB277</f>
        <v>0.28979744192443957</v>
      </c>
      <c r="BF277" s="12">
        <f t="shared" ref="BF277:BF286" si="56">AA277/$AB277</f>
        <v>0.32369203016779341</v>
      </c>
      <c r="BG277" s="12">
        <f t="shared" ref="BG277:BG286" si="57">AC277/$AF277</f>
        <v>0.87159373039840216</v>
      </c>
      <c r="BH277" s="12">
        <f t="shared" ref="BH277:BH286" si="58">AD277/$AF277</f>
        <v>0.2534583244065356</v>
      </c>
      <c r="BI277" s="12">
        <f t="shared" ref="BI277:BI286" si="59">AE277/$AF277</f>
        <v>0.44061976060855274</v>
      </c>
    </row>
    <row r="278" spans="1:61" x14ac:dyDescent="0.55000000000000004">
      <c r="A278" s="12" t="s">
        <v>730</v>
      </c>
      <c r="B278" s="12" t="s">
        <v>731</v>
      </c>
      <c r="C278" s="12" t="s">
        <v>322</v>
      </c>
      <c r="D278" s="12" t="s">
        <v>9</v>
      </c>
      <c r="E278" s="12">
        <v>1911</v>
      </c>
      <c r="F278" s="12">
        <v>66.235402069832432</v>
      </c>
      <c r="G278" s="12">
        <v>43.51681399888318</v>
      </c>
      <c r="H278" s="14">
        <f t="shared" si="44"/>
        <v>83160.63155186575</v>
      </c>
      <c r="I278" s="12">
        <v>35.828558021438511</v>
      </c>
      <c r="J278" s="12">
        <v>18.313210865068697</v>
      </c>
      <c r="K278" s="12">
        <v>36.699755441903179</v>
      </c>
      <c r="L278" s="12">
        <v>49.846052650480743</v>
      </c>
      <c r="M278" s="12">
        <v>30.627751660386068</v>
      </c>
      <c r="N278" s="12">
        <v>16.000851798211322</v>
      </c>
      <c r="O278" s="12">
        <v>20.471401733333938</v>
      </c>
      <c r="P278" s="12">
        <v>40.086303141390793</v>
      </c>
      <c r="Q278" s="12">
        <v>386.54847057210191</v>
      </c>
      <c r="R278" s="15">
        <v>141.76426300020952</v>
      </c>
      <c r="S278" s="15">
        <v>1229.6400247103029</v>
      </c>
      <c r="T278" s="15">
        <v>1242.5264097841123</v>
      </c>
      <c r="U278" s="12">
        <v>48.512797114602684</v>
      </c>
      <c r="V278" s="12">
        <v>12.046736449783872</v>
      </c>
      <c r="W278" s="12">
        <v>50.590225460633192</v>
      </c>
      <c r="X278" s="12">
        <v>57.0189546915093</v>
      </c>
      <c r="Y278" s="12">
        <v>30.525798781159175</v>
      </c>
      <c r="Z278" s="12">
        <v>29.865467331717046</v>
      </c>
      <c r="AA278" s="12">
        <v>12.580660141303408</v>
      </c>
      <c r="AB278" s="12">
        <v>42.626885955479608</v>
      </c>
      <c r="AC278" s="12">
        <v>31.936683515516361</v>
      </c>
      <c r="AD278" s="12">
        <v>16.790850186547054</v>
      </c>
      <c r="AE278" s="12">
        <v>27.234275270419612</v>
      </c>
      <c r="AF278" s="12">
        <v>41.59360773569982</v>
      </c>
      <c r="AG278" s="12">
        <v>754.85000194277632</v>
      </c>
      <c r="AH278" s="12">
        <v>368.9798141067867</v>
      </c>
      <c r="AI278" s="12">
        <v>1815.1075303795276</v>
      </c>
      <c r="AJ278" s="12">
        <v>1939.9589341043556</v>
      </c>
      <c r="AK278" s="12">
        <v>1537.7004593187821</v>
      </c>
      <c r="AL278" s="12">
        <v>2206.8764920483486</v>
      </c>
      <c r="AM278" s="12">
        <v>935.72277649119326</v>
      </c>
      <c r="AN278" s="12">
        <v>2248.4892850717897</v>
      </c>
      <c r="AP278" s="12">
        <f t="shared" si="36"/>
        <v>1.1454435210206335</v>
      </c>
      <c r="AQ278" s="12">
        <f t="shared" si="37"/>
        <v>0.92116815220938675</v>
      </c>
      <c r="AR278" s="12">
        <f t="shared" si="48"/>
        <v>1.3102741090598371</v>
      </c>
      <c r="AS278" s="12">
        <f t="shared" si="49"/>
        <v>0.97954978865349818</v>
      </c>
      <c r="AT278" s="12">
        <f t="shared" si="50"/>
        <v>0.95580544423052849</v>
      </c>
      <c r="AU278" s="12">
        <f t="shared" si="38"/>
        <v>0.71878425905993903</v>
      </c>
      <c r="AV278" s="12">
        <f t="shared" si="39"/>
        <v>0.3673954082880036</v>
      </c>
      <c r="AW278" s="12">
        <f t="shared" si="40"/>
        <v>0.73626202057043377</v>
      </c>
      <c r="AX278" s="12">
        <f t="shared" si="41"/>
        <v>0.76404530376266167</v>
      </c>
      <c r="AY278" s="12">
        <f t="shared" si="42"/>
        <v>0.39916007574392087</v>
      </c>
      <c r="AZ278" s="12">
        <f t="shared" si="43"/>
        <v>0.51068320421386915</v>
      </c>
      <c r="BA278" s="12">
        <f t="shared" si="51"/>
        <v>0.85081877381078563</v>
      </c>
      <c r="BB278" s="12">
        <f t="shared" si="52"/>
        <v>0.21127599611323203</v>
      </c>
      <c r="BC278" s="12">
        <f t="shared" si="53"/>
        <v>0.88725276944031017</v>
      </c>
      <c r="BD278" s="12">
        <f t="shared" si="54"/>
        <v>0.71611608722816256</v>
      </c>
      <c r="BE278" s="12">
        <f t="shared" si="55"/>
        <v>0.70062512572251112</v>
      </c>
      <c r="BF278" s="12">
        <f t="shared" si="56"/>
        <v>0.29513439368859612</v>
      </c>
      <c r="BG278" s="12">
        <f t="shared" si="57"/>
        <v>0.76782672276117769</v>
      </c>
      <c r="BH278" s="12">
        <f t="shared" si="58"/>
        <v>0.403688237222458</v>
      </c>
      <c r="BI278" s="12">
        <f t="shared" si="59"/>
        <v>0.65477069081084827</v>
      </c>
    </row>
    <row r="279" spans="1:61" x14ac:dyDescent="0.55000000000000004">
      <c r="A279" s="12" t="s">
        <v>732</v>
      </c>
      <c r="B279" s="12" t="s">
        <v>733</v>
      </c>
      <c r="C279" s="12" t="s">
        <v>322</v>
      </c>
      <c r="D279" s="12" t="s">
        <v>9</v>
      </c>
      <c r="E279" s="12">
        <v>1794</v>
      </c>
      <c r="F279" s="12">
        <v>65.526584751138628</v>
      </c>
      <c r="G279" s="12">
        <v>41.285092830448882</v>
      </c>
      <c r="H279" s="14">
        <f t="shared" si="44"/>
        <v>74065.456537825288</v>
      </c>
      <c r="I279" s="12">
        <v>33.332119589438349</v>
      </c>
      <c r="J279" s="12">
        <v>11.473569538016978</v>
      </c>
      <c r="K279" s="12">
        <v>26.265130274706824</v>
      </c>
      <c r="L279" s="12">
        <v>37.661597158887403</v>
      </c>
      <c r="M279" s="12">
        <v>35.323400095973867</v>
      </c>
      <c r="N279" s="12">
        <v>12.379628287297585</v>
      </c>
      <c r="O279" s="12">
        <v>6.7074971825527943</v>
      </c>
      <c r="P279" s="12">
        <v>37.859961569364216</v>
      </c>
      <c r="Q279" s="12">
        <v>711.57931877202032</v>
      </c>
      <c r="R279" s="15">
        <v>167.69563716069496</v>
      </c>
      <c r="S279" s="15">
        <v>1123.7705541269638</v>
      </c>
      <c r="T279" s="15">
        <v>1156.7770486159557</v>
      </c>
      <c r="U279" s="12">
        <v>65.578351879139575</v>
      </c>
      <c r="V279" s="12">
        <v>26.296033803250019</v>
      </c>
      <c r="W279" s="12">
        <v>52.247354257657157</v>
      </c>
      <c r="X279" s="12">
        <v>70.587106773008045</v>
      </c>
      <c r="Y279" s="12">
        <v>40.012029476576323</v>
      </c>
      <c r="Z279" s="12">
        <v>36.601621191475417</v>
      </c>
      <c r="AA279" s="12">
        <v>28.990122866743938</v>
      </c>
      <c r="AB279" s="12">
        <v>46.08196612201904</v>
      </c>
      <c r="AC279" s="12">
        <v>37.619328817458829</v>
      </c>
      <c r="AD279" s="12">
        <v>25.105335836738352</v>
      </c>
      <c r="AE279" s="12">
        <v>42.497473903441673</v>
      </c>
      <c r="AF279" s="12">
        <v>48.094069995456401</v>
      </c>
      <c r="AG279" s="12">
        <v>1576.2365444407994</v>
      </c>
      <c r="AH279" s="12">
        <v>276.14642166193835</v>
      </c>
      <c r="AI279" s="12">
        <v>3729.3547981357078</v>
      </c>
      <c r="AJ279" s="12">
        <v>4043.8070443984448</v>
      </c>
      <c r="AK279" s="12">
        <v>2247.0129432977324</v>
      </c>
      <c r="AL279" s="12">
        <v>3196.05748525425</v>
      </c>
      <c r="AM279" s="12">
        <v>1392.4745382090423</v>
      </c>
      <c r="AN279" s="12">
        <v>3337.7782040379334</v>
      </c>
      <c r="AP279" s="12">
        <f t="shared" si="36"/>
        <v>0.91223234772796602</v>
      </c>
      <c r="AQ279" s="12">
        <f t="shared" si="37"/>
        <v>0.91703709435385994</v>
      </c>
      <c r="AR279" s="12">
        <f t="shared" si="48"/>
        <v>1.7097480454482139</v>
      </c>
      <c r="AS279" s="12">
        <f t="shared" si="49"/>
        <v>1.1161889912969345</v>
      </c>
      <c r="AT279" s="12">
        <f t="shared" si="50"/>
        <v>1.164925804889694</v>
      </c>
      <c r="AU279" s="12">
        <f t="shared" si="38"/>
        <v>0.88504264566412894</v>
      </c>
      <c r="AV279" s="12">
        <f t="shared" si="39"/>
        <v>0.30464904315162428</v>
      </c>
      <c r="AW279" s="12">
        <f t="shared" si="40"/>
        <v>0.69739820549561493</v>
      </c>
      <c r="AX279" s="12">
        <f t="shared" si="41"/>
        <v>0.93300147786090459</v>
      </c>
      <c r="AY279" s="12">
        <f t="shared" si="42"/>
        <v>0.32698470294579002</v>
      </c>
      <c r="AZ279" s="12">
        <f t="shared" si="43"/>
        <v>0.17716597969239389</v>
      </c>
      <c r="BA279" s="12">
        <f t="shared" si="51"/>
        <v>0.92904150456292989</v>
      </c>
      <c r="BB279" s="12">
        <f t="shared" si="52"/>
        <v>0.37253310137518508</v>
      </c>
      <c r="BC279" s="12">
        <f t="shared" si="53"/>
        <v>0.74018268556710609</v>
      </c>
      <c r="BD279" s="12">
        <f t="shared" si="54"/>
        <v>0.86827956451835597</v>
      </c>
      <c r="BE279" s="12">
        <f t="shared" si="55"/>
        <v>0.79427212577169759</v>
      </c>
      <c r="BF279" s="12">
        <f t="shared" si="56"/>
        <v>0.62909908813312942</v>
      </c>
      <c r="BG279" s="12">
        <f t="shared" si="57"/>
        <v>0.78220306206176449</v>
      </c>
      <c r="BH279" s="12">
        <f t="shared" si="58"/>
        <v>0.52200480930622284</v>
      </c>
      <c r="BI279" s="12">
        <f t="shared" si="59"/>
        <v>0.88363230451189811</v>
      </c>
    </row>
    <row r="280" spans="1:61" x14ac:dyDescent="0.55000000000000004">
      <c r="A280" s="12" t="s">
        <v>734</v>
      </c>
      <c r="B280" s="12" t="s">
        <v>735</v>
      </c>
      <c r="C280" s="12" t="s">
        <v>322</v>
      </c>
      <c r="D280" s="12" t="s">
        <v>9</v>
      </c>
      <c r="E280" s="12">
        <v>1763</v>
      </c>
      <c r="F280" s="12">
        <v>69.68129047495917</v>
      </c>
      <c r="G280" s="12">
        <v>106.46199976286061</v>
      </c>
      <c r="H280" s="14">
        <f t="shared" si="44"/>
        <v>187692.50558192327</v>
      </c>
      <c r="I280" s="12">
        <v>49.43758556418873</v>
      </c>
      <c r="J280" s="12">
        <v>18.651175137331876</v>
      </c>
      <c r="K280" s="12">
        <v>37.079104699330451</v>
      </c>
      <c r="L280" s="12">
        <v>60.342098897566636</v>
      </c>
      <c r="M280" s="12">
        <v>42.78594584121241</v>
      </c>
      <c r="N280" s="12">
        <v>17.539039914742141</v>
      </c>
      <c r="O280" s="12">
        <v>13.849536778771009</v>
      </c>
      <c r="P280" s="12">
        <v>46.370792576963588</v>
      </c>
      <c r="Q280" s="12">
        <v>399.91045271233486</v>
      </c>
      <c r="R280" s="15">
        <v>209.38524150680587</v>
      </c>
      <c r="S280" s="15">
        <v>1407.9198836504868</v>
      </c>
      <c r="T280" s="15">
        <v>1412.5655617750554</v>
      </c>
      <c r="U280" s="12">
        <v>31.373569071680063</v>
      </c>
      <c r="V280" s="12">
        <v>15.028206067296233</v>
      </c>
      <c r="W280" s="12">
        <v>56.149137204851897</v>
      </c>
      <c r="X280" s="12">
        <v>61.692015865912374</v>
      </c>
      <c r="Y280" s="12">
        <v>27.188535967741263</v>
      </c>
      <c r="Z280" s="12">
        <v>28.459286015143405</v>
      </c>
      <c r="AA280" s="12">
        <v>30.14425493381902</v>
      </c>
      <c r="AB280" s="12">
        <v>42.149924013869665</v>
      </c>
      <c r="AC280" s="12">
        <v>37.674839523304243</v>
      </c>
      <c r="AD280" s="12">
        <v>20.601945422252268</v>
      </c>
      <c r="AE280" s="12">
        <v>40.098672393992445</v>
      </c>
      <c r="AF280" s="12">
        <v>44.99695581150776</v>
      </c>
      <c r="AG280" s="12">
        <v>764.48109248509263</v>
      </c>
      <c r="AH280" s="12">
        <v>65.183137558656767</v>
      </c>
      <c r="AI280" s="12">
        <v>2027.199266939796</v>
      </c>
      <c r="AJ280" s="12">
        <v>2165.3519638704029</v>
      </c>
      <c r="AK280" s="12">
        <v>1756.4513366970953</v>
      </c>
      <c r="AL280" s="12">
        <v>2656.2941808404039</v>
      </c>
      <c r="AM280" s="12">
        <v>2621.4218017622334</v>
      </c>
      <c r="AN280" s="12">
        <v>3130.6604589652002</v>
      </c>
      <c r="AP280" s="12">
        <f t="shared" si="36"/>
        <v>0.56679471578568863</v>
      </c>
      <c r="AQ280" s="12">
        <f t="shared" si="37"/>
        <v>0.43556191580331455</v>
      </c>
      <c r="AR280" s="12">
        <f t="shared" si="48"/>
        <v>0.57947451676023942</v>
      </c>
      <c r="AS280" s="12">
        <f t="shared" si="49"/>
        <v>0.3959152008017579</v>
      </c>
      <c r="AT280" s="12">
        <f t="shared" si="50"/>
        <v>0.42265743562713914</v>
      </c>
      <c r="AU280" s="12">
        <f t="shared" si="38"/>
        <v>0.81928846472694306</v>
      </c>
      <c r="AV280" s="12">
        <f t="shared" si="39"/>
        <v>0.30909059310305176</v>
      </c>
      <c r="AW280" s="12">
        <f t="shared" si="40"/>
        <v>0.61448152080811536</v>
      </c>
      <c r="AX280" s="12">
        <f t="shared" si="41"/>
        <v>0.92269170879921336</v>
      </c>
      <c r="AY280" s="12">
        <f t="shared" si="42"/>
        <v>0.37823463736643809</v>
      </c>
      <c r="AZ280" s="12">
        <f t="shared" si="43"/>
        <v>0.29866939961796729</v>
      </c>
      <c r="BA280" s="12">
        <f t="shared" si="51"/>
        <v>0.50855153023157051</v>
      </c>
      <c r="BB280" s="12">
        <f t="shared" si="52"/>
        <v>0.24360050253439677</v>
      </c>
      <c r="BC280" s="12">
        <f t="shared" si="53"/>
        <v>0.91015241464782204</v>
      </c>
      <c r="BD280" s="12">
        <f t="shared" si="54"/>
        <v>0.64504353456947461</v>
      </c>
      <c r="BE280" s="12">
        <f t="shared" si="55"/>
        <v>0.67519186999669845</v>
      </c>
      <c r="BF280" s="12">
        <f t="shared" si="56"/>
        <v>0.71516747987255891</v>
      </c>
      <c r="BG280" s="12">
        <f t="shared" si="57"/>
        <v>0.83727529660282218</v>
      </c>
      <c r="BH280" s="12">
        <f t="shared" si="58"/>
        <v>0.45785198244418607</v>
      </c>
      <c r="BI280" s="12">
        <f t="shared" si="59"/>
        <v>0.89114189328642091</v>
      </c>
    </row>
    <row r="281" spans="1:61" x14ac:dyDescent="0.55000000000000004">
      <c r="A281" s="12" t="s">
        <v>736</v>
      </c>
      <c r="B281" s="12" t="s">
        <v>737</v>
      </c>
      <c r="C281" s="12" t="s">
        <v>322</v>
      </c>
      <c r="D281" s="12" t="s">
        <v>9</v>
      </c>
      <c r="E281" s="12">
        <v>1588</v>
      </c>
      <c r="F281" s="12">
        <v>65.116695135902475</v>
      </c>
      <c r="G281" s="12">
        <v>50.473662857938351</v>
      </c>
      <c r="H281" s="14">
        <f t="shared" si="44"/>
        <v>80152.176618406098</v>
      </c>
      <c r="I281" s="12">
        <v>43.373713510453534</v>
      </c>
      <c r="J281" s="12">
        <v>26.544011935779061</v>
      </c>
      <c r="K281" s="12">
        <v>30.648092033439312</v>
      </c>
      <c r="L281" s="12">
        <v>53.411445868727725</v>
      </c>
      <c r="M281" s="12">
        <v>36.146908720079281</v>
      </c>
      <c r="N281" s="12">
        <v>10.628337009291979</v>
      </c>
      <c r="O281" s="12">
        <v>17.64842141086584</v>
      </c>
      <c r="P281" s="12">
        <v>38.214875119440642</v>
      </c>
      <c r="Q281" s="12">
        <v>413.38083945093695</v>
      </c>
      <c r="R281" s="15">
        <v>135.5925221127527</v>
      </c>
      <c r="S281" s="15">
        <v>1319.7783588145799</v>
      </c>
      <c r="T281" s="15">
        <v>1331.2679999891732</v>
      </c>
      <c r="U281" s="12">
        <v>65.584694738174335</v>
      </c>
      <c r="V281" s="12">
        <v>18.680077543847439</v>
      </c>
      <c r="W281" s="12">
        <v>68.376738211519722</v>
      </c>
      <c r="X281" s="12">
        <v>79.36443471161148</v>
      </c>
      <c r="Y281" s="12">
        <v>44.203355680858508</v>
      </c>
      <c r="Z281" s="12">
        <v>25.783736110474848</v>
      </c>
      <c r="AA281" s="12">
        <v>24.340670868993218</v>
      </c>
      <c r="AB281" s="12">
        <v>45.841772527650605</v>
      </c>
      <c r="AC281" s="12">
        <v>49.954598700447249</v>
      </c>
      <c r="AD281" s="12">
        <v>27.100581333942397</v>
      </c>
      <c r="AE281" s="12">
        <v>33.216266002118125</v>
      </c>
      <c r="AF281" s="12">
        <v>59.193457052156077</v>
      </c>
      <c r="AG281" s="12">
        <v>1483.0165640662524</v>
      </c>
      <c r="AH281" s="12">
        <v>463.29941680369581</v>
      </c>
      <c r="AI281" s="12">
        <v>3700.0583695624891</v>
      </c>
      <c r="AJ281" s="12">
        <v>3963.3201504536828</v>
      </c>
      <c r="AK281" s="12">
        <v>1598.8173793182041</v>
      </c>
      <c r="AL281" s="12">
        <v>2059.9509460063837</v>
      </c>
      <c r="AM281" s="12">
        <v>1214.9357064687297</v>
      </c>
      <c r="AN281" s="12">
        <v>2061.3574573594651</v>
      </c>
      <c r="AP281" s="12">
        <f t="shared" si="36"/>
        <v>1.0582042761401718</v>
      </c>
      <c r="AQ281" s="12">
        <f t="shared" si="37"/>
        <v>0.75712506197537266</v>
      </c>
      <c r="AR281" s="12">
        <f t="shared" si="48"/>
        <v>1.5723930108854636</v>
      </c>
      <c r="AS281" s="12">
        <f t="shared" si="49"/>
        <v>0.90823153961850311</v>
      </c>
      <c r="AT281" s="12">
        <f t="shared" si="50"/>
        <v>1.1727592906970155</v>
      </c>
      <c r="AU281" s="12">
        <f t="shared" si="38"/>
        <v>0.81206776571927142</v>
      </c>
      <c r="AV281" s="12">
        <f t="shared" si="39"/>
        <v>0.49697235309858023</v>
      </c>
      <c r="AW281" s="12">
        <f t="shared" si="40"/>
        <v>0.5738113158135586</v>
      </c>
      <c r="AX281" s="12">
        <f t="shared" si="41"/>
        <v>0.94588582605862437</v>
      </c>
      <c r="AY281" s="12">
        <f t="shared" si="42"/>
        <v>0.27812041714314378</v>
      </c>
      <c r="AZ281" s="12">
        <f t="shared" si="43"/>
        <v>0.46182072702594673</v>
      </c>
      <c r="BA281" s="12">
        <f t="shared" si="51"/>
        <v>0.82637386603320584</v>
      </c>
      <c r="BB281" s="12">
        <f t="shared" si="52"/>
        <v>0.23537088888399069</v>
      </c>
      <c r="BC281" s="12">
        <f t="shared" si="53"/>
        <v>0.86155389955188333</v>
      </c>
      <c r="BD281" s="12">
        <f t="shared" si="54"/>
        <v>0.9642593042011226</v>
      </c>
      <c r="BE281" s="12">
        <f t="shared" si="55"/>
        <v>0.56245067956137051</v>
      </c>
      <c r="BF281" s="12">
        <f t="shared" si="56"/>
        <v>0.53097141595717179</v>
      </c>
      <c r="BG281" s="12">
        <f t="shared" si="57"/>
        <v>0.84392095323021332</v>
      </c>
      <c r="BH281" s="12">
        <f t="shared" si="58"/>
        <v>0.45783069081543498</v>
      </c>
      <c r="BI281" s="12">
        <f t="shared" si="59"/>
        <v>0.56114759394523739</v>
      </c>
    </row>
    <row r="282" spans="1:61" x14ac:dyDescent="0.55000000000000004">
      <c r="A282" s="12" t="s">
        <v>738</v>
      </c>
      <c r="B282" s="12" t="s">
        <v>739</v>
      </c>
      <c r="C282" s="12" t="s">
        <v>322</v>
      </c>
      <c r="D282" s="12" t="s">
        <v>9</v>
      </c>
      <c r="E282" s="12">
        <v>1764</v>
      </c>
      <c r="F282" s="12">
        <v>68.983390997740429</v>
      </c>
      <c r="G282" s="12">
        <v>46.697529856819443</v>
      </c>
      <c r="H282" s="14">
        <f t="shared" si="44"/>
        <v>82374.442667429495</v>
      </c>
      <c r="I282" s="12">
        <v>40.929301548225517</v>
      </c>
      <c r="J282" s="12">
        <v>27.598662411298882</v>
      </c>
      <c r="K282" s="12">
        <v>25.992256543161286</v>
      </c>
      <c r="L282" s="12">
        <v>47.260016395090958</v>
      </c>
      <c r="M282" s="12">
        <v>36.728600902166377</v>
      </c>
      <c r="N282" s="12">
        <v>13.261186358791123</v>
      </c>
      <c r="O282" s="12">
        <v>15.69961086888414</v>
      </c>
      <c r="P282" s="12">
        <v>40.735519378109842</v>
      </c>
      <c r="Q282" s="12">
        <v>442.49559690471443</v>
      </c>
      <c r="R282" s="15">
        <v>214.59377628703857</v>
      </c>
      <c r="S282" s="15">
        <v>1178.3033041922904</v>
      </c>
      <c r="T282" s="15">
        <v>1227.364538640541</v>
      </c>
      <c r="U282" s="12">
        <v>31.003389824447165</v>
      </c>
      <c r="V282" s="12">
        <v>16.003954274381687</v>
      </c>
      <c r="W282" s="12">
        <v>68.356653011823582</v>
      </c>
      <c r="X282" s="12">
        <v>75.014126693740849</v>
      </c>
      <c r="Y282" s="12">
        <v>29.656472072989821</v>
      </c>
      <c r="Z282" s="12">
        <v>33.506684769209308</v>
      </c>
      <c r="AA282" s="12">
        <v>22.389529249040216</v>
      </c>
      <c r="AB282" s="12">
        <v>46.406057096328723</v>
      </c>
      <c r="AC282" s="12">
        <v>38.796525512992865</v>
      </c>
      <c r="AD282" s="12">
        <v>25.653650061717524</v>
      </c>
      <c r="AE282" s="12">
        <v>31.163668125892233</v>
      </c>
      <c r="AF282" s="12">
        <v>51.557905757461384</v>
      </c>
      <c r="AG282" s="12">
        <v>1052.4700281810954</v>
      </c>
      <c r="AH282" s="12">
        <v>43.090407984462814</v>
      </c>
      <c r="AI282" s="12">
        <v>2384.868365048435</v>
      </c>
      <c r="AJ282" s="12">
        <v>2591.4663833274672</v>
      </c>
      <c r="AK282" s="12">
        <v>1691.2218663718365</v>
      </c>
      <c r="AL282" s="12">
        <v>1557.3947399834979</v>
      </c>
      <c r="AM282" s="12">
        <v>998.81648605568228</v>
      </c>
      <c r="AN282" s="12">
        <v>2110.6211353577464</v>
      </c>
      <c r="AP282" s="12">
        <f t="shared" si="36"/>
        <v>1.0120453167436516</v>
      </c>
      <c r="AQ282" s="12">
        <f t="shared" si="37"/>
        <v>0.87232706961182138</v>
      </c>
      <c r="AR282" s="12">
        <f t="shared" si="48"/>
        <v>1.6063831839444975</v>
      </c>
      <c r="AS282" s="12">
        <f t="shared" si="49"/>
        <v>0.99375828311723524</v>
      </c>
      <c r="AT282" s="12">
        <f t="shared" si="50"/>
        <v>1.1040820770508519</v>
      </c>
      <c r="AU282" s="12">
        <f t="shared" si="38"/>
        <v>0.86604501373971099</v>
      </c>
      <c r="AV282" s="12">
        <f t="shared" si="39"/>
        <v>0.58397488017303434</v>
      </c>
      <c r="AW282" s="12">
        <f t="shared" si="40"/>
        <v>0.54998407799666316</v>
      </c>
      <c r="AX282" s="12">
        <f t="shared" si="41"/>
        <v>0.90163575824942899</v>
      </c>
      <c r="AY282" s="12">
        <f t="shared" si="42"/>
        <v>0.32554356888640346</v>
      </c>
      <c r="AZ282" s="12">
        <f t="shared" si="43"/>
        <v>0.38540347855048296</v>
      </c>
      <c r="BA282" s="12">
        <f t="shared" si="51"/>
        <v>0.41330068336360537</v>
      </c>
      <c r="BB282" s="12">
        <f t="shared" si="52"/>
        <v>0.21334587203448777</v>
      </c>
      <c r="BC282" s="12">
        <f t="shared" si="53"/>
        <v>0.91125040075321218</v>
      </c>
      <c r="BD282" s="12">
        <f t="shared" si="54"/>
        <v>0.63906468096243418</v>
      </c>
      <c r="BE282" s="12">
        <f t="shared" si="55"/>
        <v>0.72203257216308703</v>
      </c>
      <c r="BF282" s="12">
        <f t="shared" si="56"/>
        <v>0.48246997590345803</v>
      </c>
      <c r="BG282" s="12">
        <f t="shared" si="57"/>
        <v>0.75248451121151849</v>
      </c>
      <c r="BH282" s="12">
        <f t="shared" si="58"/>
        <v>0.49756966821727366</v>
      </c>
      <c r="BI282" s="12">
        <f t="shared" si="59"/>
        <v>0.60444014682233815</v>
      </c>
    </row>
    <row r="283" spans="1:61" x14ac:dyDescent="0.55000000000000004">
      <c r="A283" s="12" t="s">
        <v>740</v>
      </c>
      <c r="B283" s="12" t="s">
        <v>741</v>
      </c>
      <c r="C283" s="12" t="s">
        <v>322</v>
      </c>
      <c r="D283" s="12" t="s">
        <v>9</v>
      </c>
      <c r="E283" s="12">
        <v>1777</v>
      </c>
      <c r="F283" s="12">
        <v>66.916497388707199</v>
      </c>
      <c r="G283" s="12">
        <v>45.602122877387345</v>
      </c>
      <c r="H283" s="14">
        <f t="shared" si="44"/>
        <v>81034.972353117308</v>
      </c>
      <c r="I283" s="12">
        <v>29.721082360396419</v>
      </c>
      <c r="J283" s="12">
        <v>18.903341962330845</v>
      </c>
      <c r="K283" s="12">
        <v>30.024908319798811</v>
      </c>
      <c r="L283" s="12">
        <v>45.334015651411576</v>
      </c>
      <c r="M283" s="12">
        <v>44.970852153533045</v>
      </c>
      <c r="N283" s="12">
        <v>22.833443534282004</v>
      </c>
      <c r="O283" s="12">
        <v>9.6604458750309945</v>
      </c>
      <c r="P283" s="12">
        <v>49.803835722864626</v>
      </c>
      <c r="Q283" s="12">
        <v>472.83582966879169</v>
      </c>
      <c r="R283" s="15">
        <v>211.68848732121853</v>
      </c>
      <c r="S283" s="15">
        <v>1247.4505797795739</v>
      </c>
      <c r="T283" s="15">
        <v>1247.7604108570092</v>
      </c>
      <c r="U283" s="12">
        <v>26.392159427868489</v>
      </c>
      <c r="V283" s="12">
        <v>31.864461165295303</v>
      </c>
      <c r="W283" s="12">
        <v>53.863477286590864</v>
      </c>
      <c r="X283" s="12">
        <v>55.364810439477488</v>
      </c>
      <c r="Y283" s="12">
        <v>30.329850020310865</v>
      </c>
      <c r="Z283" s="12">
        <v>17.331381685151143</v>
      </c>
      <c r="AA283" s="12">
        <v>18.735986853099174</v>
      </c>
      <c r="AB283" s="12">
        <v>34.320271386515742</v>
      </c>
      <c r="AC283" s="12">
        <v>56.307276341260867</v>
      </c>
      <c r="AD283" s="12">
        <v>25.143492287566549</v>
      </c>
      <c r="AE283" s="12">
        <v>46.968619221811139</v>
      </c>
      <c r="AF283" s="12">
        <v>67.891071209508169</v>
      </c>
      <c r="AG283" s="12">
        <v>652.64275206669868</v>
      </c>
      <c r="AH283" s="12">
        <v>65.36225878069952</v>
      </c>
      <c r="AI283" s="12">
        <v>1931.4556913097495</v>
      </c>
      <c r="AJ283" s="12">
        <v>1975.556474836377</v>
      </c>
      <c r="AK283" s="12">
        <v>1340.0885250366341</v>
      </c>
      <c r="AL283" s="12">
        <v>2808.4319205183451</v>
      </c>
      <c r="AM283" s="12">
        <v>2885.6707252497681</v>
      </c>
      <c r="AN283" s="12">
        <v>3142.3142700440449</v>
      </c>
      <c r="AP283" s="12">
        <f t="shared" si="36"/>
        <v>0.99412072927620843</v>
      </c>
      <c r="AQ283" s="12">
        <f t="shared" si="37"/>
        <v>1.092138536111019</v>
      </c>
      <c r="AR283" s="12">
        <f t="shared" si="48"/>
        <v>1.2140840589447899</v>
      </c>
      <c r="AS283" s="12">
        <f t="shared" si="49"/>
        <v>0.75260249350220676</v>
      </c>
      <c r="AT283" s="12">
        <f t="shared" si="50"/>
        <v>1.4887699722236662</v>
      </c>
      <c r="AU283" s="12">
        <f t="shared" si="38"/>
        <v>0.65560224333383066</v>
      </c>
      <c r="AV283" s="12">
        <f t="shared" si="39"/>
        <v>0.41697920845320585</v>
      </c>
      <c r="AW283" s="12">
        <f t="shared" si="40"/>
        <v>0.66230418568410931</v>
      </c>
      <c r="AX283" s="12">
        <f t="shared" si="41"/>
        <v>0.90295961145995052</v>
      </c>
      <c r="AY283" s="12">
        <f t="shared" si="42"/>
        <v>0.4584675698743283</v>
      </c>
      <c r="AZ283" s="12">
        <f t="shared" si="43"/>
        <v>0.19396991687120085</v>
      </c>
      <c r="BA283" s="12">
        <f t="shared" si="51"/>
        <v>0.4766955620071941</v>
      </c>
      <c r="BB283" s="12">
        <f t="shared" si="52"/>
        <v>0.57553635445258522</v>
      </c>
      <c r="BC283" s="12">
        <f t="shared" si="53"/>
        <v>0.97288289906586389</v>
      </c>
      <c r="BD283" s="12">
        <f t="shared" si="54"/>
        <v>0.88372990058077761</v>
      </c>
      <c r="BE283" s="12">
        <f t="shared" si="55"/>
        <v>0.50498964562269033</v>
      </c>
      <c r="BF283" s="12">
        <f t="shared" si="56"/>
        <v>0.54591604600365851</v>
      </c>
      <c r="BG283" s="12">
        <f t="shared" si="57"/>
        <v>0.82937675511849951</v>
      </c>
      <c r="BH283" s="12">
        <f t="shared" si="58"/>
        <v>0.3703505017614922</v>
      </c>
      <c r="BI283" s="12">
        <f t="shared" si="59"/>
        <v>0.6918232159994725</v>
      </c>
    </row>
    <row r="284" spans="1:61" x14ac:dyDescent="0.55000000000000004">
      <c r="A284" s="12" t="s">
        <v>742</v>
      </c>
      <c r="B284" s="12" t="s">
        <v>743</v>
      </c>
      <c r="C284" s="12" t="s">
        <v>322</v>
      </c>
      <c r="D284" s="12" t="s">
        <v>9</v>
      </c>
      <c r="E284" s="12">
        <v>1764</v>
      </c>
      <c r="F284" s="12">
        <v>69.220843847019168</v>
      </c>
      <c r="G284" s="12">
        <v>69.761114777828951</v>
      </c>
      <c r="H284" s="14">
        <f t="shared" si="44"/>
        <v>123058.60646809026</v>
      </c>
      <c r="I284" s="12">
        <v>32.816955895157328</v>
      </c>
      <c r="J284" s="12">
        <v>29.720789929046777</v>
      </c>
      <c r="K284" s="12">
        <v>21.483221369609332</v>
      </c>
      <c r="L284" s="12">
        <v>44.751540253174781</v>
      </c>
      <c r="M284" s="12">
        <v>36.165005556913407</v>
      </c>
      <c r="N284" s="12">
        <v>16.435833039252159</v>
      </c>
      <c r="O284" s="12">
        <v>9.0750797663488267</v>
      </c>
      <c r="P284" s="12">
        <v>40.146996722579097</v>
      </c>
      <c r="Q284" s="12">
        <v>445.0651493542702</v>
      </c>
      <c r="R284" s="15">
        <v>139.3761225744322</v>
      </c>
      <c r="S284" s="15">
        <v>945.64245929905428</v>
      </c>
      <c r="T284" s="15">
        <v>1033.1188756738588</v>
      </c>
      <c r="U284" s="12">
        <v>81.802511029619893</v>
      </c>
      <c r="V284" s="12">
        <v>11.661683272933079</v>
      </c>
      <c r="W284" s="12">
        <v>97.553357666684661</v>
      </c>
      <c r="X284" s="12">
        <v>105.02418280017605</v>
      </c>
      <c r="Y284" s="12">
        <v>58.463706165284499</v>
      </c>
      <c r="Z284" s="12">
        <v>27.849992405980707</v>
      </c>
      <c r="AA284" s="12">
        <v>13.073334273171216</v>
      </c>
      <c r="AB284" s="12">
        <v>62.830810360528318</v>
      </c>
      <c r="AC284" s="12">
        <v>58.745295367577263</v>
      </c>
      <c r="AD284" s="12">
        <v>20.158344481305413</v>
      </c>
      <c r="AE284" s="12">
        <v>34.267231272619988</v>
      </c>
      <c r="AF284" s="12">
        <v>69.628419513705467</v>
      </c>
      <c r="AG284" s="12">
        <v>1605.3695311456877</v>
      </c>
      <c r="AH284" s="12">
        <v>455.73104114326122</v>
      </c>
      <c r="AI284" s="12">
        <v>4254.3647740159668</v>
      </c>
      <c r="AJ284" s="12">
        <v>4540.8109155458596</v>
      </c>
      <c r="AK284" s="12">
        <v>2374.8217392887045</v>
      </c>
      <c r="AL284" s="12">
        <v>475.95378632800657</v>
      </c>
      <c r="AM284" s="12">
        <v>2492.5586649650131</v>
      </c>
      <c r="AN284" s="12">
        <v>2654.875498783721</v>
      </c>
      <c r="AP284" s="12">
        <f t="shared" si="36"/>
        <v>0.64149691981982837</v>
      </c>
      <c r="AQ284" s="12">
        <f t="shared" si="37"/>
        <v>0.57549247672484682</v>
      </c>
      <c r="AR284" s="12">
        <f t="shared" si="48"/>
        <v>1.5054831496694228</v>
      </c>
      <c r="AS284" s="12">
        <f t="shared" si="49"/>
        <v>0.90065662741526054</v>
      </c>
      <c r="AT284" s="12">
        <f t="shared" si="50"/>
        <v>0.99809786204612583</v>
      </c>
      <c r="AU284" s="12">
        <f t="shared" si="38"/>
        <v>0.7333145565381789</v>
      </c>
      <c r="AV284" s="12">
        <f t="shared" si="39"/>
        <v>0.66412887156299194</v>
      </c>
      <c r="AW284" s="12">
        <f t="shared" si="40"/>
        <v>0.48005546285270617</v>
      </c>
      <c r="AX284" s="12">
        <f t="shared" si="41"/>
        <v>0.90081471864055584</v>
      </c>
      <c r="AY284" s="12">
        <f t="shared" si="42"/>
        <v>0.40939134632724528</v>
      </c>
      <c r="AZ284" s="12">
        <f t="shared" si="43"/>
        <v>0.22604629255480288</v>
      </c>
      <c r="BA284" s="12">
        <f t="shared" si="51"/>
        <v>0.7788921451096763</v>
      </c>
      <c r="BB284" s="12">
        <f t="shared" si="52"/>
        <v>0.11103807677438582</v>
      </c>
      <c r="BC284" s="12">
        <f t="shared" si="53"/>
        <v>0.92886566756053002</v>
      </c>
      <c r="BD284" s="12">
        <f t="shared" si="54"/>
        <v>0.93049422456617992</v>
      </c>
      <c r="BE284" s="12">
        <f t="shared" si="55"/>
        <v>0.44325375156193558</v>
      </c>
      <c r="BF284" s="12">
        <f t="shared" si="56"/>
        <v>0.20807203023732079</v>
      </c>
      <c r="BG284" s="12">
        <f t="shared" si="57"/>
        <v>0.84369709635609347</v>
      </c>
      <c r="BH284" s="12">
        <f t="shared" si="58"/>
        <v>0.28951317037057689</v>
      </c>
      <c r="BI284" s="12">
        <f t="shared" si="59"/>
        <v>0.49214432141282366</v>
      </c>
    </row>
    <row r="285" spans="1:61" x14ac:dyDescent="0.55000000000000004">
      <c r="A285" s="12" t="s">
        <v>744</v>
      </c>
      <c r="B285" s="12" t="s">
        <v>745</v>
      </c>
      <c r="C285" s="12" t="s">
        <v>322</v>
      </c>
      <c r="D285" s="12" t="s">
        <v>9</v>
      </c>
      <c r="E285" s="12">
        <v>1770</v>
      </c>
      <c r="F285" s="12">
        <v>70.900722873400113</v>
      </c>
      <c r="G285" s="12">
        <v>92.048147374731656</v>
      </c>
      <c r="H285" s="14">
        <f t="shared" si="44"/>
        <v>162925.22085327504</v>
      </c>
      <c r="I285" s="12">
        <v>46.288262140132865</v>
      </c>
      <c r="J285" s="12">
        <v>28.410069416783131</v>
      </c>
      <c r="K285" s="12">
        <v>39.951972624346261</v>
      </c>
      <c r="L285" s="12">
        <v>60.858678353106647</v>
      </c>
      <c r="M285" s="12">
        <v>39.724214417427902</v>
      </c>
      <c r="N285" s="12">
        <v>16.718014002057068</v>
      </c>
      <c r="O285" s="12">
        <v>28.222078300836852</v>
      </c>
      <c r="P285" s="12">
        <v>50.507259824259819</v>
      </c>
      <c r="Q285" s="12">
        <v>450.29757271560902</v>
      </c>
      <c r="R285" s="15">
        <v>214.57150155656331</v>
      </c>
      <c r="S285" s="15">
        <v>1714.8488043714576</v>
      </c>
      <c r="T285" s="15">
        <v>1750.7726351246272</v>
      </c>
      <c r="U285" s="12">
        <v>62.029173052455249</v>
      </c>
      <c r="V285" s="12">
        <v>21.237330078904399</v>
      </c>
      <c r="W285" s="12">
        <v>69.358491144418423</v>
      </c>
      <c r="X285" s="12">
        <v>82.617401883001122</v>
      </c>
      <c r="Y285" s="12">
        <v>44.748035723146415</v>
      </c>
      <c r="Z285" s="12">
        <v>37.992977615232903</v>
      </c>
      <c r="AA285" s="12">
        <v>22.173089429375306</v>
      </c>
      <c r="AB285" s="12">
        <v>54.259146730188519</v>
      </c>
      <c r="AC285" s="12">
        <v>57.721476400649664</v>
      </c>
      <c r="AD285" s="12">
        <v>31.462205757947718</v>
      </c>
      <c r="AE285" s="12">
        <v>34.983017972678567</v>
      </c>
      <c r="AF285" s="12">
        <v>64.169540585665672</v>
      </c>
      <c r="AG285" s="12">
        <v>1620.5465795779801</v>
      </c>
      <c r="AH285" s="12">
        <v>58.514448516924396</v>
      </c>
      <c r="AI285" s="12">
        <v>3450.0820346353121</v>
      </c>
      <c r="AJ285" s="12">
        <v>3798.3780846912359</v>
      </c>
      <c r="AK285" s="12">
        <v>1511.1314774699167</v>
      </c>
      <c r="AL285" s="12">
        <v>4056.5454651225323</v>
      </c>
      <c r="AM285" s="12">
        <v>498.52978946680457</v>
      </c>
      <c r="AN285" s="12">
        <v>4130.4614185411856</v>
      </c>
      <c r="AP285" s="12">
        <f t="shared" si="36"/>
        <v>0.66116136053611763</v>
      </c>
      <c r="AQ285" s="12">
        <f t="shared" si="37"/>
        <v>0.54870479487917079</v>
      </c>
      <c r="AR285" s="12">
        <f t="shared" si="48"/>
        <v>0.89754551546444938</v>
      </c>
      <c r="AS285" s="12">
        <f t="shared" si="49"/>
        <v>0.58946484288594514</v>
      </c>
      <c r="AT285" s="12">
        <f t="shared" si="50"/>
        <v>0.69713016954517215</v>
      </c>
      <c r="AU285" s="12">
        <f t="shared" si="38"/>
        <v>0.76058605596994522</v>
      </c>
      <c r="AV285" s="12">
        <f t="shared" si="39"/>
        <v>0.46682034815060824</v>
      </c>
      <c r="AW285" s="12">
        <f t="shared" si="40"/>
        <v>0.65647124954869873</v>
      </c>
      <c r="AX285" s="12">
        <f t="shared" si="41"/>
        <v>0.78650504017934131</v>
      </c>
      <c r="AY285" s="12">
        <f t="shared" si="42"/>
        <v>0.33100219770835826</v>
      </c>
      <c r="AZ285" s="12">
        <f t="shared" si="43"/>
        <v>0.55877270711251548</v>
      </c>
      <c r="BA285" s="12">
        <f t="shared" si="51"/>
        <v>0.75080033550677427</v>
      </c>
      <c r="BB285" s="12">
        <f t="shared" si="52"/>
        <v>0.25705637789215047</v>
      </c>
      <c r="BC285" s="12">
        <f t="shared" si="53"/>
        <v>0.83951431010431254</v>
      </c>
      <c r="BD285" s="12">
        <f t="shared" si="54"/>
        <v>0.8247095359914618</v>
      </c>
      <c r="BE285" s="12">
        <f t="shared" si="55"/>
        <v>0.70021332632004885</v>
      </c>
      <c r="BF285" s="12">
        <f t="shared" si="56"/>
        <v>0.40865164245273172</v>
      </c>
      <c r="BG285" s="12">
        <f t="shared" si="57"/>
        <v>0.89951518857443102</v>
      </c>
      <c r="BH285" s="12">
        <f t="shared" si="58"/>
        <v>0.49029813009095802</v>
      </c>
      <c r="BI285" s="12">
        <f t="shared" si="59"/>
        <v>0.54516547342234123</v>
      </c>
    </row>
    <row r="286" spans="1:61" x14ac:dyDescent="0.55000000000000004">
      <c r="A286" s="12" t="s">
        <v>746</v>
      </c>
      <c r="B286" s="12" t="s">
        <v>747</v>
      </c>
      <c r="C286" s="12" t="s">
        <v>322</v>
      </c>
      <c r="D286" s="12" t="s">
        <v>9</v>
      </c>
      <c r="E286" s="12">
        <v>1759</v>
      </c>
      <c r="F286" s="12">
        <v>65.186478628143988</v>
      </c>
      <c r="G286" s="12">
        <v>47.406119608900752</v>
      </c>
      <c r="H286" s="14">
        <f t="shared" si="44"/>
        <v>83387.364392056421</v>
      </c>
      <c r="I286" s="12">
        <v>48.276838035679717</v>
      </c>
      <c r="J286" s="12">
        <v>21.732456849574145</v>
      </c>
      <c r="K286" s="12">
        <v>28.484749125784589</v>
      </c>
      <c r="L286" s="12">
        <v>54.431894372840212</v>
      </c>
      <c r="M286" s="12">
        <v>37.627518695156873</v>
      </c>
      <c r="N286" s="12">
        <v>11.087452922173219</v>
      </c>
      <c r="O286" s="12">
        <v>19.664925957305964</v>
      </c>
      <c r="P286" s="12">
        <v>39.586092744338352</v>
      </c>
      <c r="Q286" s="12">
        <v>567.99515872106849</v>
      </c>
      <c r="R286" s="15">
        <v>61.687191170852003</v>
      </c>
      <c r="S286" s="15">
        <v>1428.0411398963756</v>
      </c>
      <c r="T286" s="15">
        <v>1428.1508992048921</v>
      </c>
      <c r="U286" s="12">
        <v>122.92705431799538</v>
      </c>
      <c r="V286" s="12">
        <v>21.369840384479222</v>
      </c>
      <c r="W286" s="12">
        <v>70.715567106957991</v>
      </c>
      <c r="X286" s="12">
        <v>124.63874892875917</v>
      </c>
      <c r="Y286" s="12">
        <v>47.378171654296594</v>
      </c>
      <c r="Z286" s="12">
        <v>37.96040539916504</v>
      </c>
      <c r="AA286" s="12">
        <v>12.228736110227452</v>
      </c>
      <c r="AB286" s="12">
        <v>49.70405702586617</v>
      </c>
      <c r="AC286" s="12">
        <v>45.695233336318886</v>
      </c>
      <c r="AD286" s="12">
        <v>26.917103753998262</v>
      </c>
      <c r="AE286" s="12">
        <v>22.182747053109622</v>
      </c>
      <c r="AF286" s="12">
        <v>52.065949636109416</v>
      </c>
      <c r="AG286" s="12">
        <v>1564.1247492764137</v>
      </c>
      <c r="AH286" s="12">
        <v>624.69709761697948</v>
      </c>
      <c r="AI286" s="12">
        <v>3429.4267048765628</v>
      </c>
      <c r="AJ286" s="12">
        <v>3765.8707513906652</v>
      </c>
      <c r="AK286" s="12">
        <v>1827.0240516853696</v>
      </c>
      <c r="AL286" s="12">
        <v>1656.6336707718979</v>
      </c>
      <c r="AM286" s="12">
        <v>1063.0970076385831</v>
      </c>
      <c r="AN286" s="12">
        <v>1843.3758628160306</v>
      </c>
      <c r="AP286" s="12">
        <f t="shared" si="36"/>
        <v>1.1482039623133451</v>
      </c>
      <c r="AQ286" s="12">
        <f t="shared" si="37"/>
        <v>0.83504182731939636</v>
      </c>
      <c r="AR286" s="12">
        <f t="shared" si="48"/>
        <v>2.6291700303046439</v>
      </c>
      <c r="AS286" s="12">
        <f t="shared" si="49"/>
        <v>1.048473434145704</v>
      </c>
      <c r="AT286" s="12">
        <f t="shared" si="50"/>
        <v>1.0982959597970081</v>
      </c>
      <c r="AU286" s="12">
        <f t="shared" si="38"/>
        <v>0.88692187901820163</v>
      </c>
      <c r="AV286" s="12">
        <f t="shared" si="39"/>
        <v>0.39925960872708394</v>
      </c>
      <c r="AW286" s="12">
        <f t="shared" si="40"/>
        <v>0.52330989861704269</v>
      </c>
      <c r="AX286" s="12">
        <f t="shared" si="41"/>
        <v>0.95052368361205342</v>
      </c>
      <c r="AY286" s="12">
        <f t="shared" si="42"/>
        <v>0.28008454872725369</v>
      </c>
      <c r="AZ286" s="12">
        <f t="shared" si="43"/>
        <v>0.4967634993508791</v>
      </c>
      <c r="BA286" s="12">
        <f t="shared" si="51"/>
        <v>0.98626675391501117</v>
      </c>
      <c r="BB286" s="12">
        <f t="shared" si="52"/>
        <v>0.17145422726197102</v>
      </c>
      <c r="BC286" s="12">
        <f t="shared" si="53"/>
        <v>0.56736422432623657</v>
      </c>
      <c r="BD286" s="12">
        <f t="shared" si="54"/>
        <v>0.95320532144168479</v>
      </c>
      <c r="BE286" s="12">
        <f t="shared" si="55"/>
        <v>0.76372850971521922</v>
      </c>
      <c r="BF286" s="12">
        <f t="shared" si="56"/>
        <v>0.24603094479518187</v>
      </c>
      <c r="BG286" s="12">
        <f t="shared" si="57"/>
        <v>0.87764140778540156</v>
      </c>
      <c r="BH286" s="12">
        <f t="shared" si="58"/>
        <v>0.51698094324837551</v>
      </c>
      <c r="BI286" s="12">
        <f t="shared" si="59"/>
        <v>0.42605094515985109</v>
      </c>
    </row>
    <row r="287" spans="1:61" x14ac:dyDescent="0.55000000000000004">
      <c r="A287" s="12" t="s">
        <v>712</v>
      </c>
      <c r="B287" s="12" t="s">
        <v>713</v>
      </c>
      <c r="C287" s="12" t="s">
        <v>322</v>
      </c>
      <c r="D287" s="12" t="s">
        <v>9</v>
      </c>
      <c r="E287" s="12">
        <v>2112</v>
      </c>
      <c r="F287" s="12">
        <v>66.184921561507693</v>
      </c>
      <c r="G287" s="12">
        <v>64.150180452979725</v>
      </c>
      <c r="H287" s="14">
        <f t="shared" si="44"/>
        <v>135485.18111669319</v>
      </c>
      <c r="I287" s="12">
        <v>26.213418625371588</v>
      </c>
      <c r="J287" s="12">
        <v>11.807500181372884</v>
      </c>
      <c r="K287" s="12">
        <v>21.682070706955297</v>
      </c>
      <c r="L287" s="12">
        <v>35.940457316294378</v>
      </c>
      <c r="M287" s="12">
        <v>29.773694651979582</v>
      </c>
      <c r="N287" s="12">
        <v>8.4124255288658709</v>
      </c>
      <c r="O287" s="12">
        <v>12.155192526662589</v>
      </c>
      <c r="P287" s="12">
        <v>30.972986934109993</v>
      </c>
      <c r="Q287" s="12">
        <v>384.13267636350929</v>
      </c>
      <c r="R287" s="15">
        <v>72.040103000973005</v>
      </c>
      <c r="S287" s="15">
        <v>663.28119579738575</v>
      </c>
      <c r="T287" s="15">
        <v>703.76802364955597</v>
      </c>
      <c r="AP287" s="12">
        <f t="shared" si="36"/>
        <v>0.56025496830266475</v>
      </c>
      <c r="AQ287" s="12">
        <f t="shared" si="37"/>
        <v>0.48281995023867968</v>
      </c>
      <c r="AU287" s="12">
        <f t="shared" si="38"/>
        <v>0.72935684692824354</v>
      </c>
      <c r="AV287" s="12">
        <f t="shared" si="39"/>
        <v>0.32852949191661235</v>
      </c>
      <c r="AW287" s="12">
        <f t="shared" si="40"/>
        <v>0.60327754085436369</v>
      </c>
      <c r="AX287" s="12">
        <f t="shared" si="41"/>
        <v>0.96127941148583085</v>
      </c>
      <c r="AY287" s="12">
        <f t="shared" si="42"/>
        <v>0.27160523932554331</v>
      </c>
      <c r="AZ287" s="12">
        <f t="shared" si="43"/>
        <v>0.39244495703694288</v>
      </c>
    </row>
    <row r="288" spans="1:61" x14ac:dyDescent="0.55000000000000004">
      <c r="A288" s="12" t="s">
        <v>748</v>
      </c>
      <c r="B288" s="12" t="s">
        <v>749</v>
      </c>
      <c r="C288" s="12" t="s">
        <v>322</v>
      </c>
      <c r="D288" s="12" t="s">
        <v>9</v>
      </c>
      <c r="E288" s="12">
        <v>2307</v>
      </c>
      <c r="F288" s="12">
        <v>66.132134794527815</v>
      </c>
      <c r="G288" s="12">
        <v>46.120560004821229</v>
      </c>
      <c r="H288" s="14">
        <f t="shared" si="44"/>
        <v>106400.13193112258</v>
      </c>
      <c r="I288" s="12">
        <v>43.894955606841918</v>
      </c>
      <c r="J288" s="12">
        <v>14.242002567038472</v>
      </c>
      <c r="K288" s="12">
        <v>31.587524004072819</v>
      </c>
      <c r="L288" s="12">
        <v>52.924550500851005</v>
      </c>
      <c r="M288" s="12">
        <v>42.730184532147703</v>
      </c>
      <c r="N288" s="12">
        <v>16.682092351462927</v>
      </c>
      <c r="O288" s="12">
        <v>11.967338413442729</v>
      </c>
      <c r="P288" s="12">
        <v>45.405957238722671</v>
      </c>
      <c r="Q288" s="12">
        <v>465.43799053904081</v>
      </c>
      <c r="R288" s="15">
        <v>98.166441530958835</v>
      </c>
      <c r="S288" s="15">
        <v>1573.5408159780873</v>
      </c>
      <c r="T288" s="15">
        <v>1573.7099721609425</v>
      </c>
      <c r="U288" s="12">
        <v>47.186621308658133</v>
      </c>
      <c r="V288" s="12">
        <v>7.4877006438084877</v>
      </c>
      <c r="W288" s="12">
        <v>64.718533546147512</v>
      </c>
      <c r="X288" s="12">
        <v>72.870915603032316</v>
      </c>
      <c r="Y288" s="12">
        <v>42.680904442614235</v>
      </c>
      <c r="Z288" s="12">
        <v>14.228270061004775</v>
      </c>
      <c r="AA288" s="12">
        <v>9.3926646837139174</v>
      </c>
      <c r="AB288" s="12">
        <v>43.449092344929433</v>
      </c>
      <c r="AC288" s="12">
        <v>55.054255785594272</v>
      </c>
      <c r="AD288" s="12">
        <v>12.131618682820012</v>
      </c>
      <c r="AE288" s="12">
        <v>23.31580583515651</v>
      </c>
      <c r="AF288" s="12">
        <v>56.320814990741795</v>
      </c>
      <c r="AG288" s="12">
        <v>1211.3376854923931</v>
      </c>
      <c r="AH288" s="12">
        <v>419.58236747339203</v>
      </c>
      <c r="AI288" s="12">
        <v>2405.928475350162</v>
      </c>
      <c r="AJ288" s="12">
        <v>2645.1293076500451</v>
      </c>
      <c r="AK288" s="12">
        <v>1480.1168520566857</v>
      </c>
      <c r="AL288" s="12">
        <v>1000.6969068939172</v>
      </c>
      <c r="AM288" s="12">
        <v>1751.3329374172729</v>
      </c>
      <c r="AN288" s="12">
        <v>1889.7943083219925</v>
      </c>
      <c r="AP288" s="12">
        <f t="shared" si="36"/>
        <v>1.147526189953429</v>
      </c>
      <c r="AQ288" s="12">
        <f t="shared" si="37"/>
        <v>0.98450576562765379</v>
      </c>
      <c r="AR288" s="12">
        <f t="shared" ref="AR288:AR305" si="60">X288/G288</f>
        <v>1.5800093406371198</v>
      </c>
      <c r="AS288" s="12">
        <f t="shared" ref="AS288:AS305" si="61">AB288/G288</f>
        <v>0.94207642622699006</v>
      </c>
      <c r="AT288" s="12">
        <f t="shared" ref="AT288:AT305" si="62">AF288/G288</f>
        <v>1.2211650288906786</v>
      </c>
      <c r="AU288" s="12">
        <f t="shared" si="38"/>
        <v>0.82938740511619657</v>
      </c>
      <c r="AV288" s="12">
        <f t="shared" si="39"/>
        <v>0.26910011388399918</v>
      </c>
      <c r="AW288" s="12">
        <f t="shared" si="40"/>
        <v>0.59684066666876845</v>
      </c>
      <c r="AX288" s="12">
        <f t="shared" si="41"/>
        <v>0.94107000778538719</v>
      </c>
      <c r="AY288" s="12">
        <f t="shared" si="42"/>
        <v>0.36739875923673437</v>
      </c>
      <c r="AZ288" s="12">
        <f t="shared" si="43"/>
        <v>0.26356317851695588</v>
      </c>
      <c r="BA288" s="12">
        <f t="shared" ref="BA288:BA305" si="63">U288/$X288</f>
        <v>0.6475370992414784</v>
      </c>
      <c r="BB288" s="12">
        <f t="shared" ref="BB288:BB305" si="64">V288/$X288</f>
        <v>0.1027529375999347</v>
      </c>
      <c r="BC288" s="12">
        <f t="shared" ref="BC288:BC305" si="65">W288/$X288</f>
        <v>0.888125708461037</v>
      </c>
      <c r="BD288" s="12">
        <f t="shared" ref="BD288:BD305" si="66">Y288/$AB288</f>
        <v>0.98231981703514581</v>
      </c>
      <c r="BE288" s="12">
        <f t="shared" ref="BE288:BE305" si="67">Z288/$AB288</f>
        <v>0.32746990312365487</v>
      </c>
      <c r="BF288" s="12">
        <f t="shared" ref="BF288:BF305" si="68">AA288/$AB288</f>
        <v>0.21617631524148637</v>
      </c>
      <c r="BG288" s="12">
        <f t="shared" ref="BG288:BG305" si="69">AC288/$AF288</f>
        <v>0.97751170317127467</v>
      </c>
      <c r="BH288" s="12">
        <f t="shared" ref="BH288:BH305" si="70">AD288/$AF288</f>
        <v>0.2154020442497902</v>
      </c>
      <c r="BI288" s="12">
        <f t="shared" ref="BI288:BI305" si="71">AE288/$AF288</f>
        <v>0.41398203912690612</v>
      </c>
    </row>
    <row r="289" spans="1:61" x14ac:dyDescent="0.55000000000000004">
      <c r="A289" s="12" t="s">
        <v>750</v>
      </c>
      <c r="B289" s="12" t="s">
        <v>751</v>
      </c>
      <c r="C289" s="12" t="s">
        <v>322</v>
      </c>
      <c r="D289" s="12" t="s">
        <v>9</v>
      </c>
      <c r="E289" s="12">
        <v>2033</v>
      </c>
      <c r="F289" s="12">
        <v>71.600105527172474</v>
      </c>
      <c r="G289" s="12">
        <v>44.334891201643927</v>
      </c>
      <c r="H289" s="14">
        <f t="shared" si="44"/>
        <v>90132.833812942103</v>
      </c>
      <c r="I289" s="12">
        <v>32.915987021463323</v>
      </c>
      <c r="J289" s="12">
        <v>33.88126282072934</v>
      </c>
      <c r="K289" s="12">
        <v>27.326503497333707</v>
      </c>
      <c r="L289" s="12">
        <v>46.222920298975012</v>
      </c>
      <c r="M289" s="12">
        <v>33.651469966756061</v>
      </c>
      <c r="N289" s="12">
        <v>12.193149603406155</v>
      </c>
      <c r="O289" s="12">
        <v>15.941900174027849</v>
      </c>
      <c r="P289" s="12">
        <v>36.03407871582273</v>
      </c>
      <c r="Q289" s="12">
        <v>400.5071891983194</v>
      </c>
      <c r="R289" s="15">
        <v>583.17583647390336</v>
      </c>
      <c r="S289" s="15">
        <v>1038.0127395578488</v>
      </c>
      <c r="T289" s="15">
        <v>1039.1449184709163</v>
      </c>
      <c r="U289" s="12">
        <v>35.905427677322457</v>
      </c>
      <c r="V289" s="12">
        <v>10.293002547343276</v>
      </c>
      <c r="W289" s="12">
        <v>79.428588952581407</v>
      </c>
      <c r="X289" s="12">
        <v>86.650446651839388</v>
      </c>
      <c r="Y289" s="12">
        <v>31.213208504136759</v>
      </c>
      <c r="Z289" s="12">
        <v>24.97390164041667</v>
      </c>
      <c r="AA289" s="12">
        <v>20.009305119188976</v>
      </c>
      <c r="AB289" s="12">
        <v>42.551962118240631</v>
      </c>
      <c r="AC289" s="12">
        <v>37.456770942198403</v>
      </c>
      <c r="AD289" s="12">
        <v>19.542501295866817</v>
      </c>
      <c r="AE289" s="12">
        <v>25.129179360893851</v>
      </c>
      <c r="AF289" s="12">
        <v>47.281149360886147</v>
      </c>
      <c r="AG289" s="12">
        <v>1217.5142630408297</v>
      </c>
      <c r="AH289" s="12">
        <v>290.91688826335871</v>
      </c>
      <c r="AI289" s="12">
        <v>2954.7336410072367</v>
      </c>
      <c r="AJ289" s="12">
        <v>3192.9526426133352</v>
      </c>
      <c r="AK289" s="12">
        <v>2906.3148686188788</v>
      </c>
      <c r="AL289" s="12">
        <v>317.5133914605783</v>
      </c>
      <c r="AM289" s="12">
        <v>1659.975410620644</v>
      </c>
      <c r="AN289" s="12">
        <v>3284.010931129113</v>
      </c>
      <c r="AP289" s="12">
        <f t="shared" si="36"/>
        <v>1.0425856260421156</v>
      </c>
      <c r="AQ289" s="12">
        <f t="shared" si="37"/>
        <v>0.81277020737307226</v>
      </c>
      <c r="AR289" s="12">
        <f t="shared" si="60"/>
        <v>1.9544526738034809</v>
      </c>
      <c r="AS289" s="12">
        <f t="shared" si="61"/>
        <v>0.95978496766138033</v>
      </c>
      <c r="AT289" s="12">
        <f t="shared" si="62"/>
        <v>1.0664546157526822</v>
      </c>
      <c r="AU289" s="12">
        <f t="shared" si="38"/>
        <v>0.7121139644262855</v>
      </c>
      <c r="AV289" s="12">
        <f t="shared" si="39"/>
        <v>0.73299701969459197</v>
      </c>
      <c r="AW289" s="12">
        <f t="shared" si="40"/>
        <v>0.591189464460117</v>
      </c>
      <c r="AX289" s="12">
        <f t="shared" si="41"/>
        <v>0.93387901581009602</v>
      </c>
      <c r="AY289" s="12">
        <f t="shared" si="42"/>
        <v>0.33837828072601972</v>
      </c>
      <c r="AZ289" s="12">
        <f t="shared" si="43"/>
        <v>0.44241175970533936</v>
      </c>
      <c r="BA289" s="12">
        <f t="shared" si="63"/>
        <v>0.41437094746424213</v>
      </c>
      <c r="BB289" s="12">
        <f t="shared" si="64"/>
        <v>0.11878764559287797</v>
      </c>
      <c r="BC289" s="12">
        <f t="shared" si="65"/>
        <v>0.91665527440065797</v>
      </c>
      <c r="BD289" s="12">
        <f t="shared" si="66"/>
        <v>0.73353159173726279</v>
      </c>
      <c r="BE289" s="12">
        <f t="shared" si="67"/>
        <v>0.58690364432598463</v>
      </c>
      <c r="BF289" s="12">
        <f t="shared" si="68"/>
        <v>0.4702322554148835</v>
      </c>
      <c r="BG289" s="12">
        <f t="shared" si="69"/>
        <v>0.79221362950167473</v>
      </c>
      <c r="BH289" s="12">
        <f t="shared" si="70"/>
        <v>0.41332542799887106</v>
      </c>
      <c r="BI289" s="12">
        <f t="shared" si="71"/>
        <v>0.53148410519990963</v>
      </c>
    </row>
    <row r="290" spans="1:61" x14ac:dyDescent="0.55000000000000004">
      <c r="A290" s="12" t="s">
        <v>752</v>
      </c>
      <c r="B290" s="12" t="s">
        <v>753</v>
      </c>
      <c r="C290" s="12" t="s">
        <v>322</v>
      </c>
      <c r="D290" s="12" t="s">
        <v>9</v>
      </c>
      <c r="E290" s="12">
        <v>2178</v>
      </c>
      <c r="F290" s="12">
        <v>66.654606693188583</v>
      </c>
      <c r="G290" s="12">
        <v>70.168431116534236</v>
      </c>
      <c r="H290" s="14">
        <f t="shared" si="44"/>
        <v>152826.84297181157</v>
      </c>
      <c r="I290" s="12">
        <v>33.941775045822361</v>
      </c>
      <c r="J290" s="12">
        <v>14.621322795873725</v>
      </c>
      <c r="K290" s="12">
        <v>25.713906152034507</v>
      </c>
      <c r="L290" s="12">
        <v>40.163195190552401</v>
      </c>
      <c r="M290" s="12">
        <v>36.52584388430963</v>
      </c>
      <c r="N290" s="12">
        <v>16.308056286717605</v>
      </c>
      <c r="O290" s="12">
        <v>9.2918247967404888</v>
      </c>
      <c r="P290" s="12">
        <v>40.577219390643101</v>
      </c>
      <c r="Q290" s="12">
        <v>461.89714590469043</v>
      </c>
      <c r="R290" s="15">
        <v>128.3621774502264</v>
      </c>
      <c r="S290" s="15">
        <v>1002.6462708890637</v>
      </c>
      <c r="T290" s="15">
        <v>1070.4072352578921</v>
      </c>
      <c r="U290" s="12">
        <v>30.21123927519497</v>
      </c>
      <c r="V290" s="12">
        <v>16.694783206361564</v>
      </c>
      <c r="W290" s="12">
        <v>56.43665654149406</v>
      </c>
      <c r="X290" s="12">
        <v>65.50788802596071</v>
      </c>
      <c r="Y290" s="12">
        <v>35.095335238800381</v>
      </c>
      <c r="Z290" s="12">
        <v>35.452392970767065</v>
      </c>
      <c r="AA290" s="12">
        <v>16.627962675379749</v>
      </c>
      <c r="AB290" s="12">
        <v>45.235724144063916</v>
      </c>
      <c r="AC290" s="12">
        <v>25.041161355391701</v>
      </c>
      <c r="AD290" s="12">
        <v>23.344975097889041</v>
      </c>
      <c r="AE290" s="12">
        <v>37.672682960355516</v>
      </c>
      <c r="AF290" s="12">
        <v>44.447791356673271</v>
      </c>
      <c r="AG290" s="12">
        <v>928.69699040148635</v>
      </c>
      <c r="AH290" s="12">
        <v>169.98242052090308</v>
      </c>
      <c r="AI290" s="12">
        <v>2256.8570812633197</v>
      </c>
      <c r="AJ290" s="12">
        <v>2438.8612255276762</v>
      </c>
      <c r="AK290" s="12">
        <v>920.0757989462877</v>
      </c>
      <c r="AL290" s="12">
        <v>2053.833054350911</v>
      </c>
      <c r="AM290" s="12">
        <v>1253.9445217167815</v>
      </c>
      <c r="AN290" s="12">
        <v>2090.0864928573978</v>
      </c>
      <c r="AP290" s="12">
        <f t="shared" si="36"/>
        <v>0.57238268764838451</v>
      </c>
      <c r="AQ290" s="12">
        <f t="shared" si="37"/>
        <v>0.578283121696897</v>
      </c>
      <c r="AR290" s="12">
        <f t="shared" si="60"/>
        <v>0.93358062854742474</v>
      </c>
      <c r="AS290" s="12">
        <f t="shared" si="61"/>
        <v>0.64467344394429149</v>
      </c>
      <c r="AT290" s="12">
        <f t="shared" si="62"/>
        <v>0.63344428041800349</v>
      </c>
      <c r="AU290" s="12">
        <f t="shared" si="38"/>
        <v>0.84509648410160587</v>
      </c>
      <c r="AV290" s="12">
        <f t="shared" si="39"/>
        <v>0.36404779865007114</v>
      </c>
      <c r="AW290" s="12">
        <f t="shared" si="40"/>
        <v>0.64023556965615114</v>
      </c>
      <c r="AX290" s="12">
        <f t="shared" si="41"/>
        <v>0.90015640383511109</v>
      </c>
      <c r="AY290" s="12">
        <f t="shared" si="42"/>
        <v>0.40190176980136194</v>
      </c>
      <c r="AZ290" s="12">
        <f t="shared" si="43"/>
        <v>0.22899116638049219</v>
      </c>
      <c r="BA290" s="12">
        <f t="shared" si="63"/>
        <v>0.46118475477674209</v>
      </c>
      <c r="BB290" s="12">
        <f t="shared" si="64"/>
        <v>0.2548514951320891</v>
      </c>
      <c r="BC290" s="12">
        <f t="shared" si="65"/>
        <v>0.86152459256705494</v>
      </c>
      <c r="BD290" s="12">
        <f t="shared" si="66"/>
        <v>0.77583228527592363</v>
      </c>
      <c r="BE290" s="12">
        <f t="shared" si="67"/>
        <v>0.78372555411869815</v>
      </c>
      <c r="BF290" s="12">
        <f t="shared" si="68"/>
        <v>0.36758475718049854</v>
      </c>
      <c r="BG290" s="12">
        <f t="shared" si="69"/>
        <v>0.56338370459057896</v>
      </c>
      <c r="BH290" s="12">
        <f t="shared" si="70"/>
        <v>0.52522238755478878</v>
      </c>
      <c r="BI290" s="12">
        <f t="shared" si="71"/>
        <v>0.84757153978809441</v>
      </c>
    </row>
    <row r="291" spans="1:61" x14ac:dyDescent="0.55000000000000004">
      <c r="A291" s="12" t="s">
        <v>754</v>
      </c>
      <c r="B291" s="12" t="s">
        <v>755</v>
      </c>
      <c r="C291" s="12" t="s">
        <v>322</v>
      </c>
      <c r="D291" s="12" t="s">
        <v>9</v>
      </c>
      <c r="E291" s="12">
        <v>2285</v>
      </c>
      <c r="F291" s="12">
        <v>64.735565620699376</v>
      </c>
      <c r="G291" s="12">
        <v>37.162876317209566</v>
      </c>
      <c r="H291" s="14">
        <f t="shared" si="44"/>
        <v>84917.172384823862</v>
      </c>
      <c r="I291" s="12">
        <v>44.404743221122885</v>
      </c>
      <c r="J291" s="12">
        <v>12.527130776980423</v>
      </c>
      <c r="K291" s="12">
        <v>22.71192836792126</v>
      </c>
      <c r="L291" s="12">
        <v>44.984530760046347</v>
      </c>
      <c r="M291" s="12">
        <v>31.307531838497745</v>
      </c>
      <c r="N291" s="12">
        <v>20.923211795953549</v>
      </c>
      <c r="O291" s="12">
        <v>10.239406770270504</v>
      </c>
      <c r="P291" s="12">
        <v>33.206027499671563</v>
      </c>
      <c r="Q291" s="12">
        <v>319.43749601945399</v>
      </c>
      <c r="R291" s="15">
        <v>58.000737089926915</v>
      </c>
      <c r="S291" s="15">
        <v>1105.562060861108</v>
      </c>
      <c r="T291" s="15">
        <v>1105.5623272259947</v>
      </c>
      <c r="U291" s="12">
        <v>51.231900758357533</v>
      </c>
      <c r="V291" s="12">
        <v>8.3806672341882731</v>
      </c>
      <c r="W291" s="12">
        <v>56.569955155268254</v>
      </c>
      <c r="X291" s="12">
        <v>63.282428948666478</v>
      </c>
      <c r="Y291" s="12">
        <v>51.456328881284747</v>
      </c>
      <c r="Z291" s="12">
        <v>22.856392887794946</v>
      </c>
      <c r="AA291" s="12">
        <v>23.11060004576596</v>
      </c>
      <c r="AB291" s="12">
        <v>54.388473734346938</v>
      </c>
      <c r="AC291" s="12">
        <v>48.404006711781498</v>
      </c>
      <c r="AD291" s="12">
        <v>24.065968366386628</v>
      </c>
      <c r="AE291" s="12">
        <v>41.361169431721606</v>
      </c>
      <c r="AF291" s="12">
        <v>59.142172619617455</v>
      </c>
      <c r="AG291" s="12">
        <v>1198.369621833456</v>
      </c>
      <c r="AH291" s="12">
        <v>211.37264195561255</v>
      </c>
      <c r="AI291" s="12">
        <v>2674.1303756392431</v>
      </c>
      <c r="AJ291" s="12">
        <v>2926.8829494475449</v>
      </c>
      <c r="AK291" s="12">
        <v>1934.7087666973569</v>
      </c>
      <c r="AL291" s="12">
        <v>2344.2430947587682</v>
      </c>
      <c r="AM291" s="12">
        <v>2362.472604656869</v>
      </c>
      <c r="AN291" s="12">
        <v>2673.4327457705272</v>
      </c>
      <c r="AP291" s="12">
        <f t="shared" si="36"/>
        <v>1.2104695658127702</v>
      </c>
      <c r="AQ291" s="12">
        <f t="shared" si="37"/>
        <v>0.89352684157803886</v>
      </c>
      <c r="AR291" s="12">
        <f t="shared" si="60"/>
        <v>1.7028399096052032</v>
      </c>
      <c r="AS291" s="12">
        <f t="shared" si="61"/>
        <v>1.4635162593472471</v>
      </c>
      <c r="AT291" s="12">
        <f t="shared" si="62"/>
        <v>1.5914315166242827</v>
      </c>
      <c r="AU291" s="12">
        <f t="shared" si="38"/>
        <v>0.98711140187243196</v>
      </c>
      <c r="AV291" s="12">
        <f t="shared" si="39"/>
        <v>0.27847641323195865</v>
      </c>
      <c r="AW291" s="12">
        <f t="shared" si="40"/>
        <v>0.50488307834241508</v>
      </c>
      <c r="AX291" s="12">
        <f t="shared" si="41"/>
        <v>0.94282677561498152</v>
      </c>
      <c r="AY291" s="12">
        <f t="shared" si="42"/>
        <v>0.63010282684854424</v>
      </c>
      <c r="AZ291" s="12">
        <f t="shared" si="43"/>
        <v>0.30835988346910154</v>
      </c>
      <c r="BA291" s="12">
        <f t="shared" si="63"/>
        <v>0.80957544786904267</v>
      </c>
      <c r="BB291" s="12">
        <f t="shared" si="64"/>
        <v>0.13243276804350404</v>
      </c>
      <c r="BC291" s="12">
        <f t="shared" si="65"/>
        <v>0.89392831620222324</v>
      </c>
      <c r="BD291" s="12">
        <f t="shared" si="66"/>
        <v>0.94608885574940282</v>
      </c>
      <c r="BE291" s="12">
        <f t="shared" si="67"/>
        <v>0.42024332213170518</v>
      </c>
      <c r="BF291" s="12">
        <f t="shared" si="68"/>
        <v>0.42491723813847992</v>
      </c>
      <c r="BG291" s="12">
        <f t="shared" si="69"/>
        <v>0.81843470687321174</v>
      </c>
      <c r="BH291" s="12">
        <f t="shared" si="70"/>
        <v>0.4069172182965079</v>
      </c>
      <c r="BI291" s="12">
        <f t="shared" si="71"/>
        <v>0.69935153883748447</v>
      </c>
    </row>
    <row r="292" spans="1:61" x14ac:dyDescent="0.55000000000000004">
      <c r="A292" s="12" t="s">
        <v>756</v>
      </c>
      <c r="B292" s="12" t="s">
        <v>757</v>
      </c>
      <c r="C292" s="12" t="s">
        <v>322</v>
      </c>
      <c r="D292" s="12" t="s">
        <v>9</v>
      </c>
      <c r="E292" s="12">
        <v>2119</v>
      </c>
      <c r="F292" s="12">
        <v>66.605474674122533</v>
      </c>
      <c r="G292" s="12">
        <v>39.438906295419542</v>
      </c>
      <c r="H292" s="14">
        <f t="shared" si="44"/>
        <v>83571.042439994009</v>
      </c>
      <c r="I292" s="12">
        <v>32.303714017094563</v>
      </c>
      <c r="J292" s="12">
        <v>14.815797918434773</v>
      </c>
      <c r="K292" s="12">
        <v>20.807654671874452</v>
      </c>
      <c r="L292" s="12">
        <v>39.586510549737277</v>
      </c>
      <c r="M292" s="12">
        <v>34.478094013493319</v>
      </c>
      <c r="N292" s="12">
        <v>9.4309154323744551</v>
      </c>
      <c r="O292" s="12">
        <v>13.968424458024355</v>
      </c>
      <c r="P292" s="12">
        <v>37.541280892421973</v>
      </c>
      <c r="Q292" s="12">
        <v>505.80877937922946</v>
      </c>
      <c r="R292" s="15">
        <v>26.734536767635589</v>
      </c>
      <c r="S292" s="15">
        <v>1090.318829463037</v>
      </c>
      <c r="T292" s="15">
        <v>1170.8187575378788</v>
      </c>
      <c r="U292" s="12">
        <v>63.610786528135527</v>
      </c>
      <c r="V292" s="12">
        <v>11.385477792551725</v>
      </c>
      <c r="W292" s="12">
        <v>71.471042016935513</v>
      </c>
      <c r="X292" s="12">
        <v>81.281900483738426</v>
      </c>
      <c r="Y292" s="12">
        <v>46.293668357970667</v>
      </c>
      <c r="Z292" s="12">
        <v>27.598790434040815</v>
      </c>
      <c r="AA292" s="12">
        <v>8.3569046982432162</v>
      </c>
      <c r="AB292" s="12">
        <v>50.63641269676085</v>
      </c>
      <c r="AC292" s="12">
        <v>34.095975014176474</v>
      </c>
      <c r="AD292" s="12">
        <v>22.755943978421652</v>
      </c>
      <c r="AE292" s="12">
        <v>33.36127973889873</v>
      </c>
      <c r="AF292" s="12">
        <v>45.495251496050258</v>
      </c>
      <c r="AG292" s="12">
        <v>1550.5609665556856</v>
      </c>
      <c r="AH292" s="12">
        <v>201.0002897741503</v>
      </c>
      <c r="AI292" s="12">
        <v>3327.1470797991196</v>
      </c>
      <c r="AJ292" s="12">
        <v>3668.9809628955827</v>
      </c>
      <c r="AK292" s="12">
        <v>2440.6288232269735</v>
      </c>
      <c r="AL292" s="12">
        <v>1030.7402695075286</v>
      </c>
      <c r="AM292" s="12">
        <v>1191.2327171585471</v>
      </c>
      <c r="AN292" s="12">
        <v>2709.7174433022028</v>
      </c>
      <c r="AP292" s="12">
        <f t="shared" si="36"/>
        <v>1.0037426051628333</v>
      </c>
      <c r="AQ292" s="12">
        <f t="shared" si="37"/>
        <v>0.95188443135863632</v>
      </c>
      <c r="AR292" s="12">
        <f t="shared" si="60"/>
        <v>2.060957265774344</v>
      </c>
      <c r="AS292" s="12">
        <f t="shared" si="61"/>
        <v>1.2839203074615126</v>
      </c>
      <c r="AT292" s="12">
        <f t="shared" si="62"/>
        <v>1.1535627067156804</v>
      </c>
      <c r="AU292" s="12">
        <f t="shared" si="38"/>
        <v>0.81602832804643233</v>
      </c>
      <c r="AV292" s="12">
        <f t="shared" si="39"/>
        <v>0.3742638012971593</v>
      </c>
      <c r="AW292" s="12">
        <f t="shared" si="40"/>
        <v>0.52562487531532498</v>
      </c>
      <c r="AX292" s="12">
        <f t="shared" si="41"/>
        <v>0.91840483845752363</v>
      </c>
      <c r="AY292" s="12">
        <f t="shared" si="42"/>
        <v>0.25121453525785703</v>
      </c>
      <c r="AZ292" s="12">
        <f t="shared" si="43"/>
        <v>0.37208172246578836</v>
      </c>
      <c r="BA292" s="12">
        <f t="shared" si="63"/>
        <v>0.78259472465043745</v>
      </c>
      <c r="BB292" s="12">
        <f t="shared" si="64"/>
        <v>0.14007396142059386</v>
      </c>
      <c r="BC292" s="12">
        <f t="shared" si="65"/>
        <v>0.87929836275462447</v>
      </c>
      <c r="BD292" s="12">
        <f t="shared" si="66"/>
        <v>0.91423672990428917</v>
      </c>
      <c r="BE292" s="12">
        <f t="shared" si="67"/>
        <v>0.5450384212506878</v>
      </c>
      <c r="BF292" s="12">
        <f t="shared" si="68"/>
        <v>0.1650374553246699</v>
      </c>
      <c r="BG292" s="12">
        <f t="shared" si="69"/>
        <v>0.7494403018551633</v>
      </c>
      <c r="BH292" s="12">
        <f t="shared" si="70"/>
        <v>0.50018283733187507</v>
      </c>
      <c r="BI292" s="12">
        <f t="shared" si="71"/>
        <v>0.73329146761162634</v>
      </c>
    </row>
    <row r="293" spans="1:61" x14ac:dyDescent="0.55000000000000004">
      <c r="A293" s="12" t="s">
        <v>758</v>
      </c>
      <c r="B293" s="12" t="s">
        <v>759</v>
      </c>
      <c r="C293" s="12" t="s">
        <v>322</v>
      </c>
      <c r="D293" s="12" t="s">
        <v>9</v>
      </c>
      <c r="E293" s="12">
        <v>2281</v>
      </c>
      <c r="F293" s="12">
        <v>68.642180614896105</v>
      </c>
      <c r="G293" s="12">
        <v>37.132476048270249</v>
      </c>
      <c r="H293" s="14">
        <f t="shared" si="44"/>
        <v>84699.177866104437</v>
      </c>
      <c r="I293" s="12">
        <v>44.691924840606632</v>
      </c>
      <c r="J293" s="12">
        <v>68.900733067617381</v>
      </c>
      <c r="K293" s="12">
        <v>36.448726887368416</v>
      </c>
      <c r="L293" s="12">
        <v>81.383396122683436</v>
      </c>
      <c r="M293" s="12">
        <v>31.691511335043327</v>
      </c>
      <c r="N293" s="12">
        <v>12.061495636003077</v>
      </c>
      <c r="O293" s="12">
        <v>27.765117708008521</v>
      </c>
      <c r="P293" s="12">
        <v>40.675120791384856</v>
      </c>
      <c r="Q293" s="12">
        <v>828.00940121778444</v>
      </c>
      <c r="R293" s="15">
        <v>407.6048884553893</v>
      </c>
      <c r="S293" s="15">
        <v>1579.0162652895231</v>
      </c>
      <c r="T293" s="15">
        <v>1625.0389591915839</v>
      </c>
      <c r="U293" s="12">
        <v>55.210866704741505</v>
      </c>
      <c r="V293" s="12">
        <v>18.241044224905867</v>
      </c>
      <c r="W293" s="12">
        <v>73.287643459701656</v>
      </c>
      <c r="X293" s="12">
        <v>80.145277181572368</v>
      </c>
      <c r="Y293" s="12">
        <v>44.518282267513705</v>
      </c>
      <c r="Z293" s="12">
        <v>21.861655131694317</v>
      </c>
      <c r="AA293" s="12">
        <v>7.2760346477831748</v>
      </c>
      <c r="AB293" s="12">
        <v>47.601813524243546</v>
      </c>
      <c r="AC293" s="12">
        <v>46.455631495734075</v>
      </c>
      <c r="AD293" s="12">
        <v>14.4545057755053</v>
      </c>
      <c r="AE293" s="12">
        <v>26.414682544506086</v>
      </c>
      <c r="AF293" s="12">
        <v>50.521612633546098</v>
      </c>
      <c r="AG293" s="12">
        <v>1245.7477948113981</v>
      </c>
      <c r="AH293" s="12">
        <v>227.09971071584266</v>
      </c>
      <c r="AI293" s="12">
        <v>2645.0825308375638</v>
      </c>
      <c r="AJ293" s="12">
        <v>2868.9195645570794</v>
      </c>
      <c r="AK293" s="12">
        <v>1263.3122538760299</v>
      </c>
      <c r="AL293" s="12">
        <v>430.63661900498005</v>
      </c>
      <c r="AM293" s="12">
        <v>1606.1868272911984</v>
      </c>
      <c r="AN293" s="12">
        <v>1754.4441815684183</v>
      </c>
      <c r="AP293" s="12">
        <f t="shared" si="36"/>
        <v>2.1917039956314612</v>
      </c>
      <c r="AQ293" s="12">
        <f t="shared" si="37"/>
        <v>1.0954055619266907</v>
      </c>
      <c r="AR293" s="12">
        <f t="shared" si="60"/>
        <v>2.1583607049900944</v>
      </c>
      <c r="AS293" s="12">
        <f t="shared" si="61"/>
        <v>1.2819455794535144</v>
      </c>
      <c r="AT293" s="12">
        <f t="shared" si="62"/>
        <v>1.3605775323969962</v>
      </c>
      <c r="AU293" s="12">
        <f t="shared" si="38"/>
        <v>0.54915286126957241</v>
      </c>
      <c r="AV293" s="12">
        <f t="shared" si="39"/>
        <v>0.84661904454996262</v>
      </c>
      <c r="AW293" s="12">
        <f t="shared" si="40"/>
        <v>0.44786441244627923</v>
      </c>
      <c r="AX293" s="12">
        <f t="shared" si="41"/>
        <v>0.77913748548119144</v>
      </c>
      <c r="AY293" s="12">
        <f t="shared" si="42"/>
        <v>0.29653250934064213</v>
      </c>
      <c r="AZ293" s="12">
        <f t="shared" si="43"/>
        <v>0.68260689010392017</v>
      </c>
      <c r="BA293" s="12">
        <f t="shared" si="63"/>
        <v>0.68888484320366195</v>
      </c>
      <c r="BB293" s="12">
        <f t="shared" si="64"/>
        <v>0.22759973970244116</v>
      </c>
      <c r="BC293" s="12">
        <f t="shared" si="65"/>
        <v>0.91443496157191562</v>
      </c>
      <c r="BD293" s="12">
        <f t="shared" si="66"/>
        <v>0.93522239955922259</v>
      </c>
      <c r="BE293" s="12">
        <f t="shared" si="67"/>
        <v>0.45926097165521229</v>
      </c>
      <c r="BF293" s="12">
        <f t="shared" si="68"/>
        <v>0.15285204720356924</v>
      </c>
      <c r="BG293" s="12">
        <f t="shared" si="69"/>
        <v>0.91951996530070712</v>
      </c>
      <c r="BH293" s="12">
        <f t="shared" si="70"/>
        <v>0.2861053917726209</v>
      </c>
      <c r="BI293" s="12">
        <f t="shared" si="71"/>
        <v>0.52283925962741074</v>
      </c>
    </row>
    <row r="294" spans="1:61" x14ac:dyDescent="0.55000000000000004">
      <c r="A294" s="12" t="s">
        <v>760</v>
      </c>
      <c r="B294" s="12" t="s">
        <v>761</v>
      </c>
      <c r="C294" s="12" t="s">
        <v>322</v>
      </c>
      <c r="D294" s="12" t="s">
        <v>9</v>
      </c>
      <c r="E294" s="12">
        <v>2191</v>
      </c>
      <c r="F294" s="12">
        <v>70.048231336485557</v>
      </c>
      <c r="G294" s="12">
        <v>37.389884087774924</v>
      </c>
      <c r="H294" s="14">
        <f t="shared" si="44"/>
        <v>81921.236036314862</v>
      </c>
      <c r="I294" s="12">
        <v>36.427471385293714</v>
      </c>
      <c r="J294" s="12">
        <v>13.722317090841294</v>
      </c>
      <c r="K294" s="12">
        <v>26.712208995470103</v>
      </c>
      <c r="L294" s="12">
        <v>41.175070421626131</v>
      </c>
      <c r="M294" s="12">
        <v>28.689682715325873</v>
      </c>
      <c r="N294" s="12">
        <v>15.331132295057051</v>
      </c>
      <c r="O294" s="12">
        <v>17.709969641553315</v>
      </c>
      <c r="P294" s="12">
        <v>33.930022033252989</v>
      </c>
      <c r="Q294" s="12">
        <v>499.05335672662324</v>
      </c>
      <c r="R294" s="15">
        <v>111.82083351819229</v>
      </c>
      <c r="S294" s="15">
        <v>985.64729982220331</v>
      </c>
      <c r="T294" s="15">
        <v>1052.3271518088914</v>
      </c>
      <c r="U294" s="12">
        <v>19.562134745521863</v>
      </c>
      <c r="V294" s="12">
        <v>16.499947064417729</v>
      </c>
      <c r="W294" s="12">
        <v>60.525467142877822</v>
      </c>
      <c r="X294" s="12">
        <v>62.691191702233034</v>
      </c>
      <c r="Y294" s="12">
        <v>28.585222386457431</v>
      </c>
      <c r="Z294" s="12">
        <v>19.390134088344858</v>
      </c>
      <c r="AA294" s="12">
        <v>20.910785598800107</v>
      </c>
      <c r="AB294" s="12">
        <v>36.921696137897776</v>
      </c>
      <c r="AC294" s="12">
        <v>28.696206793114481</v>
      </c>
      <c r="AD294" s="12">
        <v>14.27599097655343</v>
      </c>
      <c r="AE294" s="12">
        <v>31.357591892264537</v>
      </c>
      <c r="AF294" s="12">
        <v>43.593123451847077</v>
      </c>
      <c r="AG294" s="12">
        <v>660.99268047345856</v>
      </c>
      <c r="AH294" s="12">
        <v>31.597977891636795</v>
      </c>
      <c r="AI294" s="12">
        <v>2093.5923546792865</v>
      </c>
      <c r="AJ294" s="12">
        <v>2165.0275088082089</v>
      </c>
      <c r="AK294" s="12">
        <v>1941.9508516840676</v>
      </c>
      <c r="AL294" s="12">
        <v>1389.3219267984848</v>
      </c>
      <c r="AM294" s="12">
        <v>2561.1216039199489</v>
      </c>
      <c r="AN294" s="12">
        <v>3178.6055071430746</v>
      </c>
      <c r="AP294" s="12">
        <f t="shared" si="36"/>
        <v>1.1012355728347609</v>
      </c>
      <c r="AQ294" s="12">
        <f t="shared" si="37"/>
        <v>0.90746529070805071</v>
      </c>
      <c r="AR294" s="12">
        <f t="shared" si="60"/>
        <v>1.6766885811965029</v>
      </c>
      <c r="AS294" s="12">
        <f t="shared" si="61"/>
        <v>0.98747821874017983</v>
      </c>
      <c r="AT294" s="12">
        <f t="shared" si="62"/>
        <v>1.1659068894011464</v>
      </c>
      <c r="AU294" s="12">
        <f t="shared" si="38"/>
        <v>0.88469724550030482</v>
      </c>
      <c r="AV294" s="12">
        <f t="shared" si="39"/>
        <v>0.33326760465317878</v>
      </c>
      <c r="AW294" s="12">
        <f t="shared" si="40"/>
        <v>0.64874713563186071</v>
      </c>
      <c r="AX294" s="12">
        <f t="shared" si="41"/>
        <v>0.8455544970530422</v>
      </c>
      <c r="AY294" s="12">
        <f t="shared" si="42"/>
        <v>0.45184563334594458</v>
      </c>
      <c r="AZ294" s="12">
        <f t="shared" si="43"/>
        <v>0.52195573655085536</v>
      </c>
      <c r="BA294" s="12">
        <f t="shared" si="63"/>
        <v>0.31203960579401568</v>
      </c>
      <c r="BB294" s="12">
        <f t="shared" si="64"/>
        <v>0.26319402481273946</v>
      </c>
      <c r="BC294" s="12">
        <f t="shared" si="65"/>
        <v>0.96545408532602406</v>
      </c>
      <c r="BD294" s="12">
        <f t="shared" si="66"/>
        <v>0.77421205893941902</v>
      </c>
      <c r="BE294" s="12">
        <f t="shared" si="67"/>
        <v>0.52516910425580687</v>
      </c>
      <c r="BF294" s="12">
        <f t="shared" si="68"/>
        <v>0.56635495619434761</v>
      </c>
      <c r="BG294" s="12">
        <f t="shared" si="69"/>
        <v>0.65827370284242848</v>
      </c>
      <c r="BH294" s="12">
        <f t="shared" si="70"/>
        <v>0.32748263593276761</v>
      </c>
      <c r="BI294" s="12">
        <f t="shared" si="71"/>
        <v>0.71932427431822143</v>
      </c>
    </row>
    <row r="295" spans="1:61" x14ac:dyDescent="0.55000000000000004">
      <c r="A295" s="12" t="s">
        <v>762</v>
      </c>
      <c r="B295" s="12" t="s">
        <v>763</v>
      </c>
      <c r="C295" s="12" t="s">
        <v>322</v>
      </c>
      <c r="D295" s="12" t="s">
        <v>9</v>
      </c>
      <c r="E295" s="12">
        <v>2181</v>
      </c>
      <c r="F295" s="12">
        <v>69.162817971698402</v>
      </c>
      <c r="G295" s="12">
        <v>39.357817466518213</v>
      </c>
      <c r="H295" s="14">
        <f t="shared" si="44"/>
        <v>85839.399894476228</v>
      </c>
      <c r="I295" s="12">
        <v>35.936891646119349</v>
      </c>
      <c r="J295" s="12">
        <v>16.138228890885152</v>
      </c>
      <c r="K295" s="12">
        <v>34.96537833347184</v>
      </c>
      <c r="L295" s="12">
        <v>44.884391474407614</v>
      </c>
      <c r="M295" s="12">
        <v>39.454909981229108</v>
      </c>
      <c r="N295" s="12">
        <v>13.684252924212709</v>
      </c>
      <c r="O295" s="12">
        <v>13.484119080563385</v>
      </c>
      <c r="P295" s="12">
        <v>42.159615566637527</v>
      </c>
      <c r="Q295" s="12">
        <v>460.34772512232809</v>
      </c>
      <c r="R295" s="15">
        <v>73.775080731574718</v>
      </c>
      <c r="S295" s="15">
        <v>1475.7742097276746</v>
      </c>
      <c r="T295" s="15">
        <v>1477.4395323117024</v>
      </c>
      <c r="U295" s="12">
        <v>23.24652433439903</v>
      </c>
      <c r="V295" s="12">
        <v>15.191675021365882</v>
      </c>
      <c r="W295" s="12">
        <v>59.863245550222388</v>
      </c>
      <c r="X295" s="12">
        <v>63.514384121952837</v>
      </c>
      <c r="Y295" s="12">
        <v>30.014632553056526</v>
      </c>
      <c r="Z295" s="12">
        <v>22.409886006629797</v>
      </c>
      <c r="AA295" s="12">
        <v>17.717853985596921</v>
      </c>
      <c r="AB295" s="12">
        <v>39.6634425060357</v>
      </c>
      <c r="AC295" s="12">
        <v>43.576445418159452</v>
      </c>
      <c r="AD295" s="12">
        <v>31.589061752359488</v>
      </c>
      <c r="AE295" s="12">
        <v>41.687488136831107</v>
      </c>
      <c r="AF295" s="12">
        <v>67.786207217181385</v>
      </c>
      <c r="AG295" s="12">
        <v>798.11067065159023</v>
      </c>
      <c r="AH295" s="12">
        <v>434.47400329883601</v>
      </c>
      <c r="AI295" s="12">
        <v>2149.1681400585485</v>
      </c>
      <c r="AJ295" s="12">
        <v>2250.2954434963053</v>
      </c>
      <c r="AK295" s="12">
        <v>1264.8737838809107</v>
      </c>
      <c r="AL295" s="12">
        <v>3055.4009021177048</v>
      </c>
      <c r="AM295" s="12">
        <v>2549.1460614528687</v>
      </c>
      <c r="AN295" s="12">
        <v>3058.6118803329055</v>
      </c>
      <c r="AP295" s="12">
        <f t="shared" si="36"/>
        <v>1.1404187112913684</v>
      </c>
      <c r="AQ295" s="12">
        <f t="shared" si="37"/>
        <v>1.0711878422248087</v>
      </c>
      <c r="AR295" s="12">
        <f t="shared" si="60"/>
        <v>1.6137679426961282</v>
      </c>
      <c r="AS295" s="12">
        <f t="shared" si="61"/>
        <v>1.0077652943986917</v>
      </c>
      <c r="AT295" s="12">
        <f t="shared" si="62"/>
        <v>1.7223060520275868</v>
      </c>
      <c r="AU295" s="12">
        <f t="shared" si="38"/>
        <v>0.80065453636839456</v>
      </c>
      <c r="AV295" s="12">
        <f t="shared" si="39"/>
        <v>0.35955102343510487</v>
      </c>
      <c r="AW295" s="12">
        <f t="shared" si="40"/>
        <v>0.77900974447673099</v>
      </c>
      <c r="AX295" s="12">
        <f t="shared" si="41"/>
        <v>0.93584605672854493</v>
      </c>
      <c r="AY295" s="12">
        <f t="shared" si="42"/>
        <v>0.32458201386071384</v>
      </c>
      <c r="AZ295" s="12">
        <f t="shared" si="43"/>
        <v>0.31983496289833035</v>
      </c>
      <c r="BA295" s="12">
        <f t="shared" si="63"/>
        <v>0.36600408955810376</v>
      </c>
      <c r="BB295" s="12">
        <f t="shared" si="64"/>
        <v>0.23918479619036559</v>
      </c>
      <c r="BC295" s="12">
        <f t="shared" si="65"/>
        <v>0.94251477642103931</v>
      </c>
      <c r="BD295" s="12">
        <f t="shared" si="66"/>
        <v>0.75673291718158631</v>
      </c>
      <c r="BE295" s="12">
        <f t="shared" si="67"/>
        <v>0.56500103346348773</v>
      </c>
      <c r="BF295" s="12">
        <f t="shared" si="68"/>
        <v>0.44670489665390856</v>
      </c>
      <c r="BG295" s="12">
        <f t="shared" si="69"/>
        <v>0.64285121128763167</v>
      </c>
      <c r="BH295" s="12">
        <f t="shared" si="70"/>
        <v>0.46601016710008208</v>
      </c>
      <c r="BI295" s="12">
        <f t="shared" si="71"/>
        <v>0.61498481546943395</v>
      </c>
    </row>
    <row r="296" spans="1:61" x14ac:dyDescent="0.55000000000000004">
      <c r="A296" s="12" t="s">
        <v>764</v>
      </c>
      <c r="B296" s="12" t="s">
        <v>765</v>
      </c>
      <c r="C296" s="12" t="s">
        <v>322</v>
      </c>
      <c r="D296" s="12" t="s">
        <v>9</v>
      </c>
      <c r="E296" s="12">
        <v>2133</v>
      </c>
      <c r="F296" s="12">
        <v>66.574537336842099</v>
      </c>
      <c r="G296" s="12">
        <v>36.070881261283752</v>
      </c>
      <c r="H296" s="14">
        <f t="shared" si="44"/>
        <v>76939.189730318249</v>
      </c>
      <c r="I296" s="12">
        <v>30.030710177479705</v>
      </c>
      <c r="J296" s="12">
        <v>12.735596869646193</v>
      </c>
      <c r="K296" s="12">
        <v>25.318698206749467</v>
      </c>
      <c r="L296" s="12">
        <v>39.02136773186232</v>
      </c>
      <c r="M296" s="12">
        <v>34.321645651438331</v>
      </c>
      <c r="N296" s="12">
        <v>9.7662307435943223</v>
      </c>
      <c r="O296" s="12">
        <v>9.482789747249285</v>
      </c>
      <c r="P296" s="12">
        <v>36.32206182367716</v>
      </c>
      <c r="Q296" s="12">
        <v>542.83664448573791</v>
      </c>
      <c r="R296" s="15">
        <v>43.234514040189218</v>
      </c>
      <c r="S296" s="15">
        <v>1057.3507602537845</v>
      </c>
      <c r="T296" s="15">
        <v>1057.7266591902244</v>
      </c>
      <c r="U296" s="12">
        <v>57.221752561330149</v>
      </c>
      <c r="V296" s="12">
        <v>13.833290351759883</v>
      </c>
      <c r="W296" s="12">
        <v>74.484662529997024</v>
      </c>
      <c r="X296" s="12">
        <v>85.335361884780255</v>
      </c>
      <c r="Y296" s="12">
        <v>40.110426623121107</v>
      </c>
      <c r="Z296" s="12">
        <v>29.248996255155831</v>
      </c>
      <c r="AA296" s="12">
        <v>17.035779767417466</v>
      </c>
      <c r="AB296" s="12">
        <v>44.979362693047662</v>
      </c>
      <c r="AC296" s="12">
        <v>35.124325669328861</v>
      </c>
      <c r="AD296" s="12">
        <v>15.169810954994073</v>
      </c>
      <c r="AE296" s="12">
        <v>32.574845950149609</v>
      </c>
      <c r="AF296" s="12">
        <v>49.067979636569753</v>
      </c>
      <c r="AG296" s="12">
        <v>1461.8731346052602</v>
      </c>
      <c r="AH296" s="12">
        <v>429.05369341897307</v>
      </c>
      <c r="AI296" s="12">
        <v>3054.2623255092753</v>
      </c>
      <c r="AJ296" s="12">
        <v>3372.8940648791322</v>
      </c>
      <c r="AK296" s="12">
        <v>1776.0723415365628</v>
      </c>
      <c r="AL296" s="12">
        <v>2713.7390985226657</v>
      </c>
      <c r="AM296" s="12">
        <v>757.06477325731805</v>
      </c>
      <c r="AN296" s="12">
        <v>2827.6898475389053</v>
      </c>
      <c r="AP296" s="12">
        <f t="shared" si="36"/>
        <v>1.0817969056316192</v>
      </c>
      <c r="AQ296" s="12">
        <f t="shared" si="37"/>
        <v>1.0069635271889796</v>
      </c>
      <c r="AR296" s="12">
        <f t="shared" si="60"/>
        <v>2.3657687004274539</v>
      </c>
      <c r="AS296" s="12">
        <f t="shared" si="61"/>
        <v>1.2469715493567861</v>
      </c>
      <c r="AT296" s="12">
        <f t="shared" si="62"/>
        <v>1.3603210656579183</v>
      </c>
      <c r="AU296" s="12">
        <f t="shared" si="38"/>
        <v>0.76959655499103818</v>
      </c>
      <c r="AV296" s="12">
        <f t="shared" si="39"/>
        <v>0.32637494813507345</v>
      </c>
      <c r="AW296" s="12">
        <f t="shared" si="40"/>
        <v>0.64884189556676808</v>
      </c>
      <c r="AX296" s="12">
        <f t="shared" si="41"/>
        <v>0.9449255886973128</v>
      </c>
      <c r="AY296" s="12">
        <f t="shared" si="42"/>
        <v>0.2688787544882168</v>
      </c>
      <c r="AZ296" s="12">
        <f t="shared" si="43"/>
        <v>0.26107520529211165</v>
      </c>
      <c r="BA296" s="12">
        <f t="shared" si="63"/>
        <v>0.67055147241996726</v>
      </c>
      <c r="BB296" s="12">
        <f t="shared" si="64"/>
        <v>0.16210501773505787</v>
      </c>
      <c r="BC296" s="12">
        <f t="shared" si="65"/>
        <v>0.87284638964285599</v>
      </c>
      <c r="BD296" s="12">
        <f t="shared" si="66"/>
        <v>0.89175177729498745</v>
      </c>
      <c r="BE296" s="12">
        <f t="shared" si="67"/>
        <v>0.65027591552951836</v>
      </c>
      <c r="BF296" s="12">
        <f t="shared" si="68"/>
        <v>0.37874657948523227</v>
      </c>
      <c r="BG296" s="12">
        <f t="shared" si="69"/>
        <v>0.71582987376865914</v>
      </c>
      <c r="BH296" s="12">
        <f t="shared" si="70"/>
        <v>0.30915907007689802</v>
      </c>
      <c r="BI296" s="12">
        <f t="shared" si="71"/>
        <v>0.66387175896421013</v>
      </c>
    </row>
    <row r="297" spans="1:61" x14ac:dyDescent="0.55000000000000004">
      <c r="A297" s="12" t="s">
        <v>766</v>
      </c>
      <c r="B297" s="12" t="s">
        <v>767</v>
      </c>
      <c r="C297" s="12" t="s">
        <v>322</v>
      </c>
      <c r="D297" s="12" t="s">
        <v>9</v>
      </c>
      <c r="E297" s="12">
        <v>2204</v>
      </c>
      <c r="F297" s="12">
        <v>69.251687918836808</v>
      </c>
      <c r="G297" s="12">
        <v>41.304911506728054</v>
      </c>
      <c r="H297" s="14">
        <f t="shared" si="44"/>
        <v>91036.024960828625</v>
      </c>
      <c r="I297" s="12">
        <v>37.686951988359176</v>
      </c>
      <c r="J297" s="12">
        <v>5.4391808656631699</v>
      </c>
      <c r="K297" s="12">
        <v>27.190980829064618</v>
      </c>
      <c r="L297" s="12">
        <v>46.343918375749951</v>
      </c>
      <c r="M297" s="12">
        <v>31.837131837475578</v>
      </c>
      <c r="N297" s="12">
        <v>12.373720964174545</v>
      </c>
      <c r="O297" s="12">
        <v>15.120814473335244</v>
      </c>
      <c r="P297" s="12">
        <v>34.984109940601456</v>
      </c>
      <c r="Q297" s="12">
        <v>454.70101790729154</v>
      </c>
      <c r="R297" s="15">
        <v>100.28240703447659</v>
      </c>
      <c r="S297" s="15">
        <v>1018.1067652221708</v>
      </c>
      <c r="T297" s="15">
        <v>1043.2826959215727</v>
      </c>
      <c r="U297" s="12">
        <v>62.077269505746834</v>
      </c>
      <c r="V297" s="12">
        <v>14.101618308898058</v>
      </c>
      <c r="W297" s="12">
        <v>64.373629552011792</v>
      </c>
      <c r="X297" s="12">
        <v>81.08094243496555</v>
      </c>
      <c r="Y297" s="12">
        <v>37.623304957020025</v>
      </c>
      <c r="Z297" s="12">
        <v>23.814436756888703</v>
      </c>
      <c r="AA297" s="12">
        <v>9.7328681192243049</v>
      </c>
      <c r="AB297" s="12">
        <v>42.107262222892729</v>
      </c>
      <c r="AC297" s="12">
        <v>29.707513052729219</v>
      </c>
      <c r="AD297" s="12">
        <v>20.303292228299139</v>
      </c>
      <c r="AE297" s="12">
        <v>24.28062454446475</v>
      </c>
      <c r="AF297" s="12">
        <v>39.602163055631252</v>
      </c>
      <c r="AG297" s="12">
        <v>1345.5865675504351</v>
      </c>
      <c r="AH297" s="12">
        <v>471.33778085363372</v>
      </c>
      <c r="AI297" s="12">
        <v>3551.6365616149524</v>
      </c>
      <c r="AJ297" s="12">
        <v>3797.7350345543218</v>
      </c>
      <c r="AK297" s="12">
        <v>1660.4311757576234</v>
      </c>
      <c r="AL297" s="12">
        <v>1076.5668130203503</v>
      </c>
      <c r="AM297" s="12">
        <v>736.78278396580697</v>
      </c>
      <c r="AN297" s="12">
        <v>1727.7728346084846</v>
      </c>
      <c r="AP297" s="12">
        <f t="shared" si="36"/>
        <v>1.1219953435368359</v>
      </c>
      <c r="AQ297" s="12">
        <f t="shared" si="37"/>
        <v>0.84697215571816398</v>
      </c>
      <c r="AR297" s="12">
        <f t="shared" si="60"/>
        <v>1.9629855016577986</v>
      </c>
      <c r="AS297" s="12">
        <f t="shared" si="61"/>
        <v>1.019425068034197</v>
      </c>
      <c r="AT297" s="12">
        <f t="shared" si="62"/>
        <v>0.95877612639796006</v>
      </c>
      <c r="AU297" s="12">
        <f t="shared" si="38"/>
        <v>0.81320167368668927</v>
      </c>
      <c r="AV297" s="12">
        <f t="shared" si="39"/>
        <v>0.11736558012991175</v>
      </c>
      <c r="AW297" s="12">
        <f t="shared" si="40"/>
        <v>0.58672166234637269</v>
      </c>
      <c r="AX297" s="12">
        <f t="shared" si="41"/>
        <v>0.91004550041521581</v>
      </c>
      <c r="AY297" s="12">
        <f t="shared" si="42"/>
        <v>0.35369546303117444</v>
      </c>
      <c r="AZ297" s="12">
        <f t="shared" si="43"/>
        <v>0.43221949905281148</v>
      </c>
      <c r="BA297" s="12">
        <f t="shared" si="63"/>
        <v>0.7656209664254775</v>
      </c>
      <c r="BB297" s="12">
        <f t="shared" si="64"/>
        <v>0.17392025654128115</v>
      </c>
      <c r="BC297" s="12">
        <f t="shared" si="65"/>
        <v>0.79394278875884339</v>
      </c>
      <c r="BD297" s="12">
        <f t="shared" si="66"/>
        <v>0.89351107079493564</v>
      </c>
      <c r="BE297" s="12">
        <f t="shared" si="67"/>
        <v>0.5655660211492296</v>
      </c>
      <c r="BF297" s="12">
        <f t="shared" si="68"/>
        <v>0.23114464359387329</v>
      </c>
      <c r="BG297" s="12">
        <f t="shared" si="69"/>
        <v>0.75014874846602453</v>
      </c>
      <c r="BH297" s="12">
        <f t="shared" si="70"/>
        <v>0.51268139570502835</v>
      </c>
      <c r="BI297" s="12">
        <f t="shared" si="71"/>
        <v>0.61311359458715609</v>
      </c>
    </row>
    <row r="298" spans="1:61" x14ac:dyDescent="0.55000000000000004">
      <c r="A298" s="12" t="s">
        <v>768</v>
      </c>
      <c r="B298" s="12" t="s">
        <v>707</v>
      </c>
      <c r="C298" s="12" t="s">
        <v>322</v>
      </c>
      <c r="D298" s="12" t="s">
        <v>9</v>
      </c>
      <c r="E298" s="12">
        <v>2258</v>
      </c>
      <c r="F298" s="12">
        <v>64.691094332660597</v>
      </c>
      <c r="G298" s="12">
        <v>26.075120006205619</v>
      </c>
      <c r="H298" s="14">
        <f t="shared" si="44"/>
        <v>58877.620974012287</v>
      </c>
      <c r="I298" s="12">
        <v>31.092873739366137</v>
      </c>
      <c r="J298" s="12">
        <v>7.7980278748726519</v>
      </c>
      <c r="K298" s="12">
        <v>26.450597984108317</v>
      </c>
      <c r="L298" s="12">
        <v>38.086333979895706</v>
      </c>
      <c r="M298" s="12">
        <v>26.270153010329754</v>
      </c>
      <c r="N298" s="12">
        <v>8.2558326022630375</v>
      </c>
      <c r="O298" s="12">
        <v>16.218959992177371</v>
      </c>
      <c r="P298" s="12">
        <v>28.64426263660399</v>
      </c>
      <c r="Q298" s="12">
        <v>594.85110586629446</v>
      </c>
      <c r="R298" s="15">
        <v>109.86044996136621</v>
      </c>
      <c r="S298" s="15">
        <v>855.1485078083133</v>
      </c>
      <c r="T298" s="15">
        <v>869.04934055659714</v>
      </c>
      <c r="U298" s="12">
        <v>30.756665228241815</v>
      </c>
      <c r="V298" s="12">
        <v>7.9660601113503553</v>
      </c>
      <c r="W298" s="12">
        <v>34.046101452066758</v>
      </c>
      <c r="X298" s="12">
        <v>39.541350307714303</v>
      </c>
      <c r="Y298" s="12">
        <v>22.159108374396062</v>
      </c>
      <c r="Z298" s="12">
        <v>18.121227179603423</v>
      </c>
      <c r="AA298" s="12">
        <v>11.60376665497154</v>
      </c>
      <c r="AB298" s="12">
        <v>28.858352000979178</v>
      </c>
      <c r="AC298" s="12">
        <v>25.88428528611259</v>
      </c>
      <c r="AD298" s="12">
        <v>17.851264554739142</v>
      </c>
      <c r="AE298" s="12">
        <v>20.485702131795211</v>
      </c>
      <c r="AF298" s="12">
        <v>36.484302141330822</v>
      </c>
      <c r="AG298" s="12">
        <v>633.63368470698208</v>
      </c>
      <c r="AH298" s="12">
        <v>408.37288785875432</v>
      </c>
      <c r="AI298" s="12">
        <v>1224.7073001865842</v>
      </c>
      <c r="AJ298" s="12">
        <v>1376.0929664737325</v>
      </c>
      <c r="AK298" s="12">
        <v>629.07311584160891</v>
      </c>
      <c r="AL298" s="12">
        <v>1869.1944435337919</v>
      </c>
      <c r="AM298" s="12">
        <v>387.01266254384694</v>
      </c>
      <c r="AN298" s="12">
        <v>1931.6091247209038</v>
      </c>
      <c r="AP298" s="12">
        <f t="shared" si="36"/>
        <v>1.460638876094589</v>
      </c>
      <c r="AQ298" s="12">
        <f t="shared" si="37"/>
        <v>1.0985285064761712</v>
      </c>
      <c r="AR298" s="12">
        <f t="shared" si="60"/>
        <v>1.5164398207296401</v>
      </c>
      <c r="AS298" s="12">
        <f t="shared" si="61"/>
        <v>1.1067389908123597</v>
      </c>
      <c r="AT298" s="12">
        <f t="shared" si="62"/>
        <v>1.3991997786644097</v>
      </c>
      <c r="AU298" s="12">
        <f t="shared" si="38"/>
        <v>0.8163787503354577</v>
      </c>
      <c r="AV298" s="12">
        <f t="shared" si="39"/>
        <v>0.20474608763838828</v>
      </c>
      <c r="AW298" s="12">
        <f t="shared" si="40"/>
        <v>0.694490522455392</v>
      </c>
      <c r="AX298" s="12">
        <f t="shared" si="41"/>
        <v>0.91711744664565376</v>
      </c>
      <c r="AY298" s="12">
        <f t="shared" si="42"/>
        <v>0.28821941437281257</v>
      </c>
      <c r="AZ298" s="12">
        <f t="shared" si="43"/>
        <v>0.56622019557422476</v>
      </c>
      <c r="BA298" s="12">
        <f t="shared" si="63"/>
        <v>0.77783548080403708</v>
      </c>
      <c r="BB298" s="12">
        <f t="shared" si="64"/>
        <v>0.20146150926454881</v>
      </c>
      <c r="BC298" s="12">
        <f t="shared" si="65"/>
        <v>0.86102526057195738</v>
      </c>
      <c r="BD298" s="12">
        <f t="shared" si="66"/>
        <v>0.76785772013745601</v>
      </c>
      <c r="BE298" s="12">
        <f t="shared" si="67"/>
        <v>0.62793700690145304</v>
      </c>
      <c r="BF298" s="12">
        <f t="shared" si="68"/>
        <v>0.40209387752210585</v>
      </c>
      <c r="BG298" s="12">
        <f t="shared" si="69"/>
        <v>0.70946362591350964</v>
      </c>
      <c r="BH298" s="12">
        <f t="shared" si="70"/>
        <v>0.48928617260069618</v>
      </c>
      <c r="BI298" s="12">
        <f t="shared" si="71"/>
        <v>0.56149359942363319</v>
      </c>
    </row>
    <row r="299" spans="1:61" x14ac:dyDescent="0.55000000000000004">
      <c r="A299" s="12" t="s">
        <v>769</v>
      </c>
      <c r="B299" s="12" t="s">
        <v>770</v>
      </c>
      <c r="C299" s="12" t="s">
        <v>322</v>
      </c>
      <c r="D299" s="12" t="s">
        <v>9</v>
      </c>
      <c r="E299" s="12">
        <v>2376</v>
      </c>
      <c r="F299" s="12">
        <v>66.3436131305766</v>
      </c>
      <c r="G299" s="12">
        <v>34.629887168432099</v>
      </c>
      <c r="H299" s="14">
        <f t="shared" si="44"/>
        <v>82280.611912194669</v>
      </c>
      <c r="I299" s="12">
        <v>50.70792364256544</v>
      </c>
      <c r="J299" s="12">
        <v>16.784027044824132</v>
      </c>
      <c r="K299" s="12">
        <v>22.363945870205349</v>
      </c>
      <c r="L299" s="12">
        <v>54.31184704811438</v>
      </c>
      <c r="M299" s="12">
        <v>35.954490585785663</v>
      </c>
      <c r="N299" s="12">
        <v>13.660377662656664</v>
      </c>
      <c r="O299" s="12">
        <v>13.689773741157364</v>
      </c>
      <c r="P299" s="12">
        <v>37.494774802079242</v>
      </c>
      <c r="Q299" s="12">
        <v>677.50061600948891</v>
      </c>
      <c r="R299" s="15">
        <v>63.147136069453502</v>
      </c>
      <c r="S299" s="15">
        <v>1034.1453406641831</v>
      </c>
      <c r="T299" s="15">
        <v>1118.6792451196056</v>
      </c>
      <c r="U299" s="12">
        <v>56.588165982269246</v>
      </c>
      <c r="V299" s="12">
        <v>16.545905703226957</v>
      </c>
      <c r="W299" s="12">
        <v>87.684259650538237</v>
      </c>
      <c r="X299" s="12">
        <v>94.985483117342753</v>
      </c>
      <c r="Y299" s="12">
        <v>44.076547295257129</v>
      </c>
      <c r="Z299" s="12">
        <v>22.630154573967019</v>
      </c>
      <c r="AA299" s="12">
        <v>9.649319123808743</v>
      </c>
      <c r="AB299" s="12">
        <v>48.299922346835523</v>
      </c>
      <c r="AC299" s="12">
        <v>55.928025655278333</v>
      </c>
      <c r="AD299" s="12">
        <v>19.095569193204025</v>
      </c>
      <c r="AE299" s="12">
        <v>25.667343382071632</v>
      </c>
      <c r="AF299" s="12">
        <v>63.863453206616612</v>
      </c>
      <c r="AG299" s="12">
        <v>1456.9107607837323</v>
      </c>
      <c r="AH299" s="12">
        <v>41.577325286739082</v>
      </c>
      <c r="AI299" s="12">
        <v>3201.6632216320609</v>
      </c>
      <c r="AJ299" s="12">
        <v>3424.8857481227801</v>
      </c>
      <c r="AK299" s="12">
        <v>1397.0753144343948</v>
      </c>
      <c r="AL299" s="12">
        <v>1373.8016795537133</v>
      </c>
      <c r="AM299" s="12">
        <v>1198.4639005812637</v>
      </c>
      <c r="AN299" s="12">
        <v>1706.8599709974317</v>
      </c>
      <c r="AP299" s="12">
        <f t="shared" si="36"/>
        <v>1.568351833892891</v>
      </c>
      <c r="AQ299" s="12">
        <f t="shared" si="37"/>
        <v>1.0827287602674813</v>
      </c>
      <c r="AR299" s="12">
        <f t="shared" si="60"/>
        <v>2.7428759052940141</v>
      </c>
      <c r="AS299" s="12">
        <f t="shared" si="61"/>
        <v>1.3947467432370022</v>
      </c>
      <c r="AT299" s="12">
        <f t="shared" si="62"/>
        <v>1.8441715647526926</v>
      </c>
      <c r="AU299" s="12">
        <f t="shared" si="38"/>
        <v>0.93364388063701353</v>
      </c>
      <c r="AV299" s="12">
        <f t="shared" si="39"/>
        <v>0.30903068035884163</v>
      </c>
      <c r="AW299" s="12">
        <f t="shared" si="40"/>
        <v>0.41176920111726872</v>
      </c>
      <c r="AX299" s="12">
        <f t="shared" si="41"/>
        <v>0.95892003020623118</v>
      </c>
      <c r="AY299" s="12">
        <f t="shared" si="42"/>
        <v>0.36432750255908031</v>
      </c>
      <c r="AZ299" s="12">
        <f t="shared" si="43"/>
        <v>0.36511150722788738</v>
      </c>
      <c r="BA299" s="12">
        <f t="shared" si="63"/>
        <v>0.59575594211971949</v>
      </c>
      <c r="BB299" s="12">
        <f t="shared" si="64"/>
        <v>0.1741940469238499</v>
      </c>
      <c r="BC299" s="12">
        <f t="shared" si="65"/>
        <v>0.92313327018840596</v>
      </c>
      <c r="BD299" s="12">
        <f t="shared" si="66"/>
        <v>0.91255938216109578</v>
      </c>
      <c r="BE299" s="12">
        <f t="shared" si="67"/>
        <v>0.46853397426734544</v>
      </c>
      <c r="BF299" s="12">
        <f t="shared" si="68"/>
        <v>0.19977918503715647</v>
      </c>
      <c r="BG299" s="12">
        <f t="shared" si="69"/>
        <v>0.87574383856656024</v>
      </c>
      <c r="BH299" s="12">
        <f t="shared" si="70"/>
        <v>0.29900621144654321</v>
      </c>
      <c r="BI299" s="12">
        <f t="shared" si="71"/>
        <v>0.4019097323007324</v>
      </c>
    </row>
    <row r="300" spans="1:61" x14ac:dyDescent="0.55000000000000004">
      <c r="A300" s="12" t="s">
        <v>771</v>
      </c>
      <c r="B300" s="12" t="s">
        <v>772</v>
      </c>
      <c r="C300" s="12" t="s">
        <v>515</v>
      </c>
      <c r="D300" s="12" t="s">
        <v>9</v>
      </c>
      <c r="E300" s="12">
        <v>2227</v>
      </c>
      <c r="F300" s="12">
        <v>68.587348838645752</v>
      </c>
      <c r="G300" s="12">
        <v>41.698530807418891</v>
      </c>
      <c r="H300" s="14">
        <f t="shared" si="44"/>
        <v>92862.628108121877</v>
      </c>
      <c r="I300" s="12">
        <v>42.683166110801125</v>
      </c>
      <c r="J300" s="12">
        <v>16.716534271282512</v>
      </c>
      <c r="K300" s="12">
        <v>23.137786410504987</v>
      </c>
      <c r="L300" s="12">
        <v>46.385028590332631</v>
      </c>
      <c r="M300" s="12">
        <v>38.409061696942786</v>
      </c>
      <c r="N300" s="12">
        <v>7.5224061331545951</v>
      </c>
      <c r="O300" s="12">
        <v>13.284104997821997</v>
      </c>
      <c r="P300" s="12">
        <v>39.215405366256157</v>
      </c>
      <c r="Q300" s="12">
        <v>506.34682439558742</v>
      </c>
      <c r="R300" s="15">
        <v>58.716694973867291</v>
      </c>
      <c r="S300" s="15">
        <v>752.79192278005212</v>
      </c>
      <c r="T300" s="15">
        <v>876.82305365186551</v>
      </c>
      <c r="U300" s="12">
        <v>53.49136202433597</v>
      </c>
      <c r="V300" s="12">
        <v>12.18719163052306</v>
      </c>
      <c r="W300" s="12">
        <v>68.517458427790984</v>
      </c>
      <c r="X300" s="12">
        <v>75.89664285000822</v>
      </c>
      <c r="Y300" s="12">
        <v>44.096198403658505</v>
      </c>
      <c r="Z300" s="12">
        <v>21.039282988971671</v>
      </c>
      <c r="AA300" s="12">
        <v>14.304140858970289</v>
      </c>
      <c r="AB300" s="12">
        <v>47.796145220283535</v>
      </c>
      <c r="AC300" s="12">
        <v>50.576470262788888</v>
      </c>
      <c r="AD300" s="12">
        <v>18.77358718309052</v>
      </c>
      <c r="AE300" s="12">
        <v>22.357494427463969</v>
      </c>
      <c r="AF300" s="12">
        <v>53.98793490625296</v>
      </c>
      <c r="AG300" s="12">
        <v>1300.3265264844486</v>
      </c>
      <c r="AH300" s="12">
        <v>1712.2178718818909</v>
      </c>
      <c r="AI300" s="12">
        <v>2643.1784246401385</v>
      </c>
      <c r="AJ300" s="12">
        <v>2945.6562267508916</v>
      </c>
      <c r="AK300" s="12">
        <v>2332.011687386248</v>
      </c>
      <c r="AL300" s="12">
        <v>708.69974612664953</v>
      </c>
      <c r="AM300" s="12">
        <v>1746.9385260683216</v>
      </c>
      <c r="AN300" s="12">
        <v>2816.600616192432</v>
      </c>
      <c r="AP300" s="12">
        <f t="shared" si="36"/>
        <v>1.1123899977329641</v>
      </c>
      <c r="AQ300" s="12">
        <f t="shared" si="37"/>
        <v>0.94045052923732886</v>
      </c>
      <c r="AR300" s="12">
        <f t="shared" si="60"/>
        <v>1.8201275052238746</v>
      </c>
      <c r="AS300" s="12">
        <f t="shared" si="61"/>
        <v>1.1462309173679512</v>
      </c>
      <c r="AT300" s="12">
        <f t="shared" si="62"/>
        <v>1.2947203141422807</v>
      </c>
      <c r="AU300" s="12">
        <f t="shared" si="38"/>
        <v>0.92019273045564032</v>
      </c>
      <c r="AV300" s="12">
        <f t="shared" si="39"/>
        <v>0.36038641732704463</v>
      </c>
      <c r="AW300" s="12">
        <f t="shared" si="40"/>
        <v>0.49882013903355155</v>
      </c>
      <c r="AX300" s="12">
        <f t="shared" si="41"/>
        <v>0.97943808914424202</v>
      </c>
      <c r="AY300" s="12">
        <f t="shared" si="42"/>
        <v>0.1918227304524418</v>
      </c>
      <c r="AZ300" s="12">
        <f t="shared" si="43"/>
        <v>0.33874710394432456</v>
      </c>
      <c r="BA300" s="12">
        <f t="shared" si="63"/>
        <v>0.70479220181120539</v>
      </c>
      <c r="BB300" s="12">
        <f t="shared" si="64"/>
        <v>0.16057616217107473</v>
      </c>
      <c r="BC300" s="12">
        <f t="shared" si="65"/>
        <v>0.90277324338573905</v>
      </c>
      <c r="BD300" s="12">
        <f t="shared" si="66"/>
        <v>0.92258901215625944</v>
      </c>
      <c r="BE300" s="12">
        <f t="shared" si="67"/>
        <v>0.44018786226390294</v>
      </c>
      <c r="BF300" s="12">
        <f t="shared" si="68"/>
        <v>0.29927394339114938</v>
      </c>
      <c r="BG300" s="12">
        <f t="shared" si="69"/>
        <v>0.93681061056719639</v>
      </c>
      <c r="BH300" s="12">
        <f t="shared" si="70"/>
        <v>0.34773671591050498</v>
      </c>
      <c r="BI300" s="12">
        <f t="shared" si="71"/>
        <v>0.41412020049084136</v>
      </c>
    </row>
    <row r="301" spans="1:61" x14ac:dyDescent="0.55000000000000004">
      <c r="A301" s="12" t="s">
        <v>773</v>
      </c>
      <c r="B301" s="12" t="s">
        <v>774</v>
      </c>
      <c r="C301" s="12" t="s">
        <v>515</v>
      </c>
      <c r="D301" s="12" t="s">
        <v>9</v>
      </c>
      <c r="E301" s="12">
        <v>2210</v>
      </c>
      <c r="F301" s="12">
        <v>65.704784351881045</v>
      </c>
      <c r="G301" s="12">
        <v>36.481235153772616</v>
      </c>
      <c r="H301" s="14">
        <f t="shared" si="44"/>
        <v>80623.52968983748</v>
      </c>
      <c r="I301" s="12">
        <v>36.699795890442019</v>
      </c>
      <c r="J301" s="12">
        <v>7.6022990922080407</v>
      </c>
      <c r="K301" s="12">
        <v>28.767643485383854</v>
      </c>
      <c r="L301" s="12">
        <v>41.17252787841332</v>
      </c>
      <c r="M301" s="12">
        <v>36.528675755232115</v>
      </c>
      <c r="N301" s="12">
        <v>10.347079704350925</v>
      </c>
      <c r="O301" s="12">
        <v>15.183486253167745</v>
      </c>
      <c r="P301" s="12">
        <v>39.811558742745454</v>
      </c>
      <c r="Q301" s="12">
        <v>717.9968495002563</v>
      </c>
      <c r="R301" s="15">
        <v>29.302929158902717</v>
      </c>
      <c r="S301" s="15">
        <v>1157.8369226062828</v>
      </c>
      <c r="T301" s="15">
        <v>1260.8725670721972</v>
      </c>
      <c r="U301" s="12">
        <v>35.968581167610196</v>
      </c>
      <c r="V301" s="12">
        <v>11.443500274321476</v>
      </c>
      <c r="W301" s="12">
        <v>53.511358934468305</v>
      </c>
      <c r="X301" s="12">
        <v>59.82708211142532</v>
      </c>
      <c r="Y301" s="12">
        <v>37.719567835518149</v>
      </c>
      <c r="Z301" s="12">
        <v>29.982817819113233</v>
      </c>
      <c r="AA301" s="12">
        <v>11.858305165831435</v>
      </c>
      <c r="AB301" s="12">
        <v>47.741557919139701</v>
      </c>
      <c r="AC301" s="12">
        <v>49.533252693207785</v>
      </c>
      <c r="AD301" s="12">
        <v>18.066509959467599</v>
      </c>
      <c r="AE301" s="12">
        <v>29.668445605266008</v>
      </c>
      <c r="AF301" s="12">
        <v>56.484778705128058</v>
      </c>
      <c r="AG301" s="12">
        <v>1149.4643350577819</v>
      </c>
      <c r="AH301" s="12">
        <v>433.42204474762849</v>
      </c>
      <c r="AI301" s="12">
        <v>1940.9123172044385</v>
      </c>
      <c r="AJ301" s="12">
        <v>2100.2760258522339</v>
      </c>
      <c r="AK301" s="12">
        <v>1126.4787930046364</v>
      </c>
      <c r="AL301" s="12">
        <v>460.38376228806595</v>
      </c>
      <c r="AM301" s="12">
        <v>1811.4470628261531</v>
      </c>
      <c r="AN301" s="12">
        <v>1982.7788827026657</v>
      </c>
      <c r="AP301" s="12">
        <f t="shared" si="36"/>
        <v>1.1285946790141936</v>
      </c>
      <c r="AQ301" s="12">
        <f t="shared" si="37"/>
        <v>1.0912886741618024</v>
      </c>
      <c r="AR301" s="12">
        <f t="shared" si="60"/>
        <v>1.6399412426483715</v>
      </c>
      <c r="AS301" s="12">
        <f t="shared" si="61"/>
        <v>1.3086606776854874</v>
      </c>
      <c r="AT301" s="12">
        <f t="shared" si="62"/>
        <v>1.5483241854898333</v>
      </c>
      <c r="AU301" s="12">
        <f t="shared" si="38"/>
        <v>0.89136610700271468</v>
      </c>
      <c r="AV301" s="12">
        <f t="shared" si="39"/>
        <v>0.18464494370271378</v>
      </c>
      <c r="AW301" s="12">
        <f t="shared" si="40"/>
        <v>0.69870967287550678</v>
      </c>
      <c r="AX301" s="12">
        <f t="shared" si="41"/>
        <v>0.91753945107433021</v>
      </c>
      <c r="AY301" s="12">
        <f t="shared" si="42"/>
        <v>0.2599013962555885</v>
      </c>
      <c r="AZ301" s="12">
        <f t="shared" si="43"/>
        <v>0.38138386771742544</v>
      </c>
      <c r="BA301" s="12">
        <f t="shared" si="63"/>
        <v>0.60120901602087651</v>
      </c>
      <c r="BB301" s="12">
        <f t="shared" si="64"/>
        <v>0.19127625601075543</v>
      </c>
      <c r="BC301" s="12">
        <f t="shared" si="65"/>
        <v>0.89443370871415295</v>
      </c>
      <c r="BD301" s="12">
        <f t="shared" si="66"/>
        <v>0.79007827728211366</v>
      </c>
      <c r="BE301" s="12">
        <f t="shared" si="67"/>
        <v>0.62802344803861232</v>
      </c>
      <c r="BF301" s="12">
        <f t="shared" si="68"/>
        <v>0.24838538335753416</v>
      </c>
      <c r="BG301" s="12">
        <f t="shared" si="69"/>
        <v>0.87693098616514242</v>
      </c>
      <c r="BH301" s="12">
        <f t="shared" si="70"/>
        <v>0.31984740621507302</v>
      </c>
      <c r="BI301" s="12">
        <f t="shared" si="71"/>
        <v>0.5252467352336907</v>
      </c>
    </row>
    <row r="302" spans="1:61" x14ac:dyDescent="0.55000000000000004">
      <c r="A302" s="12" t="s">
        <v>775</v>
      </c>
      <c r="B302" s="12" t="s">
        <v>776</v>
      </c>
      <c r="C302" s="12" t="s">
        <v>515</v>
      </c>
      <c r="D302" s="12" t="s">
        <v>9</v>
      </c>
      <c r="E302" s="12">
        <v>2297</v>
      </c>
      <c r="F302" s="12">
        <v>68.192711321472288</v>
      </c>
      <c r="G302" s="12">
        <v>36.669517631790349</v>
      </c>
      <c r="H302" s="14">
        <f t="shared" si="44"/>
        <v>84229.882000222438</v>
      </c>
      <c r="I302" s="12">
        <v>57.959694317387978</v>
      </c>
      <c r="J302" s="12">
        <v>22.08553754194191</v>
      </c>
      <c r="K302" s="12">
        <v>18.850515552153045</v>
      </c>
      <c r="L302" s="12">
        <v>60.193499154682776</v>
      </c>
      <c r="M302" s="12">
        <v>43.583548978221444</v>
      </c>
      <c r="N302" s="12">
        <v>19.46579237885225</v>
      </c>
      <c r="O302" s="12">
        <v>9.6807599401139495</v>
      </c>
      <c r="P302" s="12">
        <v>47.722543113688431</v>
      </c>
      <c r="Q302" s="12">
        <v>357.68799523556015</v>
      </c>
      <c r="R302" s="15">
        <v>17.111824290955592</v>
      </c>
      <c r="S302" s="15">
        <v>1190.7988929446644</v>
      </c>
      <c r="T302" s="15">
        <v>1242.3890930032878</v>
      </c>
      <c r="U302" s="12">
        <v>37.38130194817446</v>
      </c>
      <c r="V302" s="12">
        <v>17.915151038841291</v>
      </c>
      <c r="W302" s="12">
        <v>47.676494116867268</v>
      </c>
      <c r="X302" s="12">
        <v>62.420542810312575</v>
      </c>
      <c r="Y302" s="12">
        <v>31.674111763604017</v>
      </c>
      <c r="Z302" s="12">
        <v>19.45928601723941</v>
      </c>
      <c r="AA302" s="12">
        <v>14.132560828846181</v>
      </c>
      <c r="AB302" s="12">
        <v>35.821695068699746</v>
      </c>
      <c r="AC302" s="12">
        <v>42.499019401082855</v>
      </c>
      <c r="AD302" s="12">
        <v>21.472962394898005</v>
      </c>
      <c r="AE302" s="12">
        <v>25.162795213823454</v>
      </c>
      <c r="AF302" s="12">
        <v>45.429047538059706</v>
      </c>
      <c r="AG302" s="12">
        <v>798.85699949962213</v>
      </c>
      <c r="AH302" s="12">
        <v>1349.4313855321532</v>
      </c>
      <c r="AI302" s="12">
        <v>1689.7516211971119</v>
      </c>
      <c r="AJ302" s="12">
        <v>1818.7533820506414</v>
      </c>
      <c r="AK302" s="12">
        <v>1607.7521624251872</v>
      </c>
      <c r="AL302" s="12">
        <v>1099.1408946687802</v>
      </c>
      <c r="AM302" s="12">
        <v>1974.5120658715311</v>
      </c>
      <c r="AN302" s="12">
        <v>2368.1004657762787</v>
      </c>
      <c r="AP302" s="12">
        <f t="shared" si="36"/>
        <v>1.6415132524813607</v>
      </c>
      <c r="AQ302" s="12">
        <f t="shared" si="37"/>
        <v>1.3014227128069922</v>
      </c>
      <c r="AR302" s="12">
        <f t="shared" si="60"/>
        <v>1.7022460845298271</v>
      </c>
      <c r="AS302" s="12">
        <f t="shared" si="61"/>
        <v>0.97687936417370302</v>
      </c>
      <c r="AT302" s="12">
        <f t="shared" si="62"/>
        <v>1.2388776965714801</v>
      </c>
      <c r="AU302" s="12">
        <f t="shared" si="38"/>
        <v>0.96288959989592138</v>
      </c>
      <c r="AV302" s="12">
        <f t="shared" si="39"/>
        <v>0.36690901595847425</v>
      </c>
      <c r="AW302" s="12">
        <f t="shared" si="40"/>
        <v>0.31316530550436628</v>
      </c>
      <c r="AX302" s="12">
        <f t="shared" si="41"/>
        <v>0.91326962342290208</v>
      </c>
      <c r="AY302" s="12">
        <f t="shared" si="42"/>
        <v>0.4078951185078149</v>
      </c>
      <c r="AZ302" s="12">
        <f t="shared" si="43"/>
        <v>0.20285507243508952</v>
      </c>
      <c r="BA302" s="12">
        <f t="shared" si="63"/>
        <v>0.59886217365605232</v>
      </c>
      <c r="BB302" s="12">
        <f t="shared" si="64"/>
        <v>0.2870072933085982</v>
      </c>
      <c r="BC302" s="12">
        <f t="shared" si="65"/>
        <v>0.76379492984784769</v>
      </c>
      <c r="BD302" s="12">
        <f t="shared" si="66"/>
        <v>0.88421588377821347</v>
      </c>
      <c r="BE302" s="12">
        <f t="shared" si="67"/>
        <v>0.54322627614131336</v>
      </c>
      <c r="BF302" s="12">
        <f t="shared" si="68"/>
        <v>0.39452518373969742</v>
      </c>
      <c r="BG302" s="12">
        <f t="shared" si="69"/>
        <v>0.93550320123876418</v>
      </c>
      <c r="BH302" s="12">
        <f t="shared" si="70"/>
        <v>0.47267031907081725</v>
      </c>
      <c r="BI302" s="12">
        <f t="shared" si="71"/>
        <v>0.55389220284097918</v>
      </c>
    </row>
    <row r="303" spans="1:61" x14ac:dyDescent="0.55000000000000004">
      <c r="A303" s="12" t="s">
        <v>777</v>
      </c>
      <c r="B303" s="12" t="s">
        <v>778</v>
      </c>
      <c r="C303" s="12" t="s">
        <v>515</v>
      </c>
      <c r="D303" s="12" t="s">
        <v>9</v>
      </c>
      <c r="E303" s="12">
        <v>2314</v>
      </c>
      <c r="F303" s="12">
        <v>70.481757957754837</v>
      </c>
      <c r="G303" s="12">
        <v>42.003914250243731</v>
      </c>
      <c r="H303" s="14">
        <f t="shared" si="44"/>
        <v>97197.057575063998</v>
      </c>
      <c r="I303" s="12">
        <v>43.429213388999941</v>
      </c>
      <c r="J303" s="12">
        <v>8.191059248180995</v>
      </c>
      <c r="K303" s="12">
        <v>22.093672504059484</v>
      </c>
      <c r="L303" s="12">
        <v>44.802107429123282</v>
      </c>
      <c r="M303" s="12">
        <v>34.926920968480225</v>
      </c>
      <c r="N303" s="12">
        <v>11.913490583886093</v>
      </c>
      <c r="O303" s="12">
        <v>12.721337476170131</v>
      </c>
      <c r="P303" s="12">
        <v>36.593319895635425</v>
      </c>
      <c r="Q303" s="12">
        <v>373.24323210957107</v>
      </c>
      <c r="R303" s="15">
        <v>106.3098866725021</v>
      </c>
      <c r="S303" s="15">
        <v>1150.1832129485547</v>
      </c>
      <c r="T303" s="15">
        <v>1157.7166516091188</v>
      </c>
      <c r="U303" s="12">
        <v>48.576502373932144</v>
      </c>
      <c r="V303" s="12">
        <v>9.4089972418705639</v>
      </c>
      <c r="W303" s="12">
        <v>54.837505215873904</v>
      </c>
      <c r="X303" s="12">
        <v>67.855385634000584</v>
      </c>
      <c r="Y303" s="12">
        <v>45.525206822801906</v>
      </c>
      <c r="Z303" s="12">
        <v>23.924369686869859</v>
      </c>
      <c r="AA303" s="12">
        <v>9.6829372498162289</v>
      </c>
      <c r="AB303" s="12">
        <v>46.107538271601911</v>
      </c>
      <c r="AC303" s="12">
        <v>36.761889317464743</v>
      </c>
      <c r="AD303" s="12">
        <v>17.459769554822131</v>
      </c>
      <c r="AE303" s="12">
        <v>21.924386669568698</v>
      </c>
      <c r="AF303" s="12">
        <v>41.748779888217776</v>
      </c>
      <c r="AG303" s="12">
        <v>1433.848534453454</v>
      </c>
      <c r="AH303" s="12">
        <v>671.19780799541377</v>
      </c>
      <c r="AI303" s="12">
        <v>2730.0858903331718</v>
      </c>
      <c r="AJ303" s="12">
        <v>3072.6979739472531</v>
      </c>
      <c r="AK303" s="12">
        <v>1428.8400202912492</v>
      </c>
      <c r="AL303" s="12">
        <v>496.40081884102841</v>
      </c>
      <c r="AM303" s="12">
        <v>841.07575922494175</v>
      </c>
      <c r="AN303" s="12">
        <v>1570.2584709099453</v>
      </c>
      <c r="AP303" s="12">
        <f t="shared" si="36"/>
        <v>1.0666174386084344</v>
      </c>
      <c r="AQ303" s="12">
        <f t="shared" si="37"/>
        <v>0.87118832967865822</v>
      </c>
      <c r="AR303" s="12">
        <f t="shared" si="60"/>
        <v>1.6154538653170125</v>
      </c>
      <c r="AS303" s="12">
        <f t="shared" si="61"/>
        <v>1.0976962289016758</v>
      </c>
      <c r="AT303" s="12">
        <f t="shared" si="62"/>
        <v>0.99392593841359733</v>
      </c>
      <c r="AU303" s="12">
        <f t="shared" si="38"/>
        <v>0.96935648524357354</v>
      </c>
      <c r="AV303" s="12">
        <f t="shared" si="39"/>
        <v>0.18282754357346273</v>
      </c>
      <c r="AW303" s="12">
        <f t="shared" si="40"/>
        <v>0.49313913500635137</v>
      </c>
      <c r="AX303" s="12">
        <f t="shared" si="41"/>
        <v>0.95446166316945857</v>
      </c>
      <c r="AY303" s="12">
        <f t="shared" si="42"/>
        <v>0.32556462813058523</v>
      </c>
      <c r="AZ303" s="12">
        <f t="shared" si="43"/>
        <v>0.34764097689008633</v>
      </c>
      <c r="BA303" s="12">
        <f t="shared" si="63"/>
        <v>0.7158827839538755</v>
      </c>
      <c r="BB303" s="12">
        <f t="shared" si="64"/>
        <v>0.13866249751524451</v>
      </c>
      <c r="BC303" s="12">
        <f t="shared" si="65"/>
        <v>0.80815258366752607</v>
      </c>
      <c r="BD303" s="12">
        <f t="shared" si="66"/>
        <v>0.98737014660445077</v>
      </c>
      <c r="BE303" s="12">
        <f t="shared" si="67"/>
        <v>0.51888195691430172</v>
      </c>
      <c r="BF303" s="12">
        <f t="shared" si="68"/>
        <v>0.21000768231818712</v>
      </c>
      <c r="BG303" s="12">
        <f t="shared" si="69"/>
        <v>0.88055002842944352</v>
      </c>
      <c r="BH303" s="12">
        <f t="shared" si="70"/>
        <v>0.41821029504504342</v>
      </c>
      <c r="BI303" s="12">
        <f t="shared" si="71"/>
        <v>0.52515035716663272</v>
      </c>
    </row>
    <row r="304" spans="1:61" x14ac:dyDescent="0.55000000000000004">
      <c r="A304" s="12" t="s">
        <v>779</v>
      </c>
      <c r="B304" s="12" t="s">
        <v>780</v>
      </c>
      <c r="C304" s="12" t="s">
        <v>515</v>
      </c>
      <c r="D304" s="12" t="s">
        <v>9</v>
      </c>
      <c r="E304" s="12">
        <v>2223</v>
      </c>
      <c r="F304" s="12">
        <v>69.91818043570936</v>
      </c>
      <c r="G304" s="12">
        <v>40.024056942984558</v>
      </c>
      <c r="H304" s="14">
        <f t="shared" si="44"/>
        <v>88973.47858425467</v>
      </c>
      <c r="I304" s="12">
        <v>56.976920248101649</v>
      </c>
      <c r="J304" s="12">
        <v>40.939600406439482</v>
      </c>
      <c r="K304" s="12">
        <v>29.601270136925873</v>
      </c>
      <c r="L304" s="12">
        <v>70.458773227593682</v>
      </c>
      <c r="M304" s="12">
        <v>38.801295373440936</v>
      </c>
      <c r="N304" s="12">
        <v>22.676701518439749</v>
      </c>
      <c r="O304" s="12">
        <v>20.594314944668131</v>
      </c>
      <c r="P304" s="12">
        <v>45.472713562206778</v>
      </c>
      <c r="Q304" s="12">
        <v>539.64780837575427</v>
      </c>
      <c r="R304" s="15">
        <v>120.08053916140335</v>
      </c>
      <c r="S304" s="15">
        <v>1553.8468377211836</v>
      </c>
      <c r="T304" s="15">
        <v>1581.1967710224603</v>
      </c>
      <c r="U304" s="12">
        <v>74.414096772478075</v>
      </c>
      <c r="V304" s="12">
        <v>13.656349660368265</v>
      </c>
      <c r="W304" s="12">
        <v>94.465218859070006</v>
      </c>
      <c r="X304" s="12">
        <v>102.62984538606656</v>
      </c>
      <c r="Y304" s="12">
        <v>62.764495750499307</v>
      </c>
      <c r="Z304" s="12">
        <v>18.326682819133616</v>
      </c>
      <c r="AA304" s="12">
        <v>11.756648631957376</v>
      </c>
      <c r="AB304" s="12">
        <v>63.304871994727385</v>
      </c>
      <c r="AC304" s="12">
        <v>63.539923550196761</v>
      </c>
      <c r="AD304" s="12">
        <v>18.57814586208897</v>
      </c>
      <c r="AE304" s="12">
        <v>36.876274482789867</v>
      </c>
      <c r="AF304" s="12">
        <v>69.907732123138317</v>
      </c>
      <c r="AG304" s="12">
        <v>1695.6576244791167</v>
      </c>
      <c r="AH304" s="12">
        <v>196.51400963979785</v>
      </c>
      <c r="AI304" s="12">
        <v>3459.3560164121864</v>
      </c>
      <c r="AJ304" s="12">
        <v>3832.8148794721196</v>
      </c>
      <c r="AK304" s="12">
        <v>3085.7086304109866</v>
      </c>
      <c r="AL304" s="12">
        <v>507.96866083943411</v>
      </c>
      <c r="AM304" s="12">
        <v>2017.8056833926273</v>
      </c>
      <c r="AN304" s="12">
        <v>3155.2066406093468</v>
      </c>
      <c r="AP304" s="12">
        <f t="shared" si="36"/>
        <v>1.7604105782670725</v>
      </c>
      <c r="AQ304" s="12">
        <f t="shared" si="37"/>
        <v>1.1361345409583039</v>
      </c>
      <c r="AR304" s="12">
        <f t="shared" si="60"/>
        <v>2.5642039619388357</v>
      </c>
      <c r="AS304" s="12">
        <f t="shared" si="61"/>
        <v>1.581670545914599</v>
      </c>
      <c r="AT304" s="12">
        <f t="shared" si="62"/>
        <v>1.746642830903522</v>
      </c>
      <c r="AU304" s="12">
        <f t="shared" si="38"/>
        <v>0.80865614937768815</v>
      </c>
      <c r="AV304" s="12">
        <f t="shared" si="39"/>
        <v>0.58104333259106977</v>
      </c>
      <c r="AW304" s="12">
        <f t="shared" si="40"/>
        <v>0.42012184971357358</v>
      </c>
      <c r="AX304" s="12">
        <f t="shared" si="41"/>
        <v>0.85328744061778228</v>
      </c>
      <c r="AY304" s="12">
        <f t="shared" si="42"/>
        <v>0.49868810858225932</v>
      </c>
      <c r="AZ304" s="12">
        <f t="shared" si="43"/>
        <v>0.45289390782661476</v>
      </c>
      <c r="BA304" s="12">
        <f t="shared" si="63"/>
        <v>0.72507267737325098</v>
      </c>
      <c r="BB304" s="12">
        <f t="shared" si="64"/>
        <v>0.13306411608627744</v>
      </c>
      <c r="BC304" s="12">
        <f t="shared" si="65"/>
        <v>0.92044588495399782</v>
      </c>
      <c r="BD304" s="12">
        <f t="shared" si="66"/>
        <v>0.99146390748135327</v>
      </c>
      <c r="BE304" s="12">
        <f t="shared" si="67"/>
        <v>0.28949877381728267</v>
      </c>
      <c r="BF304" s="12">
        <f t="shared" si="68"/>
        <v>0.18571475245912475</v>
      </c>
      <c r="BG304" s="12">
        <f t="shared" si="69"/>
        <v>0.90891124086638886</v>
      </c>
      <c r="BH304" s="12">
        <f t="shared" si="70"/>
        <v>0.26575237527895584</v>
      </c>
      <c r="BI304" s="12">
        <f t="shared" si="71"/>
        <v>0.52749922451831943</v>
      </c>
    </row>
    <row r="305" spans="1:61" x14ac:dyDescent="0.55000000000000004">
      <c r="A305" s="12" t="s">
        <v>781</v>
      </c>
      <c r="B305" s="12" t="s">
        <v>782</v>
      </c>
      <c r="C305" s="12" t="s">
        <v>322</v>
      </c>
      <c r="D305" s="12" t="s">
        <v>9</v>
      </c>
      <c r="E305" s="12">
        <v>1768</v>
      </c>
      <c r="F305" s="12">
        <v>68.699355880686738</v>
      </c>
      <c r="G305" s="12">
        <v>38.49879160139907</v>
      </c>
      <c r="H305" s="14">
        <f t="shared" si="44"/>
        <v>68065.863551273549</v>
      </c>
      <c r="I305" s="12">
        <v>28.492367431190917</v>
      </c>
      <c r="J305" s="12">
        <v>18.70714207501339</v>
      </c>
      <c r="K305" s="12">
        <v>28.523877100057707</v>
      </c>
      <c r="L305" s="12">
        <v>38.75927042846854</v>
      </c>
      <c r="M305" s="12">
        <v>35.535414642252391</v>
      </c>
      <c r="N305" s="12">
        <v>7.868929311934413</v>
      </c>
      <c r="O305" s="12">
        <v>13.041152932062852</v>
      </c>
      <c r="P305" s="12">
        <v>38.550775930999265</v>
      </c>
      <c r="Q305" s="12">
        <v>526.08860005205622</v>
      </c>
      <c r="R305" s="15">
        <v>73.377522874999542</v>
      </c>
      <c r="S305" s="15">
        <v>765.43888456961349</v>
      </c>
      <c r="T305" s="15">
        <v>781.91884238977116</v>
      </c>
      <c r="U305" s="12">
        <v>29.691549222780175</v>
      </c>
      <c r="V305" s="12">
        <v>8.3674243730493068</v>
      </c>
      <c r="W305" s="12">
        <v>49.825509871492706</v>
      </c>
      <c r="X305" s="12">
        <v>53.932025993482732</v>
      </c>
      <c r="Y305" s="12">
        <v>31.222141444129658</v>
      </c>
      <c r="Z305" s="12">
        <v>23.764023843879642</v>
      </c>
      <c r="AA305" s="12">
        <v>13.587187986364626</v>
      </c>
      <c r="AB305" s="12">
        <v>39.362820289872026</v>
      </c>
      <c r="AC305" s="12">
        <v>34.019508734200812</v>
      </c>
      <c r="AD305" s="12">
        <v>19.905183905251455</v>
      </c>
      <c r="AE305" s="12">
        <v>36.633630583902644</v>
      </c>
      <c r="AF305" s="12">
        <v>48.94745679306579</v>
      </c>
      <c r="AG305" s="12">
        <v>702.6054309250834</v>
      </c>
      <c r="AH305" s="12">
        <v>296.32006899977904</v>
      </c>
      <c r="AI305" s="12">
        <v>1781.5369279459201</v>
      </c>
      <c r="AJ305" s="12">
        <v>1899.780519392272</v>
      </c>
      <c r="AK305" s="12">
        <v>1497.6604871541388</v>
      </c>
      <c r="AL305" s="12">
        <v>1259.1445067156453</v>
      </c>
      <c r="AM305" s="12">
        <v>2576.1424992927014</v>
      </c>
      <c r="AN305" s="12">
        <v>2973.8381568098653</v>
      </c>
      <c r="AP305" s="12">
        <f t="shared" si="36"/>
        <v>1.0067658961810118</v>
      </c>
      <c r="AQ305" s="12">
        <f t="shared" si="37"/>
        <v>1.0013502847086324</v>
      </c>
      <c r="AR305" s="12">
        <f t="shared" si="60"/>
        <v>1.4008758132430008</v>
      </c>
      <c r="AS305" s="12">
        <f t="shared" si="61"/>
        <v>1.0224430080148685</v>
      </c>
      <c r="AT305" s="12">
        <f t="shared" si="62"/>
        <v>1.271402419583658</v>
      </c>
      <c r="AU305" s="12">
        <f t="shared" si="38"/>
        <v>0.73511103579141113</v>
      </c>
      <c r="AV305" s="12">
        <f t="shared" si="39"/>
        <v>0.4826494892244686</v>
      </c>
      <c r="AW305" s="12">
        <f t="shared" si="40"/>
        <v>0.73592399404677711</v>
      </c>
      <c r="AX305" s="12">
        <f t="shared" si="41"/>
        <v>0.92178208567983255</v>
      </c>
      <c r="AY305" s="12">
        <f t="shared" si="42"/>
        <v>0.20411857146581808</v>
      </c>
      <c r="AZ305" s="12">
        <f t="shared" si="43"/>
        <v>0.33828509587990585</v>
      </c>
      <c r="BA305" s="12">
        <f t="shared" si="63"/>
        <v>0.55053650731326442</v>
      </c>
      <c r="BB305" s="12">
        <f t="shared" si="64"/>
        <v>0.15514759957396085</v>
      </c>
      <c r="BC305" s="12">
        <f t="shared" si="65"/>
        <v>0.92385755872612185</v>
      </c>
      <c r="BD305" s="12">
        <f t="shared" si="66"/>
        <v>0.79318862861467909</v>
      </c>
      <c r="BE305" s="12">
        <f t="shared" si="67"/>
        <v>0.60371750979423788</v>
      </c>
      <c r="BF305" s="12">
        <f t="shared" si="68"/>
        <v>0.34517821350978201</v>
      </c>
      <c r="BG305" s="12">
        <f t="shared" si="69"/>
        <v>0.69502096662599711</v>
      </c>
      <c r="BH305" s="12">
        <f t="shared" si="70"/>
        <v>0.40666431331466746</v>
      </c>
      <c r="BI305" s="12">
        <f t="shared" si="71"/>
        <v>0.74842766068067501</v>
      </c>
    </row>
    <row r="306" spans="1:61" x14ac:dyDescent="0.55000000000000004">
      <c r="A306" s="12" t="s">
        <v>714</v>
      </c>
      <c r="B306" s="12" t="s">
        <v>715</v>
      </c>
      <c r="C306" s="12" t="s">
        <v>8</v>
      </c>
      <c r="D306" s="12" t="s">
        <v>9</v>
      </c>
      <c r="E306" s="12">
        <v>2427</v>
      </c>
      <c r="F306" s="12">
        <v>69.202905920785895</v>
      </c>
      <c r="G306" s="12">
        <v>24.330704007117632</v>
      </c>
      <c r="H306" s="14">
        <f t="shared" si="44"/>
        <v>59050.618625274496</v>
      </c>
      <c r="I306" s="12">
        <v>27.517142030553771</v>
      </c>
      <c r="J306" s="12">
        <v>5.1031413569407649</v>
      </c>
      <c r="K306" s="12">
        <v>22.462574263533181</v>
      </c>
      <c r="L306" s="12">
        <v>32.566557211378807</v>
      </c>
      <c r="M306" s="12">
        <v>25.706790963664048</v>
      </c>
      <c r="N306" s="12">
        <v>15.814090879486635</v>
      </c>
      <c r="O306" s="12">
        <v>10.208271683281437</v>
      </c>
      <c r="P306" s="12">
        <v>27.792657290906391</v>
      </c>
      <c r="Q306" s="12">
        <v>605.01996845225847</v>
      </c>
      <c r="R306" s="15">
        <v>98.057884109173131</v>
      </c>
      <c r="S306" s="15">
        <v>884.27248695414141</v>
      </c>
      <c r="T306" s="15">
        <v>887.66528701600816</v>
      </c>
      <c r="AP306" s="12">
        <f t="shared" si="36"/>
        <v>1.3384962967718437</v>
      </c>
      <c r="AQ306" s="12">
        <f t="shared" si="37"/>
        <v>1.1422874275555697</v>
      </c>
      <c r="AU306" s="12">
        <f t="shared" si="38"/>
        <v>0.84495090629166159</v>
      </c>
      <c r="AV306" s="12">
        <f t="shared" si="39"/>
        <v>0.15669882830469165</v>
      </c>
      <c r="AW306" s="12">
        <f t="shared" si="40"/>
        <v>0.68974359548465636</v>
      </c>
      <c r="AX306" s="12">
        <f t="shared" si="41"/>
        <v>0.92494901421589415</v>
      </c>
      <c r="AY306" s="12">
        <f t="shared" si="42"/>
        <v>0.56900247838701346</v>
      </c>
      <c r="AZ306" s="12">
        <f t="shared" si="43"/>
        <v>0.3673010312195491</v>
      </c>
    </row>
    <row r="307" spans="1:61" x14ac:dyDescent="0.55000000000000004">
      <c r="A307" s="12" t="s">
        <v>716</v>
      </c>
      <c r="B307" s="12" t="s">
        <v>717</v>
      </c>
      <c r="C307" s="12" t="s">
        <v>515</v>
      </c>
      <c r="D307" s="12" t="s">
        <v>9</v>
      </c>
      <c r="E307" s="12">
        <v>3321</v>
      </c>
      <c r="F307" s="12">
        <v>69.230332392338312</v>
      </c>
      <c r="G307" s="12">
        <v>31.412941607407177</v>
      </c>
      <c r="H307" s="14">
        <f t="shared" si="44"/>
        <v>104322.37907819923</v>
      </c>
      <c r="I307" s="12">
        <v>40.965388951219609</v>
      </c>
      <c r="J307" s="12">
        <v>6.4923937847124318</v>
      </c>
      <c r="K307" s="12">
        <v>29.039681870950929</v>
      </c>
      <c r="L307" s="12">
        <v>43.800542627524251</v>
      </c>
      <c r="M307" s="12">
        <v>34.826487187837344</v>
      </c>
      <c r="N307" s="12">
        <v>7.6540909149940131</v>
      </c>
      <c r="O307" s="12">
        <v>17.048590388570325</v>
      </c>
      <c r="P307" s="12">
        <v>35.143744464413523</v>
      </c>
      <c r="Q307" s="12">
        <v>298.02559137401238</v>
      </c>
      <c r="R307" s="15">
        <v>50.492962568225352</v>
      </c>
      <c r="S307" s="15">
        <v>1447.2936656843194</v>
      </c>
      <c r="T307" s="15">
        <v>1463.3530087940003</v>
      </c>
      <c r="AP307" s="12">
        <f t="shared" si="36"/>
        <v>1.3943470552657851</v>
      </c>
      <c r="AQ307" s="12">
        <f t="shared" si="37"/>
        <v>1.1187664276600768</v>
      </c>
      <c r="AU307" s="12">
        <f t="shared" si="38"/>
        <v>0.93527126591981913</v>
      </c>
      <c r="AV307" s="12">
        <f t="shared" si="39"/>
        <v>0.14822633226083853</v>
      </c>
      <c r="AW307" s="12">
        <f t="shared" si="40"/>
        <v>0.66299822168646827</v>
      </c>
      <c r="AX307" s="12">
        <f t="shared" si="41"/>
        <v>0.99097258185173087</v>
      </c>
      <c r="AY307" s="12">
        <f t="shared" si="42"/>
        <v>0.21779383590569093</v>
      </c>
      <c r="AZ307" s="12">
        <f t="shared" si="43"/>
        <v>0.4851102421892946</v>
      </c>
    </row>
    <row r="308" spans="1:61" x14ac:dyDescent="0.55000000000000004">
      <c r="A308" s="12" t="s">
        <v>718</v>
      </c>
      <c r="B308" s="12" t="s">
        <v>719</v>
      </c>
      <c r="C308" s="12" t="s">
        <v>322</v>
      </c>
      <c r="D308" s="12" t="s">
        <v>9</v>
      </c>
      <c r="E308" s="12">
        <v>3273</v>
      </c>
      <c r="F308" s="12">
        <v>66.1421906024473</v>
      </c>
      <c r="G308" s="12">
        <v>54.607294112869567</v>
      </c>
      <c r="H308" s="14">
        <f t="shared" si="44"/>
        <v>178729.67363142211</v>
      </c>
      <c r="I308" s="12">
        <v>50.918891909212554</v>
      </c>
      <c r="J308" s="12">
        <v>13.342174550898598</v>
      </c>
      <c r="K308" s="12">
        <v>22.76462795755598</v>
      </c>
      <c r="L308" s="12">
        <v>52.632609043525022</v>
      </c>
      <c r="M308" s="12">
        <v>35.235560890891065</v>
      </c>
      <c r="N308" s="12">
        <v>7.6040600965934448</v>
      </c>
      <c r="O308" s="12">
        <v>13.763340324956523</v>
      </c>
      <c r="P308" s="12">
        <v>37.835214545256299</v>
      </c>
      <c r="Q308" s="12">
        <v>312.3248756876377</v>
      </c>
      <c r="R308" s="15">
        <v>62.259029128337815</v>
      </c>
      <c r="S308" s="15">
        <v>1292.1078211227573</v>
      </c>
      <c r="T308" s="15">
        <v>1315.3579891139225</v>
      </c>
      <c r="AP308" s="12">
        <f t="shared" si="36"/>
        <v>0.96383843767715338</v>
      </c>
      <c r="AQ308" s="12">
        <f t="shared" si="37"/>
        <v>0.69286008691537582</v>
      </c>
      <c r="AU308" s="12">
        <f t="shared" si="38"/>
        <v>0.96744001170652028</v>
      </c>
      <c r="AV308" s="12">
        <f t="shared" si="39"/>
        <v>0.25349635508027285</v>
      </c>
      <c r="AW308" s="12">
        <f t="shared" si="40"/>
        <v>0.43251946599741165</v>
      </c>
      <c r="AX308" s="12">
        <f t="shared" si="41"/>
        <v>0.93129010405753931</v>
      </c>
      <c r="AY308" s="12">
        <f t="shared" si="42"/>
        <v>0.20097837921595257</v>
      </c>
      <c r="AZ308" s="12">
        <f t="shared" si="43"/>
        <v>0.36377064304719642</v>
      </c>
    </row>
    <row r="309" spans="1:61" x14ac:dyDescent="0.55000000000000004">
      <c r="A309" s="12" t="s">
        <v>783</v>
      </c>
      <c r="B309" s="12" t="s">
        <v>784</v>
      </c>
      <c r="C309" s="12" t="s">
        <v>322</v>
      </c>
      <c r="D309" s="12" t="s">
        <v>9</v>
      </c>
      <c r="E309" s="12">
        <v>2190</v>
      </c>
      <c r="F309" s="12">
        <v>67.682327870884535</v>
      </c>
      <c r="G309" s="12">
        <v>29.503804908039722</v>
      </c>
      <c r="H309" s="14">
        <f t="shared" si="44"/>
        <v>64613.33274860699</v>
      </c>
      <c r="I309" s="12">
        <v>28.265596747096023</v>
      </c>
      <c r="J309" s="12">
        <v>16.225772050086348</v>
      </c>
      <c r="K309" s="12">
        <v>17.569243289314976</v>
      </c>
      <c r="L309" s="12">
        <v>32.764067252634383</v>
      </c>
      <c r="M309" s="12">
        <v>26.897098975402471</v>
      </c>
      <c r="N309" s="12">
        <v>10.686728704785907</v>
      </c>
      <c r="O309" s="12">
        <v>8.1837528218783522</v>
      </c>
      <c r="P309" s="12">
        <v>28.771800123976707</v>
      </c>
      <c r="Q309" s="12">
        <v>312.44141233952547</v>
      </c>
      <c r="R309" s="15">
        <v>72.132120625856857</v>
      </c>
      <c r="S309" s="15">
        <v>736.33760771888785</v>
      </c>
      <c r="T309" s="15">
        <v>740.00085289454319</v>
      </c>
      <c r="U309" s="12">
        <v>30.528875580011647</v>
      </c>
      <c r="V309" s="12">
        <v>6.8462305388844502</v>
      </c>
      <c r="W309" s="12">
        <v>35.680473620676167</v>
      </c>
      <c r="X309" s="12">
        <v>38.261331644557025</v>
      </c>
      <c r="Y309" s="12">
        <v>24.198405796853429</v>
      </c>
      <c r="Z309" s="12">
        <v>12.59054218165457</v>
      </c>
      <c r="AA309" s="12">
        <v>11.706340387181717</v>
      </c>
      <c r="AB309" s="12">
        <v>27.958583877358997</v>
      </c>
      <c r="AC309" s="12">
        <v>25.164634672871337</v>
      </c>
      <c r="AD309" s="12">
        <v>8.8271453217527789</v>
      </c>
      <c r="AE309" s="12">
        <v>18.71376488512465</v>
      </c>
      <c r="AF309" s="12">
        <v>30.50919465908223</v>
      </c>
      <c r="AG309" s="12">
        <v>491.39089343230381</v>
      </c>
      <c r="AH309" s="12">
        <v>161.41614280467348</v>
      </c>
      <c r="AI309" s="12">
        <v>1245.5410841438647</v>
      </c>
      <c r="AJ309" s="12">
        <v>1307.1609979086631</v>
      </c>
      <c r="AK309" s="12">
        <v>1508.2947977714118</v>
      </c>
      <c r="AL309" s="12">
        <v>1416.6487495453757</v>
      </c>
      <c r="AM309" s="12">
        <v>1363.185772976311</v>
      </c>
      <c r="AN309" s="12">
        <v>1971.7017137417888</v>
      </c>
      <c r="AP309" s="12">
        <f t="shared" si="36"/>
        <v>1.1105031149289577</v>
      </c>
      <c r="AQ309" s="12">
        <f t="shared" si="37"/>
        <v>0.97518947856574434</v>
      </c>
      <c r="AR309" s="12">
        <f>X309/G309</f>
        <v>1.2968270283718861</v>
      </c>
      <c r="AS309" s="12">
        <f>AB309/G309</f>
        <v>0.94762638122448895</v>
      </c>
      <c r="AT309" s="12">
        <f>AF309/G309</f>
        <v>1.0340766133105952</v>
      </c>
      <c r="AU309" s="12">
        <f t="shared" si="38"/>
        <v>0.86270109657473426</v>
      </c>
      <c r="AV309" s="12">
        <f t="shared" si="39"/>
        <v>0.49523070273827863</v>
      </c>
      <c r="AW309" s="12">
        <f t="shared" si="40"/>
        <v>0.53623511250430389</v>
      </c>
      <c r="AX309" s="12">
        <f t="shared" si="41"/>
        <v>0.93484241025948278</v>
      </c>
      <c r="AY309" s="12">
        <f t="shared" si="42"/>
        <v>0.3714306598383541</v>
      </c>
      <c r="AZ309" s="12">
        <f t="shared" si="43"/>
        <v>0.28443659369990199</v>
      </c>
      <c r="BA309" s="12">
        <f>U309/$X309</f>
        <v>0.79790415722121422</v>
      </c>
      <c r="BB309" s="12">
        <f>V309/$X309</f>
        <v>0.17893340991069193</v>
      </c>
      <c r="BC309" s="12">
        <f>W309/$X309</f>
        <v>0.93254657083405501</v>
      </c>
      <c r="BD309" s="12">
        <f>Y309/$AB309</f>
        <v>0.86550899369582956</v>
      </c>
      <c r="BE309" s="12">
        <f>Z309/$AB309</f>
        <v>0.4503283226676747</v>
      </c>
      <c r="BF309" s="12">
        <f>AA309/$AB309</f>
        <v>0.41870290850680641</v>
      </c>
      <c r="BG309" s="12">
        <f>AC309/$AF309</f>
        <v>0.82482133514396516</v>
      </c>
      <c r="BH309" s="12">
        <f>AD309/$AF309</f>
        <v>0.28932737885708304</v>
      </c>
      <c r="BI309" s="12">
        <f>AE309/$AF309</f>
        <v>0.61338114933013421</v>
      </c>
    </row>
    <row r="310" spans="1:61" x14ac:dyDescent="0.55000000000000004">
      <c r="A310" s="12" t="s">
        <v>720</v>
      </c>
      <c r="B310" s="12" t="s">
        <v>721</v>
      </c>
      <c r="C310" s="12" t="s">
        <v>322</v>
      </c>
      <c r="D310" s="12" t="s">
        <v>9</v>
      </c>
      <c r="E310" s="12">
        <v>2089</v>
      </c>
      <c r="F310" s="12">
        <v>64.880459732839185</v>
      </c>
      <c r="G310" s="12">
        <v>40.98610612535073</v>
      </c>
      <c r="H310" s="14">
        <f t="shared" si="44"/>
        <v>85619.975695857676</v>
      </c>
      <c r="I310" s="12">
        <v>34.663879962015287</v>
      </c>
      <c r="J310" s="12">
        <v>10.875155903950123</v>
      </c>
      <c r="K310" s="12">
        <v>32.973609605588067</v>
      </c>
      <c r="L310" s="12">
        <v>45.9020549212362</v>
      </c>
      <c r="M310" s="12">
        <v>31.05475818181387</v>
      </c>
      <c r="N310" s="12">
        <v>10.049973915867866</v>
      </c>
      <c r="O310" s="12">
        <v>17.489641614510646</v>
      </c>
      <c r="P310" s="12">
        <v>35.681225919893571</v>
      </c>
      <c r="Q310" s="12">
        <v>383.45938798813472</v>
      </c>
      <c r="R310" s="15">
        <v>47.337514243207764</v>
      </c>
      <c r="S310" s="15">
        <v>1312.6812509032986</v>
      </c>
      <c r="T310" s="15">
        <v>1312.7288871989506</v>
      </c>
      <c r="AP310" s="12">
        <f t="shared" si="36"/>
        <v>1.1199418354320041</v>
      </c>
      <c r="AQ310" s="12">
        <f t="shared" si="37"/>
        <v>0.87056881692462162</v>
      </c>
      <c r="AU310" s="12">
        <f t="shared" si="38"/>
        <v>0.75517054784356363</v>
      </c>
      <c r="AV310" s="12">
        <f t="shared" si="39"/>
        <v>0.23692089433928204</v>
      </c>
      <c r="AW310" s="12">
        <f t="shared" si="40"/>
        <v>0.71834713417880347</v>
      </c>
      <c r="AX310" s="12">
        <f t="shared" si="41"/>
        <v>0.87033887937408905</v>
      </c>
      <c r="AY310" s="12">
        <f t="shared" si="42"/>
        <v>0.28165999504699313</v>
      </c>
      <c r="AZ310" s="12">
        <f t="shared" si="43"/>
        <v>0.49016369711556179</v>
      </c>
    </row>
    <row r="311" spans="1:61" x14ac:dyDescent="0.55000000000000004">
      <c r="A311" s="12" t="s">
        <v>785</v>
      </c>
      <c r="B311" s="12" t="s">
        <v>786</v>
      </c>
      <c r="C311" s="12" t="s">
        <v>8</v>
      </c>
      <c r="D311" s="12" t="s">
        <v>9</v>
      </c>
      <c r="E311" s="12">
        <v>1529</v>
      </c>
      <c r="F311" s="12">
        <v>67.847296715311572</v>
      </c>
      <c r="G311" s="12">
        <v>46.447242819009112</v>
      </c>
      <c r="H311" s="14">
        <f t="shared" si="44"/>
        <v>71017.834270264939</v>
      </c>
      <c r="I311" s="12">
        <v>55.186880425260384</v>
      </c>
      <c r="J311" s="12">
        <v>36.572648186545607</v>
      </c>
      <c r="K311" s="12">
        <v>23.303227492611988</v>
      </c>
      <c r="L311" s="12">
        <v>65.844239348100871</v>
      </c>
      <c r="M311" s="12">
        <v>38.568463662856757</v>
      </c>
      <c r="N311" s="12">
        <v>13.705513896302479</v>
      </c>
      <c r="O311" s="12">
        <v>26.917759491766418</v>
      </c>
      <c r="P311" s="12">
        <v>48.156013400081314</v>
      </c>
      <c r="Q311" s="12">
        <v>1027.581255827019</v>
      </c>
      <c r="R311" s="15">
        <v>293.07015620060599</v>
      </c>
      <c r="S311" s="15">
        <v>1061.2578892110923</v>
      </c>
      <c r="T311" s="15">
        <v>1305.1496594493733</v>
      </c>
      <c r="U311" s="12">
        <v>57.857636575063232</v>
      </c>
      <c r="V311" s="12">
        <v>20.608347145960625</v>
      </c>
      <c r="W311" s="12">
        <v>43.367615617209097</v>
      </c>
      <c r="X311" s="12">
        <v>60.66820390947111</v>
      </c>
      <c r="Y311" s="12">
        <v>27.630229544505937</v>
      </c>
      <c r="Z311" s="12">
        <v>23.904846883647654</v>
      </c>
      <c r="AA311" s="12">
        <v>26.502888751930076</v>
      </c>
      <c r="AB311" s="12">
        <v>37.526736286113625</v>
      </c>
      <c r="AC311" s="12">
        <v>42.702520566447852</v>
      </c>
      <c r="AD311" s="12">
        <v>16.20994443460566</v>
      </c>
      <c r="AE311" s="12">
        <v>32.357694447561457</v>
      </c>
      <c r="AF311" s="12">
        <v>47.030583671979095</v>
      </c>
      <c r="AG311" s="12">
        <v>1056.3095411940917</v>
      </c>
      <c r="AH311" s="12">
        <v>101.8791728726804</v>
      </c>
      <c r="AI311" s="12">
        <v>1523.0132030927182</v>
      </c>
      <c r="AJ311" s="12">
        <v>1816.9218909754029</v>
      </c>
      <c r="AK311" s="12">
        <v>3727.102217513574</v>
      </c>
      <c r="AL311" s="12">
        <v>2823.9510644771626</v>
      </c>
      <c r="AM311" s="12">
        <v>2008.2049509225292</v>
      </c>
      <c r="AN311" s="12">
        <v>3837.23011010443</v>
      </c>
      <c r="AP311" s="12">
        <f t="shared" si="36"/>
        <v>1.417613519163581</v>
      </c>
      <c r="AQ311" s="12">
        <f t="shared" si="37"/>
        <v>1.0367894944320111</v>
      </c>
      <c r="AR311" s="12">
        <f t="shared" ref="AR311:AR342" si="72">X311/G311</f>
        <v>1.3061744944877953</v>
      </c>
      <c r="AS311" s="12">
        <f t="shared" ref="AS311:AS342" si="73">AB311/G311</f>
        <v>0.80794324934084871</v>
      </c>
      <c r="AT311" s="12">
        <f t="shared" ref="AT311:AT342" si="74">AF311/G311</f>
        <v>1.0125592137996886</v>
      </c>
      <c r="AU311" s="12">
        <f t="shared" si="38"/>
        <v>0.83814288040449703</v>
      </c>
      <c r="AV311" s="12">
        <f t="shared" si="39"/>
        <v>0.55544188145595852</v>
      </c>
      <c r="AW311" s="12">
        <f t="shared" si="40"/>
        <v>0.35391444602183131</v>
      </c>
      <c r="AX311" s="12">
        <f t="shared" si="41"/>
        <v>0.8009064899627184</v>
      </c>
      <c r="AY311" s="12">
        <f t="shared" si="42"/>
        <v>0.28460648896404156</v>
      </c>
      <c r="AZ311" s="12">
        <f t="shared" si="43"/>
        <v>0.55896984802568739</v>
      </c>
      <c r="BA311" s="12">
        <f t="shared" ref="BA311:BA342" si="75">U311/$X311</f>
        <v>0.95367314089927901</v>
      </c>
      <c r="BB311" s="12">
        <f t="shared" ref="BB311:BB342" si="76">V311/$X311</f>
        <v>0.33968942243143263</v>
      </c>
      <c r="BC311" s="12">
        <f t="shared" ref="BC311:BC342" si="77">W311/$X311</f>
        <v>0.71483269361199664</v>
      </c>
      <c r="BD311" s="12">
        <f t="shared" ref="BD311:BD342" si="78">Y311/$AB311</f>
        <v>0.73628117654159586</v>
      </c>
      <c r="BE311" s="12">
        <f t="shared" ref="BE311:BE342" si="79">Z311/$AB311</f>
        <v>0.6370084171826419</v>
      </c>
      <c r="BF311" s="12">
        <f t="shared" ref="BF311:BF342" si="80">AA311/$AB311</f>
        <v>0.7062401736688515</v>
      </c>
      <c r="BG311" s="12">
        <f t="shared" ref="BG311:BG342" si="81">AC311/$AF311</f>
        <v>0.9079734341440906</v>
      </c>
      <c r="BH311" s="12">
        <f t="shared" ref="BH311:BH342" si="82">AD311/$AF311</f>
        <v>0.34466815355012431</v>
      </c>
      <c r="BI311" s="12">
        <f t="shared" ref="BI311:BI342" si="83">AE311/$AF311</f>
        <v>0.68801388205692693</v>
      </c>
    </row>
    <row r="312" spans="1:61" x14ac:dyDescent="0.55000000000000004">
      <c r="A312" s="12" t="s">
        <v>787</v>
      </c>
      <c r="B312" s="12" t="s">
        <v>788</v>
      </c>
      <c r="C312" s="12" t="s">
        <v>8</v>
      </c>
      <c r="D312" s="12" t="s">
        <v>9</v>
      </c>
      <c r="E312" s="12">
        <v>1531</v>
      </c>
      <c r="F312" s="12">
        <v>67.401856658838057</v>
      </c>
      <c r="G312" s="12">
        <v>53.273556394204952</v>
      </c>
      <c r="H312" s="14">
        <f t="shared" si="44"/>
        <v>81561.814839527782</v>
      </c>
      <c r="I312" s="12">
        <v>43.370360496961673</v>
      </c>
      <c r="J312" s="12">
        <v>12.155994837981043</v>
      </c>
      <c r="K312" s="12">
        <v>34.346494595429384</v>
      </c>
      <c r="L312" s="12">
        <v>53.291926351940724</v>
      </c>
      <c r="M312" s="12">
        <v>40.238087967475309</v>
      </c>
      <c r="N312" s="12">
        <v>18.238382141611286</v>
      </c>
      <c r="O312" s="12">
        <v>16.697100941602631</v>
      </c>
      <c r="P312" s="12">
        <v>42.898401254146748</v>
      </c>
      <c r="Q312" s="12">
        <v>455.16412283233387</v>
      </c>
      <c r="R312" s="15">
        <v>205.67489677561611</v>
      </c>
      <c r="S312" s="15">
        <v>1310.254558449984</v>
      </c>
      <c r="T312" s="15">
        <v>1336.576962342559</v>
      </c>
      <c r="U312" s="12">
        <v>53.343222625837249</v>
      </c>
      <c r="V312" s="12">
        <v>17.598869601481688</v>
      </c>
      <c r="W312" s="12">
        <v>74.407599208360494</v>
      </c>
      <c r="X312" s="12">
        <v>88.218692635561098</v>
      </c>
      <c r="Y312" s="12">
        <v>46.310468821770307</v>
      </c>
      <c r="Z312" s="12">
        <v>31.950196950395139</v>
      </c>
      <c r="AA312" s="12">
        <v>25.362803313212197</v>
      </c>
      <c r="AB312" s="12">
        <v>48.066252482067078</v>
      </c>
      <c r="AC312" s="12">
        <v>45.682746662620019</v>
      </c>
      <c r="AD312" s="12">
        <v>27.090690961944517</v>
      </c>
      <c r="AE312" s="12">
        <v>33.118861087270837</v>
      </c>
      <c r="AF312" s="12">
        <v>53.099692426108099</v>
      </c>
      <c r="AG312" s="12">
        <v>1458.9456442183287</v>
      </c>
      <c r="AH312" s="12">
        <v>490.67953881433357</v>
      </c>
      <c r="AI312" s="12">
        <v>3277.1111416089479</v>
      </c>
      <c r="AJ312" s="12">
        <v>3523.3371526020551</v>
      </c>
      <c r="AK312" s="12">
        <v>2085.4896794507176</v>
      </c>
      <c r="AL312" s="12">
        <v>2852.1111043875189</v>
      </c>
      <c r="AM312" s="12">
        <v>1107.4433967242815</v>
      </c>
      <c r="AN312" s="12">
        <v>3160.471355665909</v>
      </c>
      <c r="AP312" s="12">
        <f t="shared" si="36"/>
        <v>1.0003448231914505</v>
      </c>
      <c r="AQ312" s="12">
        <f t="shared" si="37"/>
        <v>0.80524755915888502</v>
      </c>
      <c r="AR312" s="12">
        <f t="shared" si="72"/>
        <v>1.6559565121347417</v>
      </c>
      <c r="AS312" s="12">
        <f t="shared" si="73"/>
        <v>0.90225349564414814</v>
      </c>
      <c r="AT312" s="12">
        <f t="shared" si="74"/>
        <v>0.99673639268964276</v>
      </c>
      <c r="AU312" s="12">
        <f t="shared" si="38"/>
        <v>0.81382609835762232</v>
      </c>
      <c r="AV312" s="12">
        <f t="shared" si="39"/>
        <v>0.22810199724631194</v>
      </c>
      <c r="AW312" s="12">
        <f t="shared" si="40"/>
        <v>0.64449714894155996</v>
      </c>
      <c r="AX312" s="12">
        <f t="shared" si="41"/>
        <v>0.93798572420191806</v>
      </c>
      <c r="AY312" s="12">
        <f t="shared" si="42"/>
        <v>0.42515295694960853</v>
      </c>
      <c r="AZ312" s="12">
        <f t="shared" si="43"/>
        <v>0.38922431730456658</v>
      </c>
      <c r="BA312" s="12">
        <f t="shared" si="75"/>
        <v>0.60467029188703381</v>
      </c>
      <c r="BB312" s="12">
        <f t="shared" si="76"/>
        <v>0.19949138981444794</v>
      </c>
      <c r="BC312" s="12">
        <f t="shared" si="77"/>
        <v>0.84344481861394838</v>
      </c>
      <c r="BD312" s="12">
        <f t="shared" si="78"/>
        <v>0.96347159244520186</v>
      </c>
      <c r="BE312" s="12">
        <f t="shared" si="79"/>
        <v>0.66471162823262242</v>
      </c>
      <c r="BF312" s="12">
        <f t="shared" si="80"/>
        <v>0.52766342295303226</v>
      </c>
      <c r="BG312" s="12">
        <f t="shared" si="81"/>
        <v>0.8603203629887447</v>
      </c>
      <c r="BH312" s="12">
        <f t="shared" si="82"/>
        <v>0.51018545916519364</v>
      </c>
      <c r="BI312" s="12">
        <f t="shared" si="83"/>
        <v>0.62371097786221696</v>
      </c>
    </row>
    <row r="313" spans="1:61" x14ac:dyDescent="0.55000000000000004">
      <c r="A313" s="12" t="s">
        <v>789</v>
      </c>
      <c r="B313" s="12" t="s">
        <v>790</v>
      </c>
      <c r="C313" s="12" t="s">
        <v>8</v>
      </c>
      <c r="D313" s="12" t="s">
        <v>9</v>
      </c>
      <c r="E313" s="12">
        <v>1603</v>
      </c>
      <c r="F313" s="12">
        <v>73.757042796754092</v>
      </c>
      <c r="G313" s="12">
        <v>46.802268277669363</v>
      </c>
      <c r="H313" s="14">
        <f t="shared" si="44"/>
        <v>75024.03604910399</v>
      </c>
      <c r="I313" s="12">
        <v>77.394034243724576</v>
      </c>
      <c r="J313" s="12">
        <v>50.638679934271885</v>
      </c>
      <c r="K313" s="12">
        <v>29.151605130768999</v>
      </c>
      <c r="L313" s="12">
        <v>92.71655333352669</v>
      </c>
      <c r="M313" s="12">
        <v>35.750865128186817</v>
      </c>
      <c r="N313" s="12">
        <v>12.13961584537207</v>
      </c>
      <c r="O313" s="12">
        <v>14.971829191026234</v>
      </c>
      <c r="P313" s="12">
        <v>37.730618534777534</v>
      </c>
      <c r="Q313" s="12">
        <v>392.34837094095917</v>
      </c>
      <c r="R313" s="15">
        <v>335.22589769825714</v>
      </c>
      <c r="S313" s="15">
        <v>983.79925384410421</v>
      </c>
      <c r="T313" s="15">
        <v>994.40330964590885</v>
      </c>
      <c r="U313" s="12">
        <v>59.331627880902474</v>
      </c>
      <c r="V313" s="12">
        <v>46.593153300650897</v>
      </c>
      <c r="W313" s="12">
        <v>58.242753591570207</v>
      </c>
      <c r="X313" s="12">
        <v>78.128328792102948</v>
      </c>
      <c r="Y313" s="12">
        <v>33.958400165867474</v>
      </c>
      <c r="Z313" s="12">
        <v>41.909692466250526</v>
      </c>
      <c r="AA313" s="12">
        <v>28.715831218604993</v>
      </c>
      <c r="AB313" s="12">
        <v>50.847317113123943</v>
      </c>
      <c r="AC313" s="12">
        <v>40.437505882439808</v>
      </c>
      <c r="AD313" s="12">
        <v>24.650967439778583</v>
      </c>
      <c r="AE313" s="12">
        <v>50.789353401232646</v>
      </c>
      <c r="AF313" s="12">
        <v>66.391827900365172</v>
      </c>
      <c r="AG313" s="12">
        <v>1306.8938566484333</v>
      </c>
      <c r="AH313" s="12">
        <v>872.07366646717355</v>
      </c>
      <c r="AI313" s="12">
        <v>3034.8379843876683</v>
      </c>
      <c r="AJ313" s="12">
        <v>3289.4971634682065</v>
      </c>
      <c r="AK313" s="12">
        <v>4885.3450632593831</v>
      </c>
      <c r="AL313" s="12">
        <v>4152.3461303811873</v>
      </c>
      <c r="AM313" s="12">
        <v>2600.0849830998018</v>
      </c>
      <c r="AN313" s="12">
        <v>5433.329505351785</v>
      </c>
      <c r="AP313" s="12">
        <f t="shared" si="36"/>
        <v>1.9810269191111893</v>
      </c>
      <c r="AQ313" s="12">
        <f t="shared" si="37"/>
        <v>0.80617072469497897</v>
      </c>
      <c r="AR313" s="12">
        <f t="shared" si="72"/>
        <v>1.6693278267750133</v>
      </c>
      <c r="AS313" s="12">
        <f t="shared" si="73"/>
        <v>1.0864284784544211</v>
      </c>
      <c r="AT313" s="12">
        <f t="shared" si="74"/>
        <v>1.4185600472710962</v>
      </c>
      <c r="AU313" s="12">
        <f t="shared" si="38"/>
        <v>0.83473804257279882</v>
      </c>
      <c r="AV313" s="12">
        <f t="shared" si="39"/>
        <v>0.54616654862169822</v>
      </c>
      <c r="AW313" s="12">
        <f t="shared" si="40"/>
        <v>0.31441640227827211</v>
      </c>
      <c r="AX313" s="12">
        <f t="shared" si="41"/>
        <v>0.9475292618178015</v>
      </c>
      <c r="AY313" s="12">
        <f t="shared" si="42"/>
        <v>0.32174441651897628</v>
      </c>
      <c r="AZ313" s="12">
        <f t="shared" si="43"/>
        <v>0.39680847471997349</v>
      </c>
      <c r="BA313" s="12">
        <f t="shared" si="75"/>
        <v>0.75941247941936774</v>
      </c>
      <c r="BB313" s="12">
        <f t="shared" si="76"/>
        <v>0.59636695192385114</v>
      </c>
      <c r="BC313" s="12">
        <f t="shared" si="77"/>
        <v>0.7454754823509967</v>
      </c>
      <c r="BD313" s="12">
        <f t="shared" si="78"/>
        <v>0.6678503821611198</v>
      </c>
      <c r="BE313" s="12">
        <f t="shared" si="79"/>
        <v>0.82422622953755464</v>
      </c>
      <c r="BF313" s="12">
        <f t="shared" si="80"/>
        <v>0.56474624127598849</v>
      </c>
      <c r="BG313" s="12">
        <f t="shared" si="81"/>
        <v>0.60907354355606458</v>
      </c>
      <c r="BH313" s="12">
        <f t="shared" si="82"/>
        <v>0.37129520634335472</v>
      </c>
      <c r="BI313" s="12">
        <f t="shared" si="83"/>
        <v>0.76499405133795528</v>
      </c>
    </row>
    <row r="314" spans="1:61" x14ac:dyDescent="0.55000000000000004">
      <c r="A314" s="12" t="s">
        <v>791</v>
      </c>
      <c r="B314" s="12" t="s">
        <v>792</v>
      </c>
      <c r="C314" s="12" t="s">
        <v>134</v>
      </c>
      <c r="D314" s="12" t="s">
        <v>9</v>
      </c>
      <c r="E314" s="12">
        <v>1722</v>
      </c>
      <c r="F314" s="12">
        <v>68.34687516054332</v>
      </c>
      <c r="G314" s="12">
        <v>42.412498459273891</v>
      </c>
      <c r="H314" s="14">
        <f t="shared" si="44"/>
        <v>73034.322346869638</v>
      </c>
      <c r="I314" s="12">
        <v>32.446995566096518</v>
      </c>
      <c r="J314" s="12">
        <v>20.022209808577351</v>
      </c>
      <c r="K314" s="12">
        <v>31.322928234093389</v>
      </c>
      <c r="L314" s="12">
        <v>47.869083396161024</v>
      </c>
      <c r="M314" s="12">
        <v>43.901740164303291</v>
      </c>
      <c r="N314" s="12">
        <v>18.49131100771767</v>
      </c>
      <c r="O314" s="12">
        <v>12.471330659856529</v>
      </c>
      <c r="P314" s="12">
        <v>47.904727928635523</v>
      </c>
      <c r="Q314" s="12">
        <v>500.743999830588</v>
      </c>
      <c r="R314" s="15">
        <v>14.113886752006749</v>
      </c>
      <c r="S314" s="15">
        <v>1382.3811709609565</v>
      </c>
      <c r="T314" s="15">
        <v>1383.8667627881241</v>
      </c>
      <c r="U314" s="12">
        <v>35.721716419031999</v>
      </c>
      <c r="V314" s="12">
        <v>9.4419183958461783</v>
      </c>
      <c r="W314" s="12">
        <v>73.426233552188137</v>
      </c>
      <c r="X314" s="12">
        <v>79.902423108182404</v>
      </c>
      <c r="Y314" s="12">
        <v>48.257631993309538</v>
      </c>
      <c r="Z314" s="12">
        <v>23.579515973608178</v>
      </c>
      <c r="AA314" s="12">
        <v>21.285436151020182</v>
      </c>
      <c r="AB314" s="12">
        <v>51.676039511059585</v>
      </c>
      <c r="AC314" s="12">
        <v>33.130755848950493</v>
      </c>
      <c r="AD314" s="12">
        <v>31.327301514998215</v>
      </c>
      <c r="AE314" s="12">
        <v>40.802161570154837</v>
      </c>
      <c r="AF314" s="12">
        <v>55.370175153556943</v>
      </c>
      <c r="AG314" s="12">
        <v>1159.4915838799232</v>
      </c>
      <c r="AH314" s="12">
        <v>33.468960044908279</v>
      </c>
      <c r="AI314" s="12">
        <v>2712.2605750416155</v>
      </c>
      <c r="AJ314" s="12">
        <v>2899.6946589186596</v>
      </c>
      <c r="AK314" s="12">
        <v>2829.4521478319261</v>
      </c>
      <c r="AL314" s="12">
        <v>1545.2175511450391</v>
      </c>
      <c r="AM314" s="12">
        <v>2816.492965901004</v>
      </c>
      <c r="AN314" s="12">
        <v>3271.9304644187614</v>
      </c>
      <c r="AP314" s="12">
        <f t="shared" si="36"/>
        <v>1.1286551166545107</v>
      </c>
      <c r="AQ314" s="12">
        <f t="shared" si="37"/>
        <v>1.1294955418539061</v>
      </c>
      <c r="AR314" s="12">
        <f t="shared" si="72"/>
        <v>1.8839357739065474</v>
      </c>
      <c r="AS314" s="12">
        <f t="shared" si="73"/>
        <v>1.2184153584038653</v>
      </c>
      <c r="AT314" s="12">
        <f t="shared" si="74"/>
        <v>1.3055155240789578</v>
      </c>
      <c r="AU314" s="12">
        <f t="shared" si="38"/>
        <v>0.67782780166412548</v>
      </c>
      <c r="AV314" s="12">
        <f t="shared" si="39"/>
        <v>0.41827017331572885</v>
      </c>
      <c r="AW314" s="12">
        <f t="shared" si="40"/>
        <v>0.65434568643955704</v>
      </c>
      <c r="AX314" s="12">
        <f t="shared" si="41"/>
        <v>0.91643856593245765</v>
      </c>
      <c r="AY314" s="12">
        <f t="shared" si="42"/>
        <v>0.38600179579903859</v>
      </c>
      <c r="AZ314" s="12">
        <f t="shared" si="43"/>
        <v>0.26033611292887998</v>
      </c>
      <c r="BA314" s="12">
        <f t="shared" si="75"/>
        <v>0.44706674753364167</v>
      </c>
      <c r="BB314" s="12">
        <f t="shared" si="76"/>
        <v>0.11816811091025949</v>
      </c>
      <c r="BC314" s="12">
        <f t="shared" si="77"/>
        <v>0.91894877146308884</v>
      </c>
      <c r="BD314" s="12">
        <f t="shared" si="78"/>
        <v>0.93384927424597919</v>
      </c>
      <c r="BE314" s="12">
        <f t="shared" si="79"/>
        <v>0.45629495210370652</v>
      </c>
      <c r="BF314" s="12">
        <f t="shared" si="80"/>
        <v>0.411901460568872</v>
      </c>
      <c r="BG314" s="12">
        <f t="shared" si="81"/>
        <v>0.59835020852055576</v>
      </c>
      <c r="BH314" s="12">
        <f t="shared" si="82"/>
        <v>0.56577934651857009</v>
      </c>
      <c r="BI314" s="12">
        <f t="shared" si="83"/>
        <v>0.73689782372909352</v>
      </c>
    </row>
    <row r="315" spans="1:61" x14ac:dyDescent="0.55000000000000004">
      <c r="A315" s="12" t="s">
        <v>793</v>
      </c>
      <c r="B315" s="12" t="s">
        <v>794</v>
      </c>
      <c r="C315" s="12" t="s">
        <v>8</v>
      </c>
      <c r="D315" s="12" t="s">
        <v>9</v>
      </c>
      <c r="E315" s="12">
        <v>1546</v>
      </c>
      <c r="F315" s="12">
        <v>68.482935344048045</v>
      </c>
      <c r="G315" s="12">
        <v>43.129192943572363</v>
      </c>
      <c r="H315" s="14">
        <f t="shared" si="44"/>
        <v>66677.73229076287</v>
      </c>
      <c r="I315" s="12">
        <v>31.399706170342235</v>
      </c>
      <c r="J315" s="12">
        <v>28.518549463655383</v>
      </c>
      <c r="K315" s="12">
        <v>29.629384075165508</v>
      </c>
      <c r="L315" s="12">
        <v>47.995904688525385</v>
      </c>
      <c r="M315" s="12">
        <v>41.027830250241692</v>
      </c>
      <c r="N315" s="12">
        <v>19.123800656627331</v>
      </c>
      <c r="O315" s="12">
        <v>13.072178343941237</v>
      </c>
      <c r="P315" s="12">
        <v>45.064614643292593</v>
      </c>
      <c r="Q315" s="12">
        <v>504.18308561897408</v>
      </c>
      <c r="R315" s="15">
        <v>61.046132056727146</v>
      </c>
      <c r="S315" s="15">
        <v>916.51013809835331</v>
      </c>
      <c r="T315" s="15">
        <v>997.38824451904759</v>
      </c>
      <c r="U315" s="12">
        <v>28.354240881564337</v>
      </c>
      <c r="V315" s="12">
        <v>22.641819777133392</v>
      </c>
      <c r="W315" s="12">
        <v>50.621412563858776</v>
      </c>
      <c r="X315" s="12">
        <v>58.866056536048077</v>
      </c>
      <c r="Y315" s="12">
        <v>34.444837432186091</v>
      </c>
      <c r="Z315" s="12">
        <v>28.064761455241662</v>
      </c>
      <c r="AA315" s="12">
        <v>21.752236815430006</v>
      </c>
      <c r="AB315" s="12">
        <v>42.04265483586525</v>
      </c>
      <c r="AC315" s="12">
        <v>30.072056955022411</v>
      </c>
      <c r="AD315" s="12">
        <v>24.649684916617012</v>
      </c>
      <c r="AE315" s="12">
        <v>31.60420468622538</v>
      </c>
      <c r="AF315" s="12">
        <v>42.819930080939862</v>
      </c>
      <c r="AG315" s="12">
        <v>894.1505269866085</v>
      </c>
      <c r="AH315" s="12">
        <v>276.80106233088122</v>
      </c>
      <c r="AI315" s="12">
        <v>1966.9294140036197</v>
      </c>
      <c r="AJ315" s="12">
        <v>2138.9019606764532</v>
      </c>
      <c r="AK315" s="12">
        <v>2409.829864976015</v>
      </c>
      <c r="AL315" s="12">
        <v>1850.9060021940579</v>
      </c>
      <c r="AM315" s="12">
        <v>1406.3867162477854</v>
      </c>
      <c r="AN315" s="12">
        <v>2832.5032700341981</v>
      </c>
      <c r="AP315" s="12">
        <f t="shared" si="36"/>
        <v>1.1128403156377245</v>
      </c>
      <c r="AQ315" s="12">
        <f t="shared" si="37"/>
        <v>1.0448749806715005</v>
      </c>
      <c r="AR315" s="12">
        <f t="shared" si="72"/>
        <v>1.3648773027834042</v>
      </c>
      <c r="AS315" s="12">
        <f t="shared" si="73"/>
        <v>0.97480736286605973</v>
      </c>
      <c r="AT315" s="12">
        <f t="shared" si="74"/>
        <v>0.99282938442559954</v>
      </c>
      <c r="AU315" s="12">
        <f t="shared" si="38"/>
        <v>0.65421636229411706</v>
      </c>
      <c r="AV315" s="12">
        <f t="shared" si="39"/>
        <v>0.59418714260580341</v>
      </c>
      <c r="AW315" s="12">
        <f t="shared" si="40"/>
        <v>0.61733150499919942</v>
      </c>
      <c r="AX315" s="12">
        <f t="shared" si="41"/>
        <v>0.91042230306407967</v>
      </c>
      <c r="AY315" s="12">
        <f t="shared" si="42"/>
        <v>0.42436401171964117</v>
      </c>
      <c r="AZ315" s="12">
        <f t="shared" si="43"/>
        <v>0.2900763369977446</v>
      </c>
      <c r="BA315" s="12">
        <f t="shared" si="75"/>
        <v>0.48167386351421249</v>
      </c>
      <c r="BB315" s="12">
        <f t="shared" si="76"/>
        <v>0.3846328616096123</v>
      </c>
      <c r="BC315" s="12">
        <f t="shared" si="77"/>
        <v>0.85994230873711597</v>
      </c>
      <c r="BD315" s="12">
        <f t="shared" si="78"/>
        <v>0.8192831201230969</v>
      </c>
      <c r="BE315" s="12">
        <f t="shared" si="79"/>
        <v>0.66753066771845504</v>
      </c>
      <c r="BF315" s="12">
        <f t="shared" si="80"/>
        <v>0.51738494869914509</v>
      </c>
      <c r="BG315" s="12">
        <f t="shared" si="81"/>
        <v>0.70229112700976071</v>
      </c>
      <c r="BH315" s="12">
        <f t="shared" si="82"/>
        <v>0.57565915848118476</v>
      </c>
      <c r="BI315" s="12">
        <f t="shared" si="83"/>
        <v>0.7380723094709849</v>
      </c>
    </row>
    <row r="316" spans="1:61" x14ac:dyDescent="0.55000000000000004">
      <c r="A316" s="12" t="s">
        <v>795</v>
      </c>
      <c r="B316" s="12" t="s">
        <v>796</v>
      </c>
      <c r="C316" s="12" t="s">
        <v>8</v>
      </c>
      <c r="D316" s="12" t="s">
        <v>9</v>
      </c>
      <c r="E316" s="12">
        <v>1718</v>
      </c>
      <c r="F316" s="12">
        <v>65.016215573011522</v>
      </c>
      <c r="G316" s="12">
        <v>45.9449518018085</v>
      </c>
      <c r="H316" s="14">
        <f t="shared" si="44"/>
        <v>78933.427195507</v>
      </c>
      <c r="I316" s="12">
        <v>34.128025624014342</v>
      </c>
      <c r="J316" s="12">
        <v>31.719803447594803</v>
      </c>
      <c r="K316" s="12">
        <v>31.543889168462336</v>
      </c>
      <c r="L316" s="12">
        <v>51.055844163285109</v>
      </c>
      <c r="M316" s="12">
        <v>38.071311153645603</v>
      </c>
      <c r="N316" s="12">
        <v>17.203547685101181</v>
      </c>
      <c r="O316" s="12">
        <v>11.532464780633397</v>
      </c>
      <c r="P316" s="12">
        <v>41.905613991965801</v>
      </c>
      <c r="Q316" s="12">
        <v>424.22113129019624</v>
      </c>
      <c r="R316" s="15">
        <v>201.67693269881642</v>
      </c>
      <c r="S316" s="15">
        <v>927.76438309773278</v>
      </c>
      <c r="T316" s="15">
        <v>1017.4950667007618</v>
      </c>
      <c r="U316" s="12">
        <v>31.58804564438535</v>
      </c>
      <c r="V316" s="12">
        <v>15.059110447371488</v>
      </c>
      <c r="W316" s="12">
        <v>46.793626891131794</v>
      </c>
      <c r="X316" s="12">
        <v>55.851024226232774</v>
      </c>
      <c r="Y316" s="12">
        <v>34.052535038706843</v>
      </c>
      <c r="Z316" s="12">
        <v>22.20496655861507</v>
      </c>
      <c r="AA316" s="12">
        <v>25.42096324724282</v>
      </c>
      <c r="AB316" s="12">
        <v>40.32321671601192</v>
      </c>
      <c r="AC316" s="12">
        <v>35.354661258277723</v>
      </c>
      <c r="AD316" s="12">
        <v>19.017220012565815</v>
      </c>
      <c r="AE316" s="12">
        <v>36.682922906371168</v>
      </c>
      <c r="AF316" s="12">
        <v>44.401526708481548</v>
      </c>
      <c r="AG316" s="12">
        <v>1032.0906963962229</v>
      </c>
      <c r="AH316" s="12">
        <v>78.084778852082366</v>
      </c>
      <c r="AI316" s="12">
        <v>1832.8806707968035</v>
      </c>
      <c r="AJ316" s="12">
        <v>2038.526111553499</v>
      </c>
      <c r="AK316" s="12">
        <v>2982.6010550797573</v>
      </c>
      <c r="AL316" s="12">
        <v>2564.7958409821022</v>
      </c>
      <c r="AM316" s="12">
        <v>1804.1043756037252</v>
      </c>
      <c r="AN316" s="12">
        <v>3358.5695737251849</v>
      </c>
      <c r="AP316" s="12">
        <f t="shared" si="36"/>
        <v>1.1112394759607829</v>
      </c>
      <c r="AQ316" s="12">
        <f t="shared" si="37"/>
        <v>0.9120830983289071</v>
      </c>
      <c r="AR316" s="12">
        <f t="shared" si="72"/>
        <v>1.21560741791951</v>
      </c>
      <c r="AS316" s="12">
        <f t="shared" si="73"/>
        <v>0.87764194181665689</v>
      </c>
      <c r="AT316" s="12">
        <f t="shared" si="74"/>
        <v>0.96640707993372621</v>
      </c>
      <c r="AU316" s="12">
        <f t="shared" si="38"/>
        <v>0.66844503667135968</v>
      </c>
      <c r="AV316" s="12">
        <f t="shared" si="39"/>
        <v>0.62127664261410664</v>
      </c>
      <c r="AW316" s="12">
        <f t="shared" si="40"/>
        <v>0.61783111581858707</v>
      </c>
      <c r="AX316" s="12">
        <f t="shared" si="41"/>
        <v>0.90850145188052089</v>
      </c>
      <c r="AY316" s="12">
        <f t="shared" si="42"/>
        <v>0.41053085842864556</v>
      </c>
      <c r="AZ316" s="12">
        <f t="shared" si="43"/>
        <v>0.27520094999310635</v>
      </c>
      <c r="BA316" s="12">
        <f t="shared" si="75"/>
        <v>0.56557683734560238</v>
      </c>
      <c r="BB316" s="12">
        <f t="shared" si="76"/>
        <v>0.26962997825021706</v>
      </c>
      <c r="BC316" s="12">
        <f t="shared" si="77"/>
        <v>0.83782934224424133</v>
      </c>
      <c r="BD316" s="12">
        <f t="shared" si="78"/>
        <v>0.84448954751134586</v>
      </c>
      <c r="BE316" s="12">
        <f t="shared" si="79"/>
        <v>0.55067448400756469</v>
      </c>
      <c r="BF316" s="12">
        <f t="shared" si="80"/>
        <v>0.63042994377847905</v>
      </c>
      <c r="BG316" s="12">
        <f t="shared" si="81"/>
        <v>0.7962487751918742</v>
      </c>
      <c r="BH316" s="12">
        <f t="shared" si="82"/>
        <v>0.42830103877786613</v>
      </c>
      <c r="BI316" s="12">
        <f t="shared" si="83"/>
        <v>0.82616354944759196</v>
      </c>
    </row>
    <row r="317" spans="1:61" x14ac:dyDescent="0.55000000000000004">
      <c r="A317" s="12" t="s">
        <v>797</v>
      </c>
      <c r="B317" s="12" t="s">
        <v>798</v>
      </c>
      <c r="C317" s="12" t="s">
        <v>8</v>
      </c>
      <c r="D317" s="12" t="s">
        <v>9</v>
      </c>
      <c r="E317" s="12">
        <v>1679</v>
      </c>
      <c r="F317" s="12">
        <v>64.109003069397303</v>
      </c>
      <c r="G317" s="12">
        <v>42.636968146421673</v>
      </c>
      <c r="H317" s="14">
        <f t="shared" si="44"/>
        <v>71587.469517841993</v>
      </c>
      <c r="I317" s="12">
        <v>37.276395826339773</v>
      </c>
      <c r="J317" s="12">
        <v>16.061166436025875</v>
      </c>
      <c r="K317" s="12">
        <v>28.112854134761992</v>
      </c>
      <c r="L317" s="12">
        <v>38.837417480279591</v>
      </c>
      <c r="M317" s="12">
        <v>30.539403519646029</v>
      </c>
      <c r="N317" s="12">
        <v>14.892728171571605</v>
      </c>
      <c r="O317" s="12">
        <v>13.922141933966589</v>
      </c>
      <c r="P317" s="12">
        <v>35.092620171238067</v>
      </c>
      <c r="Q317" s="12">
        <v>283.00517908407949</v>
      </c>
      <c r="R317" s="15">
        <v>413.08233995984205</v>
      </c>
      <c r="S317" s="15">
        <v>1072.6268054387838</v>
      </c>
      <c r="T317" s="15">
        <v>1077.6567512315903</v>
      </c>
      <c r="U317" s="12">
        <v>45.232631978974226</v>
      </c>
      <c r="V317" s="12">
        <v>20.73251908476362</v>
      </c>
      <c r="W317" s="12">
        <v>36.882503935056405</v>
      </c>
      <c r="X317" s="12">
        <v>58.503727849304084</v>
      </c>
      <c r="Y317" s="12">
        <v>25.409071869964293</v>
      </c>
      <c r="Z317" s="12">
        <v>24.0493044082815</v>
      </c>
      <c r="AA317" s="12">
        <v>20.513141154522728</v>
      </c>
      <c r="AB317" s="12">
        <v>33.114424665550388</v>
      </c>
      <c r="AC317" s="12">
        <v>24.350715478974323</v>
      </c>
      <c r="AD317" s="12">
        <v>18.776738652366124</v>
      </c>
      <c r="AE317" s="12">
        <v>43.100562491529644</v>
      </c>
      <c r="AF317" s="12">
        <v>45.926954773409733</v>
      </c>
      <c r="AG317" s="12">
        <v>1276.4166050950291</v>
      </c>
      <c r="AH317" s="12">
        <v>749.29748283808988</v>
      </c>
      <c r="AI317" s="12">
        <v>2086.9328940569503</v>
      </c>
      <c r="AJ317" s="12">
        <v>2422.605416455106</v>
      </c>
      <c r="AK317" s="12">
        <v>3213.5574904644609</v>
      </c>
      <c r="AL317" s="12">
        <v>2365.7738002957226</v>
      </c>
      <c r="AM317" s="12">
        <v>798.17634715886823</v>
      </c>
      <c r="AN317" s="12">
        <v>3436.3370147744017</v>
      </c>
      <c r="AP317" s="12">
        <f t="shared" si="36"/>
        <v>0.91088600265633657</v>
      </c>
      <c r="AQ317" s="12">
        <f t="shared" si="37"/>
        <v>0.8230561809818373</v>
      </c>
      <c r="AR317" s="12">
        <f t="shared" si="72"/>
        <v>1.3721362093194245</v>
      </c>
      <c r="AS317" s="12">
        <f t="shared" si="73"/>
        <v>0.77665992928555661</v>
      </c>
      <c r="AT317" s="12">
        <f t="shared" si="74"/>
        <v>1.0771627714168079</v>
      </c>
      <c r="AU317" s="12">
        <f t="shared" si="38"/>
        <v>0.95980624471922071</v>
      </c>
      <c r="AV317" s="12">
        <f t="shared" si="39"/>
        <v>0.41354877533196499</v>
      </c>
      <c r="AW317" s="12">
        <f t="shared" si="40"/>
        <v>0.72386002877345823</v>
      </c>
      <c r="AX317" s="12">
        <f t="shared" si="41"/>
        <v>0.87025144804308863</v>
      </c>
      <c r="AY317" s="12">
        <f t="shared" si="42"/>
        <v>0.42438347717842095</v>
      </c>
      <c r="AZ317" s="12">
        <f t="shared" si="43"/>
        <v>0.39672563251282061</v>
      </c>
      <c r="BA317" s="12">
        <f t="shared" si="75"/>
        <v>0.77315811559027481</v>
      </c>
      <c r="BB317" s="12">
        <f t="shared" si="76"/>
        <v>0.3543794531891567</v>
      </c>
      <c r="BC317" s="12">
        <f t="shared" si="77"/>
        <v>0.63042997926661404</v>
      </c>
      <c r="BD317" s="12">
        <f t="shared" si="78"/>
        <v>0.76731128885950028</v>
      </c>
      <c r="BE317" s="12">
        <f t="shared" si="79"/>
        <v>0.72624859562486932</v>
      </c>
      <c r="BF317" s="12">
        <f t="shared" si="80"/>
        <v>0.61946240533247032</v>
      </c>
      <c r="BG317" s="12">
        <f t="shared" si="81"/>
        <v>0.5302053140495312</v>
      </c>
      <c r="BH317" s="12">
        <f t="shared" si="82"/>
        <v>0.40883918267616703</v>
      </c>
      <c r="BI317" s="12">
        <f t="shared" si="83"/>
        <v>0.93845896607287183</v>
      </c>
    </row>
    <row r="318" spans="1:61" x14ac:dyDescent="0.55000000000000004">
      <c r="A318" s="12" t="s">
        <v>799</v>
      </c>
      <c r="B318" s="12" t="s">
        <v>800</v>
      </c>
      <c r="C318" s="12" t="s">
        <v>134</v>
      </c>
      <c r="D318" s="12" t="s">
        <v>9</v>
      </c>
      <c r="E318" s="12">
        <v>1826</v>
      </c>
      <c r="F318" s="12">
        <v>66.61980434298043</v>
      </c>
      <c r="G318" s="12">
        <v>50.374843659396923</v>
      </c>
      <c r="H318" s="14">
        <f t="shared" si="44"/>
        <v>91984.464522058784</v>
      </c>
      <c r="I318" s="12">
        <v>32.62694820223011</v>
      </c>
      <c r="J318" s="12">
        <v>28.020776150377998</v>
      </c>
      <c r="K318" s="12">
        <v>30.615701383071272</v>
      </c>
      <c r="L318" s="12">
        <v>47.062714757123118</v>
      </c>
      <c r="M318" s="12">
        <v>37.496699001136832</v>
      </c>
      <c r="N318" s="12">
        <v>15.13571259891442</v>
      </c>
      <c r="O318" s="12">
        <v>16.577672663910633</v>
      </c>
      <c r="P318" s="12">
        <v>43.26384084453845</v>
      </c>
      <c r="Q318" s="12">
        <v>421.80431904295881</v>
      </c>
      <c r="R318" s="15">
        <v>196.29817111430063</v>
      </c>
      <c r="S318" s="15">
        <v>1392.9100625559649</v>
      </c>
      <c r="T318" s="15">
        <v>1438.7327215911459</v>
      </c>
      <c r="U318" s="12">
        <v>33.191711164300429</v>
      </c>
      <c r="V318" s="12">
        <v>18.5162327665813</v>
      </c>
      <c r="W318" s="12">
        <v>43.437855889720751</v>
      </c>
      <c r="X318" s="12">
        <v>53.940392697458115</v>
      </c>
      <c r="Y318" s="12">
        <v>38.025678590741975</v>
      </c>
      <c r="Z318" s="12">
        <v>28.740631070342502</v>
      </c>
      <c r="AA318" s="12">
        <v>23.542160329924759</v>
      </c>
      <c r="AB318" s="12">
        <v>41.195092807441988</v>
      </c>
      <c r="AC318" s="12">
        <v>37.707711662323661</v>
      </c>
      <c r="AD318" s="12">
        <v>21.981715081772013</v>
      </c>
      <c r="AE318" s="12">
        <v>32.953522546025098</v>
      </c>
      <c r="AF318" s="12">
        <v>45.03550073464546</v>
      </c>
      <c r="AG318" s="12">
        <v>1190.3005546472073</v>
      </c>
      <c r="AH318" s="12">
        <v>228.14456287478603</v>
      </c>
      <c r="AI318" s="12">
        <v>1829.087833045714</v>
      </c>
      <c r="AJ318" s="12">
        <v>2162.6351031532422</v>
      </c>
      <c r="AK318" s="12">
        <v>4091.567643463809</v>
      </c>
      <c r="AL318" s="12">
        <v>2313.6573259078191</v>
      </c>
      <c r="AM318" s="12">
        <v>1658.6342371823387</v>
      </c>
      <c r="AN318" s="12">
        <v>4371.0343209422163</v>
      </c>
      <c r="AP318" s="12">
        <f t="shared" si="36"/>
        <v>0.93425033882649156</v>
      </c>
      <c r="AQ318" s="12">
        <f t="shared" si="37"/>
        <v>0.85883821569872032</v>
      </c>
      <c r="AR318" s="12">
        <f t="shared" si="72"/>
        <v>1.0707803494571457</v>
      </c>
      <c r="AS318" s="12">
        <f t="shared" si="73"/>
        <v>0.81777112969277588</v>
      </c>
      <c r="AT318" s="12">
        <f t="shared" si="74"/>
        <v>0.89400775194752469</v>
      </c>
      <c r="AU318" s="12">
        <f t="shared" si="38"/>
        <v>0.69326532416602471</v>
      </c>
      <c r="AV318" s="12">
        <f t="shared" si="39"/>
        <v>0.59539226104964438</v>
      </c>
      <c r="AW318" s="12">
        <f t="shared" si="40"/>
        <v>0.65052986299387816</v>
      </c>
      <c r="AX318" s="12">
        <f t="shared" si="41"/>
        <v>0.86669833905582028</v>
      </c>
      <c r="AY318" s="12">
        <f t="shared" si="42"/>
        <v>0.34984671502703918</v>
      </c>
      <c r="AZ318" s="12">
        <f t="shared" si="43"/>
        <v>0.38317616606162624</v>
      </c>
      <c r="BA318" s="12">
        <f t="shared" si="75"/>
        <v>0.61534055472059168</v>
      </c>
      <c r="BB318" s="12">
        <f t="shared" si="76"/>
        <v>0.3432721165089675</v>
      </c>
      <c r="BC318" s="12">
        <f t="shared" si="77"/>
        <v>0.80529365318780322</v>
      </c>
      <c r="BD318" s="12">
        <f t="shared" si="78"/>
        <v>0.92306330679931248</v>
      </c>
      <c r="BE318" s="12">
        <f t="shared" si="79"/>
        <v>0.69767123003423459</v>
      </c>
      <c r="BF318" s="12">
        <f t="shared" si="80"/>
        <v>0.57147972550924353</v>
      </c>
      <c r="BG318" s="12">
        <f t="shared" si="81"/>
        <v>0.83728860670389771</v>
      </c>
      <c r="BH318" s="12">
        <f t="shared" si="82"/>
        <v>0.48809749471402347</v>
      </c>
      <c r="BI318" s="12">
        <f t="shared" si="83"/>
        <v>0.73172324074270167</v>
      </c>
    </row>
    <row r="319" spans="1:61" x14ac:dyDescent="0.55000000000000004">
      <c r="A319" s="12" t="s">
        <v>801</v>
      </c>
      <c r="B319" s="12" t="s">
        <v>802</v>
      </c>
      <c r="C319" s="12" t="s">
        <v>8</v>
      </c>
      <c r="D319" s="12" t="s">
        <v>9</v>
      </c>
      <c r="E319" s="12">
        <v>1567</v>
      </c>
      <c r="F319" s="12">
        <v>66.376754050335649</v>
      </c>
      <c r="G319" s="12">
        <v>50.674731928673886</v>
      </c>
      <c r="H319" s="14">
        <f t="shared" si="44"/>
        <v>79407.304932231986</v>
      </c>
      <c r="I319" s="12">
        <v>44.989908469590709</v>
      </c>
      <c r="J319" s="12">
        <v>13.640263420906017</v>
      </c>
      <c r="K319" s="12">
        <v>26.285890243269357</v>
      </c>
      <c r="L319" s="12">
        <v>48.907716912250478</v>
      </c>
      <c r="M319" s="12">
        <v>41.763797671893727</v>
      </c>
      <c r="N319" s="12">
        <v>13.730599691884729</v>
      </c>
      <c r="O319" s="12">
        <v>16.208319879061261</v>
      </c>
      <c r="P319" s="12">
        <v>42.492777131254464</v>
      </c>
      <c r="Q319" s="12">
        <v>504.51057477322513</v>
      </c>
      <c r="R319" s="15">
        <v>40.715566400695494</v>
      </c>
      <c r="S319" s="15">
        <v>1105.495620533165</v>
      </c>
      <c r="T319" s="15">
        <v>1146.6032121549731</v>
      </c>
      <c r="U319" s="12">
        <v>54.589397259118279</v>
      </c>
      <c r="V319" s="12">
        <v>16.519806225467583</v>
      </c>
      <c r="W319" s="12">
        <v>90.829565059525052</v>
      </c>
      <c r="X319" s="12">
        <v>98.874445439375535</v>
      </c>
      <c r="Y319" s="12">
        <v>51.497587287094213</v>
      </c>
      <c r="Z319" s="12">
        <v>25.43920047044897</v>
      </c>
      <c r="AA319" s="12">
        <v>20.853963423804668</v>
      </c>
      <c r="AB319" s="12">
        <v>54.601524369311818</v>
      </c>
      <c r="AC319" s="12">
        <v>62.394609203647121</v>
      </c>
      <c r="AD319" s="12">
        <v>33.682268734270593</v>
      </c>
      <c r="AE319" s="12">
        <v>42.1652980258106</v>
      </c>
      <c r="AF319" s="12">
        <v>77.632830899792808</v>
      </c>
      <c r="AG319" s="12">
        <v>1308.5510517870018</v>
      </c>
      <c r="AH319" s="12">
        <v>400.24987021368173</v>
      </c>
      <c r="AI319" s="12">
        <v>3444.9404853526289</v>
      </c>
      <c r="AJ319" s="12">
        <v>3671.4761405033764</v>
      </c>
      <c r="AK319" s="12">
        <v>1742.3426647400461</v>
      </c>
      <c r="AL319" s="12">
        <v>3204.3171697685652</v>
      </c>
      <c r="AM319" s="12">
        <v>1948.9526627477567</v>
      </c>
      <c r="AN319" s="12">
        <v>3276.6789066059778</v>
      </c>
      <c r="AP319" s="12">
        <f t="shared" si="36"/>
        <v>0.96513025428707677</v>
      </c>
      <c r="AQ319" s="12">
        <f t="shared" si="37"/>
        <v>0.83853975174578621</v>
      </c>
      <c r="AR319" s="12">
        <f t="shared" si="72"/>
        <v>1.9511587269675961</v>
      </c>
      <c r="AS319" s="12">
        <f t="shared" si="73"/>
        <v>1.0774901472821801</v>
      </c>
      <c r="AT319" s="12">
        <f t="shared" si="74"/>
        <v>1.531983060296465</v>
      </c>
      <c r="AU319" s="12">
        <f t="shared" si="38"/>
        <v>0.91989385949687563</v>
      </c>
      <c r="AV319" s="12">
        <f t="shared" si="39"/>
        <v>0.27889797933890842</v>
      </c>
      <c r="AW319" s="12">
        <f t="shared" si="40"/>
        <v>0.53745895132318533</v>
      </c>
      <c r="AX319" s="12">
        <f t="shared" si="41"/>
        <v>0.98284462657950034</v>
      </c>
      <c r="AY319" s="12">
        <f t="shared" si="42"/>
        <v>0.323127849457162</v>
      </c>
      <c r="AZ319" s="12">
        <f t="shared" si="43"/>
        <v>0.38143705762030905</v>
      </c>
      <c r="BA319" s="12">
        <f t="shared" si="75"/>
        <v>0.55210825220344262</v>
      </c>
      <c r="BB319" s="12">
        <f t="shared" si="76"/>
        <v>0.16707862331927451</v>
      </c>
      <c r="BC319" s="12">
        <f t="shared" si="77"/>
        <v>0.91863539315845599</v>
      </c>
      <c r="BD319" s="12">
        <f t="shared" si="78"/>
        <v>0.94315292259565309</v>
      </c>
      <c r="BE319" s="12">
        <f t="shared" si="79"/>
        <v>0.4659064149635132</v>
      </c>
      <c r="BF319" s="12">
        <f t="shared" si="80"/>
        <v>0.38193005899896465</v>
      </c>
      <c r="BG319" s="12">
        <f t="shared" si="81"/>
        <v>0.8037142080286247</v>
      </c>
      <c r="BH319" s="12">
        <f t="shared" si="82"/>
        <v>0.43386629527586229</v>
      </c>
      <c r="BI319" s="12">
        <f t="shared" si="83"/>
        <v>0.54313745276449954</v>
      </c>
    </row>
    <row r="320" spans="1:61" x14ac:dyDescent="0.55000000000000004">
      <c r="A320" s="12" t="s">
        <v>803</v>
      </c>
      <c r="B320" s="12" t="s">
        <v>804</v>
      </c>
      <c r="C320" s="12" t="s">
        <v>8</v>
      </c>
      <c r="D320" s="12" t="s">
        <v>9</v>
      </c>
      <c r="E320" s="12">
        <v>1640</v>
      </c>
      <c r="F320" s="12">
        <v>69.564497290051264</v>
      </c>
      <c r="G320" s="12">
        <v>34.876217456556184</v>
      </c>
      <c r="H320" s="14">
        <f t="shared" si="44"/>
        <v>57196.996628752138</v>
      </c>
      <c r="I320" s="12">
        <v>48.843878509290157</v>
      </c>
      <c r="J320" s="12">
        <v>18.335575063796249</v>
      </c>
      <c r="K320" s="12">
        <v>20.201596949297169</v>
      </c>
      <c r="L320" s="12">
        <v>51.735780562758855</v>
      </c>
      <c r="M320" s="12">
        <v>41.590689623289187</v>
      </c>
      <c r="N320" s="12">
        <v>14.603331522873956</v>
      </c>
      <c r="O320" s="12">
        <v>9.4993851098339963</v>
      </c>
      <c r="P320" s="12">
        <v>43.89346213069841</v>
      </c>
      <c r="Q320" s="12">
        <v>653.3723881847942</v>
      </c>
      <c r="R320" s="15">
        <v>50.780909174618273</v>
      </c>
      <c r="S320" s="15">
        <v>653.80629270512759</v>
      </c>
      <c r="T320" s="15">
        <v>787.79156944019394</v>
      </c>
      <c r="U320" s="12">
        <v>62.686626874746921</v>
      </c>
      <c r="V320" s="12">
        <v>16.409067532779787</v>
      </c>
      <c r="W320" s="12">
        <v>63.136978695265356</v>
      </c>
      <c r="X320" s="12">
        <v>87.782558383550025</v>
      </c>
      <c r="Y320" s="12">
        <v>38.861741325548024</v>
      </c>
      <c r="Z320" s="12">
        <v>31.869016454541345</v>
      </c>
      <c r="AA320" s="12">
        <v>20.450136696684684</v>
      </c>
      <c r="AB320" s="12">
        <v>48.833436596681643</v>
      </c>
      <c r="AC320" s="12">
        <v>40.131512512590483</v>
      </c>
      <c r="AD320" s="12">
        <v>19.436453076511842</v>
      </c>
      <c r="AE320" s="12">
        <v>35.312488391728863</v>
      </c>
      <c r="AF320" s="12">
        <v>43.786401960920458</v>
      </c>
      <c r="AG320" s="12">
        <v>1322.3979047887422</v>
      </c>
      <c r="AH320" s="12">
        <v>165.79216367980928</v>
      </c>
      <c r="AI320" s="12">
        <v>3805.021044293042</v>
      </c>
      <c r="AJ320" s="12">
        <v>4027.5806239679146</v>
      </c>
      <c r="AK320" s="12">
        <v>3334.4264934515031</v>
      </c>
      <c r="AL320" s="12">
        <v>2603.1260137226604</v>
      </c>
      <c r="AM320" s="12">
        <v>539.87803351277535</v>
      </c>
      <c r="AN320" s="12">
        <v>3502.5446349809622</v>
      </c>
      <c r="AP320" s="12">
        <f t="shared" ref="AP320:AP383" si="84">L320/G320</f>
        <v>1.4834114573119608</v>
      </c>
      <c r="AQ320" s="12">
        <f t="shared" ref="AQ320:AQ383" si="85">P320/G320</f>
        <v>1.2585499613131677</v>
      </c>
      <c r="AR320" s="12">
        <f t="shared" si="72"/>
        <v>2.5169747405347787</v>
      </c>
      <c r="AS320" s="12">
        <f t="shared" si="73"/>
        <v>1.400193030035765</v>
      </c>
      <c r="AT320" s="12">
        <f t="shared" si="74"/>
        <v>1.2554802428177112</v>
      </c>
      <c r="AU320" s="12">
        <f t="shared" ref="AU320:AU383" si="86">I320/$L320</f>
        <v>0.94410247565588323</v>
      </c>
      <c r="AV320" s="12">
        <f t="shared" ref="AV320:AV383" si="87">J320/$L320</f>
        <v>0.35440801055575083</v>
      </c>
      <c r="AW320" s="12">
        <f t="shared" ref="AW320:AW383" si="88">K320/$L320</f>
        <v>0.39047631502904112</v>
      </c>
      <c r="AX320" s="12">
        <f t="shared" ref="AX320:AX383" si="89">M320/$P320</f>
        <v>0.94753723229777542</v>
      </c>
      <c r="AY320" s="12">
        <f t="shared" ref="AY320:AY383" si="90">N320/$P320</f>
        <v>0.33269946853111437</v>
      </c>
      <c r="AZ320" s="12">
        <f t="shared" ref="AZ320:AZ383" si="91">O320/$P320</f>
        <v>0.21641913507638927</v>
      </c>
      <c r="BA320" s="12">
        <f t="shared" si="75"/>
        <v>0.71411255298403398</v>
      </c>
      <c r="BB320" s="12">
        <f t="shared" si="76"/>
        <v>0.18692856342923309</v>
      </c>
      <c r="BC320" s="12">
        <f t="shared" si="77"/>
        <v>0.71924286393431069</v>
      </c>
      <c r="BD320" s="12">
        <f t="shared" si="78"/>
        <v>0.79580189382347866</v>
      </c>
      <c r="BE320" s="12">
        <f t="shared" si="79"/>
        <v>0.65260646547875611</v>
      </c>
      <c r="BF320" s="12">
        <f t="shared" si="80"/>
        <v>0.41877324476636002</v>
      </c>
      <c r="BG320" s="12">
        <f t="shared" si="81"/>
        <v>0.91652912126481689</v>
      </c>
      <c r="BH320" s="12">
        <f t="shared" si="82"/>
        <v>0.44389244619503004</v>
      </c>
      <c r="BI320" s="12">
        <f t="shared" si="83"/>
        <v>0.80647157131671621</v>
      </c>
    </row>
    <row r="321" spans="1:61" x14ac:dyDescent="0.55000000000000004">
      <c r="A321" s="12" t="s">
        <v>805</v>
      </c>
      <c r="B321" s="12" t="s">
        <v>806</v>
      </c>
      <c r="C321" s="12" t="s">
        <v>8</v>
      </c>
      <c r="D321" s="12" t="s">
        <v>9</v>
      </c>
      <c r="E321" s="12">
        <v>1632</v>
      </c>
      <c r="F321" s="12">
        <v>68.745213591402873</v>
      </c>
      <c r="G321" s="12">
        <v>32.836837501601664</v>
      </c>
      <c r="H321" s="14">
        <f t="shared" ref="H321:H384" si="92">E321*G321</f>
        <v>53589.718802613919</v>
      </c>
      <c r="I321" s="12">
        <v>42.843374672368455</v>
      </c>
      <c r="J321" s="12">
        <v>16.684799903040403</v>
      </c>
      <c r="K321" s="12">
        <v>17.927266422149881</v>
      </c>
      <c r="L321" s="12">
        <v>45.961563967796508</v>
      </c>
      <c r="M321" s="12">
        <v>36.191307534641943</v>
      </c>
      <c r="N321" s="12">
        <v>12.901356616232329</v>
      </c>
      <c r="O321" s="12">
        <v>6.8797765963626327</v>
      </c>
      <c r="P321" s="12">
        <v>37.412107817572313</v>
      </c>
      <c r="Q321" s="12">
        <v>448.18718098680102</v>
      </c>
      <c r="R321" s="15">
        <v>71.282157423523117</v>
      </c>
      <c r="S321" s="15">
        <v>698.42086682556999</v>
      </c>
      <c r="T321" s="15">
        <v>728.87044845079993</v>
      </c>
      <c r="U321" s="12">
        <v>62.119781672796428</v>
      </c>
      <c r="V321" s="12">
        <v>28.69314264017224</v>
      </c>
      <c r="W321" s="12">
        <v>67.132753624681357</v>
      </c>
      <c r="X321" s="12">
        <v>86.642386811929143</v>
      </c>
      <c r="Y321" s="12">
        <v>42.943492725776295</v>
      </c>
      <c r="Z321" s="12">
        <v>33.639803582006287</v>
      </c>
      <c r="AA321" s="12">
        <v>17.8794032774187</v>
      </c>
      <c r="AB321" s="12">
        <v>50.593895130025722</v>
      </c>
      <c r="AC321" s="12">
        <v>46.516924761442752</v>
      </c>
      <c r="AD321" s="12">
        <v>18.816191783658368</v>
      </c>
      <c r="AE321" s="12">
        <v>32.336209351864625</v>
      </c>
      <c r="AF321" s="12">
        <v>53.324144708270509</v>
      </c>
      <c r="AG321" s="12">
        <v>1345.8958836513511</v>
      </c>
      <c r="AH321" s="12">
        <v>341.32265289112331</v>
      </c>
      <c r="AI321" s="12">
        <v>3892.5939751439159</v>
      </c>
      <c r="AJ321" s="12">
        <v>4099.9695494400512</v>
      </c>
      <c r="AK321" s="12">
        <v>4486.2537917541285</v>
      </c>
      <c r="AL321" s="12">
        <v>2320.1760396059003</v>
      </c>
      <c r="AM321" s="12">
        <v>852.40836397844225</v>
      </c>
      <c r="AN321" s="12">
        <v>4488.1466881085034</v>
      </c>
      <c r="AP321" s="12">
        <f t="shared" si="84"/>
        <v>1.3996952040693524</v>
      </c>
      <c r="AQ321" s="12">
        <f t="shared" si="85"/>
        <v>1.139333464002052</v>
      </c>
      <c r="AR321" s="12">
        <f t="shared" si="72"/>
        <v>2.6385728165114268</v>
      </c>
      <c r="AS321" s="12">
        <f t="shared" si="73"/>
        <v>1.540766376407531</v>
      </c>
      <c r="AT321" s="12">
        <f t="shared" si="74"/>
        <v>1.62391231206932</v>
      </c>
      <c r="AU321" s="12">
        <f t="shared" si="86"/>
        <v>0.9321565885440094</v>
      </c>
      <c r="AV321" s="12">
        <f t="shared" si="87"/>
        <v>0.36301636547291555</v>
      </c>
      <c r="AW321" s="12">
        <f t="shared" si="88"/>
        <v>0.39004909481998534</v>
      </c>
      <c r="AX321" s="12">
        <f t="shared" si="89"/>
        <v>0.96736884516415922</v>
      </c>
      <c r="AY321" s="12">
        <f t="shared" si="90"/>
        <v>0.34484441986379111</v>
      </c>
      <c r="AZ321" s="12">
        <f t="shared" si="91"/>
        <v>0.1838917130761403</v>
      </c>
      <c r="BA321" s="12">
        <f t="shared" si="75"/>
        <v>0.71696757163023606</v>
      </c>
      <c r="BB321" s="12">
        <f t="shared" si="76"/>
        <v>0.33116750006501083</v>
      </c>
      <c r="BC321" s="12">
        <f t="shared" si="77"/>
        <v>0.77482576478881526</v>
      </c>
      <c r="BD321" s="12">
        <f t="shared" si="78"/>
        <v>0.84878803293187877</v>
      </c>
      <c r="BE321" s="12">
        <f t="shared" si="79"/>
        <v>0.66489847234636479</v>
      </c>
      <c r="BF321" s="12">
        <f t="shared" si="80"/>
        <v>0.35339052728533438</v>
      </c>
      <c r="BG321" s="12">
        <f t="shared" si="81"/>
        <v>0.87234263232782872</v>
      </c>
      <c r="BH321" s="12">
        <f t="shared" si="82"/>
        <v>0.35286438979189105</v>
      </c>
      <c r="BI321" s="12">
        <f t="shared" si="83"/>
        <v>0.60640840146188635</v>
      </c>
    </row>
    <row r="322" spans="1:61" x14ac:dyDescent="0.55000000000000004">
      <c r="A322" s="12" t="s">
        <v>807</v>
      </c>
      <c r="B322" s="12" t="s">
        <v>808</v>
      </c>
      <c r="C322" s="12" t="s">
        <v>8</v>
      </c>
      <c r="D322" s="12" t="s">
        <v>9</v>
      </c>
      <c r="E322" s="12">
        <v>1691</v>
      </c>
      <c r="F322" s="12">
        <v>69.442308782322655</v>
      </c>
      <c r="G322" s="12">
        <v>52.122463050959993</v>
      </c>
      <c r="H322" s="14">
        <f t="shared" si="92"/>
        <v>88139.085019173348</v>
      </c>
      <c r="I322" s="12">
        <v>32.129281094401598</v>
      </c>
      <c r="J322" s="12">
        <v>33.892505232311933</v>
      </c>
      <c r="K322" s="12">
        <v>24.64810452048102</v>
      </c>
      <c r="L322" s="12">
        <v>36.541313586624227</v>
      </c>
      <c r="M322" s="12">
        <v>31.956175456393719</v>
      </c>
      <c r="N322" s="12">
        <v>17.742175690720998</v>
      </c>
      <c r="O322" s="12">
        <v>17.75822683871073</v>
      </c>
      <c r="P322" s="12">
        <v>36.74830373515541</v>
      </c>
      <c r="Q322" s="12">
        <v>597.81397711736417</v>
      </c>
      <c r="R322" s="15">
        <v>54.756536094709404</v>
      </c>
      <c r="S322" s="15">
        <v>1143.3185881836721</v>
      </c>
      <c r="T322" s="15">
        <v>1286.8481547282533</v>
      </c>
      <c r="U322" s="12">
        <v>26.876403888315068</v>
      </c>
      <c r="V322" s="12">
        <v>8.9147574050718976</v>
      </c>
      <c r="W322" s="12">
        <v>45.891224907314829</v>
      </c>
      <c r="X322" s="12">
        <v>47.797726667624687</v>
      </c>
      <c r="Y322" s="12">
        <v>25.672805993131607</v>
      </c>
      <c r="Z322" s="12">
        <v>20.859829773457939</v>
      </c>
      <c r="AA322" s="12">
        <v>14.535994522875573</v>
      </c>
      <c r="AB322" s="12">
        <v>35.965754379891656</v>
      </c>
      <c r="AC322" s="12">
        <v>33.658195385669543</v>
      </c>
      <c r="AD322" s="12">
        <v>15.526905989104783</v>
      </c>
      <c r="AE322" s="12">
        <v>27.607853683465741</v>
      </c>
      <c r="AF322" s="12">
        <v>45.451199558702818</v>
      </c>
      <c r="AG322" s="12">
        <v>668.83337470930928</v>
      </c>
      <c r="AH322" s="12">
        <v>1722.215295406826</v>
      </c>
      <c r="AI322" s="12">
        <v>1623.9231504084687</v>
      </c>
      <c r="AJ322" s="12">
        <v>1836.8091551750388</v>
      </c>
      <c r="AK322" s="12">
        <v>3040.3454835378698</v>
      </c>
      <c r="AL322" s="12">
        <v>1902.4693438954318</v>
      </c>
      <c r="AM322" s="12">
        <v>2702.5385537751513</v>
      </c>
      <c r="AN322" s="12">
        <v>4048.0617514223486</v>
      </c>
      <c r="AP322" s="12">
        <f t="shared" si="84"/>
        <v>0.70106651619471405</v>
      </c>
      <c r="AQ322" s="12">
        <f t="shared" si="85"/>
        <v>0.7050377435008528</v>
      </c>
      <c r="AR322" s="12">
        <f t="shared" si="72"/>
        <v>0.91702739797413213</v>
      </c>
      <c r="AS322" s="12">
        <f t="shared" si="73"/>
        <v>0.69002407550710021</v>
      </c>
      <c r="AT322" s="12">
        <f t="shared" si="74"/>
        <v>0.8720079002073502</v>
      </c>
      <c r="AU322" s="12">
        <f t="shared" si="86"/>
        <v>0.87925906161628431</v>
      </c>
      <c r="AV322" s="12">
        <f t="shared" si="87"/>
        <v>0.92751195580221624</v>
      </c>
      <c r="AW322" s="12">
        <f t="shared" si="88"/>
        <v>0.67452705174516059</v>
      </c>
      <c r="AX322" s="12">
        <f t="shared" si="89"/>
        <v>0.86959593255518663</v>
      </c>
      <c r="AY322" s="12">
        <f t="shared" si="90"/>
        <v>0.48280257555800804</v>
      </c>
      <c r="AZ322" s="12">
        <f t="shared" si="91"/>
        <v>0.48323936165037878</v>
      </c>
      <c r="BA322" s="12">
        <f t="shared" si="75"/>
        <v>0.56229460608467663</v>
      </c>
      <c r="BB322" s="12">
        <f t="shared" si="76"/>
        <v>0.18651007122291069</v>
      </c>
      <c r="BC322" s="12">
        <f t="shared" si="77"/>
        <v>0.96011312894507994</v>
      </c>
      <c r="BD322" s="12">
        <f t="shared" si="78"/>
        <v>0.71381252627041225</v>
      </c>
      <c r="BE322" s="12">
        <f t="shared" si="79"/>
        <v>0.57999144277981851</v>
      </c>
      <c r="BF322" s="12">
        <f t="shared" si="80"/>
        <v>0.40416209178703066</v>
      </c>
      <c r="BG322" s="12">
        <f t="shared" si="81"/>
        <v>0.7405348090361854</v>
      </c>
      <c r="BH322" s="12">
        <f t="shared" si="82"/>
        <v>0.34161707809385533</v>
      </c>
      <c r="BI322" s="12">
        <f t="shared" si="83"/>
        <v>0.60741749286085667</v>
      </c>
    </row>
    <row r="323" spans="1:61" x14ac:dyDescent="0.55000000000000004">
      <c r="A323" s="12" t="s">
        <v>809</v>
      </c>
      <c r="B323" s="12" t="s">
        <v>810</v>
      </c>
      <c r="C323" s="12" t="s">
        <v>322</v>
      </c>
      <c r="D323" s="12" t="s">
        <v>9</v>
      </c>
      <c r="E323" s="12">
        <v>3309</v>
      </c>
      <c r="F323" s="12">
        <v>68.842641502982559</v>
      </c>
      <c r="G323" s="12">
        <v>65.039212973558605</v>
      </c>
      <c r="H323" s="14">
        <f t="shared" si="92"/>
        <v>215214.75572950541</v>
      </c>
      <c r="I323" s="12">
        <v>48.882627393309022</v>
      </c>
      <c r="J323" s="12">
        <v>6.8898159161825188</v>
      </c>
      <c r="K323" s="12">
        <v>23.441721125578383</v>
      </c>
      <c r="L323" s="12">
        <v>50.643818811775894</v>
      </c>
      <c r="M323" s="12">
        <v>34.152486113325914</v>
      </c>
      <c r="N323" s="12">
        <v>7.6953055815689755</v>
      </c>
      <c r="O323" s="12">
        <v>13.907963990483736</v>
      </c>
      <c r="P323" s="12">
        <v>34.47755477329045</v>
      </c>
      <c r="Q323" s="12">
        <v>364.51200524040439</v>
      </c>
      <c r="R323" s="15">
        <v>61.66089920171332</v>
      </c>
      <c r="S323" s="15">
        <v>1201.8366129394901</v>
      </c>
      <c r="T323" s="15">
        <v>1204.0799588769207</v>
      </c>
      <c r="U323" s="12">
        <v>38.902685191683666</v>
      </c>
      <c r="V323" s="12">
        <v>16.417124355422366</v>
      </c>
      <c r="W323" s="12">
        <v>43.635706444132666</v>
      </c>
      <c r="X323" s="12">
        <v>54.632686040567791</v>
      </c>
      <c r="Y323" s="12">
        <v>30.52995188994722</v>
      </c>
      <c r="Z323" s="12">
        <v>15.641228338980097</v>
      </c>
      <c r="AA323" s="12">
        <v>16.591473614437422</v>
      </c>
      <c r="AB323" s="12">
        <v>34.348399407830271</v>
      </c>
      <c r="AC323" s="12">
        <v>28.997924054399775</v>
      </c>
      <c r="AD323" s="12">
        <v>16.917885561642304</v>
      </c>
      <c r="AE323" s="12">
        <v>37.445980913104812</v>
      </c>
      <c r="AF323" s="12">
        <v>48.614802908337651</v>
      </c>
      <c r="AG323" s="12">
        <v>958.84427698892637</v>
      </c>
      <c r="AH323" s="12">
        <v>119.01224731909737</v>
      </c>
      <c r="AI323" s="12">
        <v>1980.0800120276174</v>
      </c>
      <c r="AJ323" s="12">
        <v>2158.1251702850063</v>
      </c>
      <c r="AK323" s="12">
        <v>2046.459921331138</v>
      </c>
      <c r="AL323" s="12">
        <v>1078.9940646058799</v>
      </c>
      <c r="AM323" s="12">
        <v>1889.365561166001</v>
      </c>
      <c r="AN323" s="12">
        <v>2310.8919097916046</v>
      </c>
      <c r="AP323" s="12">
        <f t="shared" si="84"/>
        <v>0.77866592316184557</v>
      </c>
      <c r="AQ323" s="12">
        <f t="shared" si="85"/>
        <v>0.53010412022216724</v>
      </c>
      <c r="AR323" s="12">
        <f t="shared" si="72"/>
        <v>0.83999611223429871</v>
      </c>
      <c r="AS323" s="12">
        <f t="shared" si="73"/>
        <v>0.52811831259081277</v>
      </c>
      <c r="AT323" s="12">
        <f t="shared" si="74"/>
        <v>0.74746911418042183</v>
      </c>
      <c r="AU323" s="12">
        <f t="shared" si="86"/>
        <v>0.96522396099289909</v>
      </c>
      <c r="AV323" s="12">
        <f t="shared" si="87"/>
        <v>0.13604455741754751</v>
      </c>
      <c r="AW323" s="12">
        <f t="shared" si="88"/>
        <v>0.46287427914357093</v>
      </c>
      <c r="AX323" s="12">
        <f t="shared" si="89"/>
        <v>0.99057158600422657</v>
      </c>
      <c r="AY323" s="12">
        <f t="shared" si="90"/>
        <v>0.22319754495845168</v>
      </c>
      <c r="AZ323" s="12">
        <f t="shared" si="91"/>
        <v>0.40339183222060027</v>
      </c>
      <c r="BA323" s="12">
        <f t="shared" si="75"/>
        <v>0.71207711008015007</v>
      </c>
      <c r="BB323" s="12">
        <f t="shared" si="76"/>
        <v>0.30050004027317534</v>
      </c>
      <c r="BC323" s="12">
        <f t="shared" si="77"/>
        <v>0.79871061825023104</v>
      </c>
      <c r="BD323" s="12">
        <f t="shared" si="78"/>
        <v>0.88883186454933982</v>
      </c>
      <c r="BE323" s="12">
        <f t="shared" si="79"/>
        <v>0.45536993305762091</v>
      </c>
      <c r="BF323" s="12">
        <f t="shared" si="80"/>
        <v>0.48303484006463276</v>
      </c>
      <c r="BG323" s="12">
        <f t="shared" si="81"/>
        <v>0.59648342314736613</v>
      </c>
      <c r="BH323" s="12">
        <f t="shared" si="82"/>
        <v>0.3479986454648531</v>
      </c>
      <c r="BI323" s="12">
        <f t="shared" si="83"/>
        <v>0.77025882391642198</v>
      </c>
    </row>
    <row r="324" spans="1:61" x14ac:dyDescent="0.55000000000000004">
      <c r="A324" s="12" t="s">
        <v>811</v>
      </c>
      <c r="B324" s="12" t="s">
        <v>812</v>
      </c>
      <c r="C324" s="12" t="s">
        <v>485</v>
      </c>
      <c r="D324" s="12" t="s">
        <v>9</v>
      </c>
      <c r="E324" s="12">
        <v>2254</v>
      </c>
      <c r="F324" s="12">
        <v>68.325064192980022</v>
      </c>
      <c r="G324" s="12">
        <v>29.934559438563454</v>
      </c>
      <c r="H324" s="14">
        <f t="shared" si="92"/>
        <v>67472.49697452203</v>
      </c>
      <c r="I324" s="12">
        <v>45.975332091489008</v>
      </c>
      <c r="J324" s="12">
        <v>7.1115579441584202</v>
      </c>
      <c r="K324" s="12">
        <v>11.142165088169907</v>
      </c>
      <c r="L324" s="12">
        <v>47.188799547207687</v>
      </c>
      <c r="M324" s="12">
        <v>36.86042628516622</v>
      </c>
      <c r="N324" s="12">
        <v>9.9251437373244844</v>
      </c>
      <c r="O324" s="12">
        <v>8.2625908076267542</v>
      </c>
      <c r="P324" s="12">
        <v>37.371194836972272</v>
      </c>
      <c r="Q324" s="12">
        <v>527.43384168181888</v>
      </c>
      <c r="R324" s="15">
        <v>88.71883594855062</v>
      </c>
      <c r="S324" s="15">
        <v>718.18986768410764</v>
      </c>
      <c r="T324" s="15">
        <v>866.45103127173979</v>
      </c>
      <c r="U324" s="12">
        <v>93.410600285096365</v>
      </c>
      <c r="V324" s="12">
        <v>9.7293085051985031</v>
      </c>
      <c r="W324" s="12">
        <v>74.350827297003335</v>
      </c>
      <c r="X324" s="12">
        <v>101.09277674843518</v>
      </c>
      <c r="Y324" s="12">
        <v>36.335634551208585</v>
      </c>
      <c r="Z324" s="12">
        <v>18.964942720794596</v>
      </c>
      <c r="AA324" s="12">
        <v>16.323456505836091</v>
      </c>
      <c r="AB324" s="12">
        <v>42.270802265545768</v>
      </c>
      <c r="AC324" s="12">
        <v>36.829249316077785</v>
      </c>
      <c r="AD324" s="12">
        <v>9.2059317233693143</v>
      </c>
      <c r="AE324" s="12">
        <v>28.297490195476279</v>
      </c>
      <c r="AF324" s="12">
        <v>42.426223504112144</v>
      </c>
      <c r="AG324" s="12">
        <v>1323.3509843784329</v>
      </c>
      <c r="AH324" s="12">
        <v>706.49940060882432</v>
      </c>
      <c r="AI324" s="12">
        <v>2730.0219050404089</v>
      </c>
      <c r="AJ324" s="12">
        <v>3013.231888030346</v>
      </c>
      <c r="AK324" s="12">
        <v>1351.1464193694942</v>
      </c>
      <c r="AL324" s="12">
        <v>2659.4207033259249</v>
      </c>
      <c r="AM324" s="12">
        <v>550.58841199010863</v>
      </c>
      <c r="AN324" s="12">
        <v>2695.0991443113662</v>
      </c>
      <c r="AP324" s="12">
        <f t="shared" si="84"/>
        <v>1.5763986653638975</v>
      </c>
      <c r="AQ324" s="12">
        <f t="shared" si="85"/>
        <v>1.248429759378002</v>
      </c>
      <c r="AR324" s="12">
        <f t="shared" si="72"/>
        <v>3.3771259255013972</v>
      </c>
      <c r="AS324" s="12">
        <f t="shared" si="73"/>
        <v>1.4121070447788198</v>
      </c>
      <c r="AT324" s="12">
        <f t="shared" si="74"/>
        <v>1.4172990783841701</v>
      </c>
      <c r="AU324" s="12">
        <f t="shared" si="86"/>
        <v>0.9742848415860903</v>
      </c>
      <c r="AV324" s="12">
        <f t="shared" si="87"/>
        <v>0.15070436231470596</v>
      </c>
      <c r="AW324" s="12">
        <f t="shared" si="88"/>
        <v>0.23611885013144449</v>
      </c>
      <c r="AX324" s="12">
        <f t="shared" si="89"/>
        <v>0.98633256030388583</v>
      </c>
      <c r="AY324" s="12">
        <f t="shared" si="90"/>
        <v>0.26558272435820779</v>
      </c>
      <c r="AZ324" s="12">
        <f t="shared" si="91"/>
        <v>0.22109517353328942</v>
      </c>
      <c r="BA324" s="12">
        <f t="shared" si="75"/>
        <v>0.92400865115758402</v>
      </c>
      <c r="BB324" s="12">
        <f t="shared" si="76"/>
        <v>9.624138161136328E-2</v>
      </c>
      <c r="BC324" s="12">
        <f t="shared" si="77"/>
        <v>0.73547121454604036</v>
      </c>
      <c r="BD324" s="12">
        <f t="shared" si="78"/>
        <v>0.85959178922007728</v>
      </c>
      <c r="BE324" s="12">
        <f t="shared" si="79"/>
        <v>0.44865348430475871</v>
      </c>
      <c r="BF324" s="12">
        <f t="shared" si="80"/>
        <v>0.38616386798840274</v>
      </c>
      <c r="BG324" s="12">
        <f t="shared" si="81"/>
        <v>0.86807748308090926</v>
      </c>
      <c r="BH324" s="12">
        <f t="shared" si="82"/>
        <v>0.21698682944233849</v>
      </c>
      <c r="BI324" s="12">
        <f t="shared" si="83"/>
        <v>0.66698112295414547</v>
      </c>
    </row>
    <row r="325" spans="1:61" x14ac:dyDescent="0.55000000000000004">
      <c r="A325" s="12" t="s">
        <v>813</v>
      </c>
      <c r="B325" s="12" t="s">
        <v>814</v>
      </c>
      <c r="C325" s="12" t="s">
        <v>485</v>
      </c>
      <c r="D325" s="12" t="s">
        <v>9</v>
      </c>
      <c r="E325" s="12">
        <v>2244</v>
      </c>
      <c r="F325" s="12">
        <v>67.166364506085273</v>
      </c>
      <c r="G325" s="12">
        <v>32.521814191008382</v>
      </c>
      <c r="H325" s="14">
        <f t="shared" si="92"/>
        <v>72978.951044622809</v>
      </c>
      <c r="I325" s="12">
        <v>35.415401173017628</v>
      </c>
      <c r="J325" s="12">
        <v>19.912316966515505</v>
      </c>
      <c r="K325" s="12">
        <v>22.26699859330655</v>
      </c>
      <c r="L325" s="12">
        <v>43.86622449604706</v>
      </c>
      <c r="M325" s="12">
        <v>40.494536592109455</v>
      </c>
      <c r="N325" s="12">
        <v>18.544325545232578</v>
      </c>
      <c r="O325" s="12">
        <v>10.306455720098638</v>
      </c>
      <c r="P325" s="12">
        <v>45.343906369861614</v>
      </c>
      <c r="Q325" s="12">
        <v>406.83875665788145</v>
      </c>
      <c r="R325" s="15">
        <v>244.30455939077856</v>
      </c>
      <c r="S325" s="15">
        <v>864.91177434175177</v>
      </c>
      <c r="T325" s="15">
        <v>895.66843084966661</v>
      </c>
      <c r="U325" s="12">
        <v>45.232414275972459</v>
      </c>
      <c r="V325" s="12">
        <v>7.3289998284707494</v>
      </c>
      <c r="W325" s="12">
        <v>85.476907202399346</v>
      </c>
      <c r="X325" s="12">
        <v>92.625706392874378</v>
      </c>
      <c r="Y325" s="12">
        <v>47.792293667562731</v>
      </c>
      <c r="Z325" s="12">
        <v>13.015667511618059</v>
      </c>
      <c r="AA325" s="12">
        <v>17.960639298684782</v>
      </c>
      <c r="AB325" s="12">
        <v>51.07710656754027</v>
      </c>
      <c r="AC325" s="12">
        <v>32.747031186612084</v>
      </c>
      <c r="AD325" s="12">
        <v>12.690496543461416</v>
      </c>
      <c r="AE325" s="12">
        <v>29.185379083294226</v>
      </c>
      <c r="AF325" s="12">
        <v>42.814211370697301</v>
      </c>
      <c r="AG325" s="12">
        <v>1221.2201621141403</v>
      </c>
      <c r="AH325" s="12">
        <v>564.67598264298056</v>
      </c>
      <c r="AI325" s="12">
        <v>3110.3526009780371</v>
      </c>
      <c r="AJ325" s="12">
        <v>3333.2283862370591</v>
      </c>
      <c r="AK325" s="12">
        <v>2296.7557140045456</v>
      </c>
      <c r="AL325" s="12">
        <v>421.39327429907894</v>
      </c>
      <c r="AM325" s="12">
        <v>2124.3983715778977</v>
      </c>
      <c r="AN325" s="12">
        <v>2570.1725646535369</v>
      </c>
      <c r="AP325" s="12">
        <f t="shared" si="84"/>
        <v>1.3488246454644335</v>
      </c>
      <c r="AQ325" s="12">
        <f t="shared" si="85"/>
        <v>1.3942612827053873</v>
      </c>
      <c r="AR325" s="12">
        <f t="shared" si="72"/>
        <v>2.8481100669495705</v>
      </c>
      <c r="AS325" s="12">
        <f t="shared" si="73"/>
        <v>1.5705491172033708</v>
      </c>
      <c r="AT325" s="12">
        <f t="shared" si="74"/>
        <v>1.3164767229539907</v>
      </c>
      <c r="AU325" s="12">
        <f t="shared" si="86"/>
        <v>0.80735011001936208</v>
      </c>
      <c r="AV325" s="12">
        <f t="shared" si="87"/>
        <v>0.45393277391150622</v>
      </c>
      <c r="AW325" s="12">
        <f t="shared" si="88"/>
        <v>0.50761146757257647</v>
      </c>
      <c r="AX325" s="12">
        <f t="shared" si="89"/>
        <v>0.89305355083003279</v>
      </c>
      <c r="AY325" s="12">
        <f t="shared" si="90"/>
        <v>0.40897062096878123</v>
      </c>
      <c r="AZ325" s="12">
        <f t="shared" si="91"/>
        <v>0.22729527615090858</v>
      </c>
      <c r="BA325" s="12">
        <f t="shared" si="75"/>
        <v>0.48833543124754136</v>
      </c>
      <c r="BB325" s="12">
        <f t="shared" si="76"/>
        <v>7.9124900784935476E-2</v>
      </c>
      <c r="BC325" s="12">
        <f t="shared" si="77"/>
        <v>0.92282057034843856</v>
      </c>
      <c r="BD325" s="12">
        <f t="shared" si="78"/>
        <v>0.93568913509942142</v>
      </c>
      <c r="BE325" s="12">
        <f t="shared" si="79"/>
        <v>0.25482390030075769</v>
      </c>
      <c r="BF325" s="12">
        <f t="shared" si="80"/>
        <v>0.35163775917758916</v>
      </c>
      <c r="BG325" s="12">
        <f t="shared" si="81"/>
        <v>0.76486358473543326</v>
      </c>
      <c r="BH325" s="12">
        <f t="shared" si="82"/>
        <v>0.29640850869781488</v>
      </c>
      <c r="BI325" s="12">
        <f t="shared" si="83"/>
        <v>0.68167503613692959</v>
      </c>
    </row>
    <row r="326" spans="1:61" x14ac:dyDescent="0.55000000000000004">
      <c r="A326" s="12" t="s">
        <v>815</v>
      </c>
      <c r="B326" s="12" t="s">
        <v>816</v>
      </c>
      <c r="C326" s="12" t="s">
        <v>515</v>
      </c>
      <c r="D326" s="12" t="s">
        <v>9</v>
      </c>
      <c r="E326" s="12">
        <v>2449</v>
      </c>
      <c r="F326" s="12">
        <v>72.563777655710297</v>
      </c>
      <c r="G326" s="12">
        <v>68.79301063625195</v>
      </c>
      <c r="H326" s="14">
        <f t="shared" si="92"/>
        <v>168474.08304818103</v>
      </c>
      <c r="I326" s="12">
        <v>33.142141494533661</v>
      </c>
      <c r="J326" s="12">
        <v>68.246907419651407</v>
      </c>
      <c r="K326" s="12">
        <v>18.653946166415668</v>
      </c>
      <c r="L326" s="12">
        <v>75.835480204085954</v>
      </c>
      <c r="M326" s="12">
        <v>30.956119507905743</v>
      </c>
      <c r="N326" s="12">
        <v>10.903026144383873</v>
      </c>
      <c r="O326" s="12">
        <v>12.314390741621001</v>
      </c>
      <c r="P326" s="12">
        <v>32.875014269121294</v>
      </c>
      <c r="Q326" s="12">
        <v>528.04885617770333</v>
      </c>
      <c r="R326" s="15">
        <v>523.70733914490211</v>
      </c>
      <c r="S326" s="15">
        <v>873.65100202563895</v>
      </c>
      <c r="T326" s="15">
        <v>925.76129697954741</v>
      </c>
      <c r="U326" s="12">
        <v>41.45663813183927</v>
      </c>
      <c r="V326" s="12">
        <v>13.260414254705051</v>
      </c>
      <c r="W326" s="12">
        <v>56.060054589295618</v>
      </c>
      <c r="X326" s="12">
        <v>68.807455206372808</v>
      </c>
      <c r="Y326" s="12">
        <v>38.802151452115062</v>
      </c>
      <c r="Z326" s="12">
        <v>26.358345153848745</v>
      </c>
      <c r="AA326" s="12">
        <v>16.227377458102271</v>
      </c>
      <c r="AB326" s="12">
        <v>46.897358279534082</v>
      </c>
      <c r="AC326" s="12">
        <v>30.239730629476718</v>
      </c>
      <c r="AD326" s="12">
        <v>17.841352709657148</v>
      </c>
      <c r="AE326" s="12">
        <v>20.825612695861594</v>
      </c>
      <c r="AF326" s="12">
        <v>36.02426326829459</v>
      </c>
      <c r="AG326" s="12">
        <v>1143.526147545462</v>
      </c>
      <c r="AH326" s="12">
        <v>300.12191487600182</v>
      </c>
      <c r="AI326" s="12">
        <v>2646.8941674521361</v>
      </c>
      <c r="AJ326" s="12">
        <v>2869.6038434922953</v>
      </c>
      <c r="AK326" s="12">
        <v>3318.4060635778296</v>
      </c>
      <c r="AL326" s="12">
        <v>925.62734984395024</v>
      </c>
      <c r="AM326" s="12">
        <v>1272.3112881143988</v>
      </c>
      <c r="AN326" s="12">
        <v>3515.0641150255519</v>
      </c>
      <c r="AP326" s="12">
        <f t="shared" si="84"/>
        <v>1.1023718761935217</v>
      </c>
      <c r="AQ326" s="12">
        <f t="shared" si="85"/>
        <v>0.47788305766919148</v>
      </c>
      <c r="AR326" s="12">
        <f t="shared" si="72"/>
        <v>1.0002099714780217</v>
      </c>
      <c r="AS326" s="12">
        <f t="shared" si="73"/>
        <v>0.681716904752247</v>
      </c>
      <c r="AT326" s="12">
        <f t="shared" si="74"/>
        <v>0.52366167631150062</v>
      </c>
      <c r="AU326" s="12">
        <f t="shared" si="86"/>
        <v>0.43702685610142666</v>
      </c>
      <c r="AV326" s="12">
        <f t="shared" si="87"/>
        <v>0.89993374125129255</v>
      </c>
      <c r="AW326" s="12">
        <f t="shared" si="88"/>
        <v>0.24597913952960779</v>
      </c>
      <c r="AX326" s="12">
        <f t="shared" si="89"/>
        <v>0.94163060294036371</v>
      </c>
      <c r="AY326" s="12">
        <f t="shared" si="90"/>
        <v>0.33165084143019891</v>
      </c>
      <c r="AZ326" s="12">
        <f t="shared" si="91"/>
        <v>0.37458206529776655</v>
      </c>
      <c r="BA326" s="12">
        <f t="shared" si="75"/>
        <v>0.60250212724041619</v>
      </c>
      <c r="BB326" s="12">
        <f t="shared" si="76"/>
        <v>0.19271769628644686</v>
      </c>
      <c r="BC326" s="12">
        <f t="shared" si="77"/>
        <v>0.8147380893706333</v>
      </c>
      <c r="BD326" s="12">
        <f t="shared" si="78"/>
        <v>0.82738458786597047</v>
      </c>
      <c r="BE326" s="12">
        <f t="shared" si="79"/>
        <v>0.562043281771619</v>
      </c>
      <c r="BF326" s="12">
        <f t="shared" si="80"/>
        <v>0.34601900945844677</v>
      </c>
      <c r="BG326" s="12">
        <f t="shared" si="81"/>
        <v>0.83942676091008606</v>
      </c>
      <c r="BH326" s="12">
        <f t="shared" si="82"/>
        <v>0.49525933609750039</v>
      </c>
      <c r="BI326" s="12">
        <f t="shared" si="83"/>
        <v>0.5780996141617275</v>
      </c>
    </row>
    <row r="327" spans="1:61" x14ac:dyDescent="0.55000000000000004">
      <c r="A327" s="12" t="s">
        <v>817</v>
      </c>
      <c r="B327" s="12" t="s">
        <v>818</v>
      </c>
      <c r="C327" s="12" t="s">
        <v>515</v>
      </c>
      <c r="D327" s="12" t="s">
        <v>9</v>
      </c>
      <c r="E327" s="12">
        <v>2798</v>
      </c>
      <c r="F327" s="12">
        <v>69.096987763211388</v>
      </c>
      <c r="G327" s="12">
        <v>50.329497233460238</v>
      </c>
      <c r="H327" s="14">
        <f t="shared" si="92"/>
        <v>140821.93325922175</v>
      </c>
      <c r="I327" s="12">
        <v>32.901256002641354</v>
      </c>
      <c r="J327" s="12">
        <v>18.311845317686082</v>
      </c>
      <c r="K327" s="12">
        <v>30.176481420691903</v>
      </c>
      <c r="L327" s="12">
        <v>41.857393558480112</v>
      </c>
      <c r="M327" s="12">
        <v>31.48691810844484</v>
      </c>
      <c r="N327" s="12">
        <v>14.896918200825366</v>
      </c>
      <c r="O327" s="12">
        <v>20.377109013602798</v>
      </c>
      <c r="P327" s="12">
        <v>37.47534109778185</v>
      </c>
      <c r="Q327" s="12">
        <v>415.84662104112999</v>
      </c>
      <c r="R327" s="15">
        <v>36.236207224489853</v>
      </c>
      <c r="S327" s="15">
        <v>1252.9174300546074</v>
      </c>
      <c r="T327" s="15">
        <v>1270.0663169143613</v>
      </c>
      <c r="U327" s="12">
        <v>41.886244143011076</v>
      </c>
      <c r="V327" s="12">
        <v>26.272982258494018</v>
      </c>
      <c r="W327" s="12">
        <v>40.772244586364607</v>
      </c>
      <c r="X327" s="12">
        <v>61.226314123649118</v>
      </c>
      <c r="Y327" s="12">
        <v>24.291307398807017</v>
      </c>
      <c r="Z327" s="12">
        <v>32.496957414613931</v>
      </c>
      <c r="AA327" s="12">
        <v>23.270224678968596</v>
      </c>
      <c r="AB327" s="12">
        <v>39.292928582314261</v>
      </c>
      <c r="AC327" s="12">
        <v>37.45863903577078</v>
      </c>
      <c r="AD327" s="12">
        <v>23.917279907557749</v>
      </c>
      <c r="AE327" s="12">
        <v>34.397281878393628</v>
      </c>
      <c r="AF327" s="12">
        <v>45.447802717093019</v>
      </c>
      <c r="AG327" s="12">
        <v>1362.7951989932822</v>
      </c>
      <c r="AH327" s="12">
        <v>168.33391797270349</v>
      </c>
      <c r="AI327" s="12">
        <v>2206.2494855143623</v>
      </c>
      <c r="AJ327" s="12">
        <v>2572.8191915761458</v>
      </c>
      <c r="AK327" s="12">
        <v>4868.5348370250495</v>
      </c>
      <c r="AL327" s="12">
        <v>2301.9799258234975</v>
      </c>
      <c r="AM327" s="12">
        <v>641.29167902162362</v>
      </c>
      <c r="AN327" s="12">
        <v>4871.1536575191731</v>
      </c>
      <c r="AP327" s="12">
        <f t="shared" si="84"/>
        <v>0.83166723013979027</v>
      </c>
      <c r="AQ327" s="12">
        <f t="shared" si="85"/>
        <v>0.7445999494878196</v>
      </c>
      <c r="AR327" s="12">
        <f t="shared" si="72"/>
        <v>1.2165095518368187</v>
      </c>
      <c r="AS327" s="12">
        <f t="shared" si="73"/>
        <v>0.78071371148510882</v>
      </c>
      <c r="AT327" s="12">
        <f t="shared" si="74"/>
        <v>0.90300529938292817</v>
      </c>
      <c r="AU327" s="12">
        <f t="shared" si="86"/>
        <v>0.78603212492612817</v>
      </c>
      <c r="AV327" s="12">
        <f t="shared" si="87"/>
        <v>0.43748173884984265</v>
      </c>
      <c r="AW327" s="12">
        <f t="shared" si="88"/>
        <v>0.72093551115483367</v>
      </c>
      <c r="AX327" s="12">
        <f t="shared" si="89"/>
        <v>0.84020364287781057</v>
      </c>
      <c r="AY327" s="12">
        <f t="shared" si="90"/>
        <v>0.39751254463450658</v>
      </c>
      <c r="AZ327" s="12">
        <f t="shared" si="91"/>
        <v>0.54374712588830609</v>
      </c>
      <c r="BA327" s="12">
        <f t="shared" si="75"/>
        <v>0.6841216026563357</v>
      </c>
      <c r="BB327" s="12">
        <f t="shared" si="76"/>
        <v>0.42911259046942829</v>
      </c>
      <c r="BC327" s="12">
        <f t="shared" si="77"/>
        <v>0.66592681872084192</v>
      </c>
      <c r="BD327" s="12">
        <f t="shared" si="78"/>
        <v>0.618210662204001</v>
      </c>
      <c r="BE327" s="12">
        <f t="shared" si="79"/>
        <v>0.82704340417224098</v>
      </c>
      <c r="BF327" s="12">
        <f t="shared" si="80"/>
        <v>0.59222423775871258</v>
      </c>
      <c r="BG327" s="12">
        <f t="shared" si="81"/>
        <v>0.82421232262748101</v>
      </c>
      <c r="BH327" s="12">
        <f t="shared" si="82"/>
        <v>0.52625822322896165</v>
      </c>
      <c r="BI327" s="12">
        <f t="shared" si="83"/>
        <v>0.75685247299000302</v>
      </c>
    </row>
    <row r="328" spans="1:61" x14ac:dyDescent="0.55000000000000004">
      <c r="A328" s="12" t="s">
        <v>819</v>
      </c>
      <c r="B328" s="12" t="s">
        <v>820</v>
      </c>
      <c r="C328" s="12" t="s">
        <v>485</v>
      </c>
      <c r="D328" s="12" t="s">
        <v>9</v>
      </c>
      <c r="E328" s="12">
        <v>2272</v>
      </c>
      <c r="F328" s="12">
        <v>68.886956809563742</v>
      </c>
      <c r="G328" s="12">
        <v>34.608228120136289</v>
      </c>
      <c r="H328" s="14">
        <f t="shared" si="92"/>
        <v>78629.894288949654</v>
      </c>
      <c r="I328" s="12">
        <v>43.642046493205925</v>
      </c>
      <c r="J328" s="12">
        <v>32.008990539739237</v>
      </c>
      <c r="K328" s="12">
        <v>28.945511868198146</v>
      </c>
      <c r="L328" s="12">
        <v>50.562261367596193</v>
      </c>
      <c r="M328" s="12">
        <v>41.266877061885118</v>
      </c>
      <c r="N328" s="12">
        <v>19.990252726614493</v>
      </c>
      <c r="O328" s="12">
        <v>10.479260028415368</v>
      </c>
      <c r="P328" s="12">
        <v>43.808817596399081</v>
      </c>
      <c r="Q328" s="12">
        <v>789.90034189064784</v>
      </c>
      <c r="R328" s="15">
        <v>72.766371507818491</v>
      </c>
      <c r="S328" s="15">
        <v>909.45456562606273</v>
      </c>
      <c r="T328" s="15">
        <v>998.28295151212137</v>
      </c>
      <c r="U328" s="12">
        <v>54.114887970780316</v>
      </c>
      <c r="V328" s="12">
        <v>13.709426236753032</v>
      </c>
      <c r="W328" s="12">
        <v>49.733176751653964</v>
      </c>
      <c r="X328" s="12">
        <v>58.765530272985153</v>
      </c>
      <c r="Y328" s="12">
        <v>30.688583978589758</v>
      </c>
      <c r="Z328" s="12">
        <v>27.863382739982775</v>
      </c>
      <c r="AA328" s="12">
        <v>24.955510117921712</v>
      </c>
      <c r="AB328" s="12">
        <v>41.852994029914278</v>
      </c>
      <c r="AC328" s="12">
        <v>32.755438392345646</v>
      </c>
      <c r="AD328" s="12">
        <v>23.254873446603934</v>
      </c>
      <c r="AE328" s="12">
        <v>51.057501008883342</v>
      </c>
      <c r="AF328" s="12">
        <v>56.859090665158035</v>
      </c>
      <c r="AG328" s="12">
        <v>856.03607890905892</v>
      </c>
      <c r="AH328" s="12">
        <v>514.59268710819481</v>
      </c>
      <c r="AI328" s="12">
        <v>1755.082863605071</v>
      </c>
      <c r="AJ328" s="12">
        <v>1923.2879353564913</v>
      </c>
      <c r="AK328" s="12">
        <v>1106.0869311879844</v>
      </c>
      <c r="AL328" s="12">
        <v>3590.2918755357364</v>
      </c>
      <c r="AM328" s="12">
        <v>661.48989228834591</v>
      </c>
      <c r="AN328" s="12">
        <v>3664.1224141768221</v>
      </c>
      <c r="AP328" s="12">
        <f t="shared" si="84"/>
        <v>1.4609896002788216</v>
      </c>
      <c r="AQ328" s="12">
        <f t="shared" si="85"/>
        <v>1.2658497697231013</v>
      </c>
      <c r="AR328" s="12">
        <f t="shared" si="72"/>
        <v>1.6980219290334975</v>
      </c>
      <c r="AS328" s="12">
        <f t="shared" si="73"/>
        <v>1.2093365162940177</v>
      </c>
      <c r="AT328" s="12">
        <f t="shared" si="74"/>
        <v>1.6429356183096646</v>
      </c>
      <c r="AU328" s="12">
        <f t="shared" si="86"/>
        <v>0.86313478299399748</v>
      </c>
      <c r="AV328" s="12">
        <f t="shared" si="87"/>
        <v>0.63306089707951274</v>
      </c>
      <c r="AW328" s="12">
        <f t="shared" si="88"/>
        <v>0.57247265223680122</v>
      </c>
      <c r="AX328" s="12">
        <f t="shared" si="89"/>
        <v>0.94197650897743246</v>
      </c>
      <c r="AY328" s="12">
        <f t="shared" si="90"/>
        <v>0.45630660272049012</v>
      </c>
      <c r="AZ328" s="12">
        <f t="shared" si="91"/>
        <v>0.23920435664250211</v>
      </c>
      <c r="BA328" s="12">
        <f t="shared" si="75"/>
        <v>0.9208610510174744</v>
      </c>
      <c r="BB328" s="12">
        <f t="shared" si="76"/>
        <v>0.23329026681233458</v>
      </c>
      <c r="BC328" s="12">
        <f t="shared" si="77"/>
        <v>0.8462984426521305</v>
      </c>
      <c r="BD328" s="12">
        <f t="shared" si="78"/>
        <v>0.73324703978537842</v>
      </c>
      <c r="BE328" s="12">
        <f t="shared" si="79"/>
        <v>0.66574407365139809</v>
      </c>
      <c r="BF328" s="12">
        <f t="shared" si="80"/>
        <v>0.59626582748380796</v>
      </c>
      <c r="BG328" s="12">
        <f t="shared" si="81"/>
        <v>0.57608093990179543</v>
      </c>
      <c r="BH328" s="12">
        <f t="shared" si="82"/>
        <v>0.40899130067962897</v>
      </c>
      <c r="BI328" s="12">
        <f t="shared" si="83"/>
        <v>0.89796548646125685</v>
      </c>
    </row>
    <row r="329" spans="1:61" x14ac:dyDescent="0.55000000000000004">
      <c r="A329" s="12" t="s">
        <v>821</v>
      </c>
      <c r="B329" s="12" t="s">
        <v>822</v>
      </c>
      <c r="C329" s="12" t="s">
        <v>485</v>
      </c>
      <c r="D329" s="12" t="s">
        <v>9</v>
      </c>
      <c r="E329" s="12">
        <v>2225</v>
      </c>
      <c r="F329" s="12">
        <v>65.9839695505393</v>
      </c>
      <c r="G329" s="12">
        <v>37.238739511963942</v>
      </c>
      <c r="H329" s="14">
        <f t="shared" si="92"/>
        <v>82856.195414119778</v>
      </c>
      <c r="I329" s="12">
        <v>37.671359375758108</v>
      </c>
      <c r="J329" s="12">
        <v>15.126624705694731</v>
      </c>
      <c r="K329" s="12">
        <v>26.357865621218586</v>
      </c>
      <c r="L329" s="12">
        <v>41.331733366315277</v>
      </c>
      <c r="M329" s="12">
        <v>29.85556455178742</v>
      </c>
      <c r="N329" s="12">
        <v>18.408715326612629</v>
      </c>
      <c r="O329" s="12">
        <v>15.43902286836512</v>
      </c>
      <c r="P329" s="12">
        <v>36.363562624268596</v>
      </c>
      <c r="Q329" s="12">
        <v>543.32887902803213</v>
      </c>
      <c r="R329" s="15">
        <v>347.77623217259759</v>
      </c>
      <c r="S329" s="15">
        <v>1027.9464620773788</v>
      </c>
      <c r="T329" s="15">
        <v>1134.5948026636929</v>
      </c>
      <c r="U329" s="12">
        <v>35.86899066563501</v>
      </c>
      <c r="V329" s="12">
        <v>16.497755903890933</v>
      </c>
      <c r="W329" s="12">
        <v>57.95197955908057</v>
      </c>
      <c r="X329" s="12">
        <v>66.756927443812842</v>
      </c>
      <c r="Y329" s="12">
        <v>35.580229280077823</v>
      </c>
      <c r="Z329" s="12">
        <v>19.718011177565263</v>
      </c>
      <c r="AA329" s="12">
        <v>7.8518308060893869</v>
      </c>
      <c r="AB329" s="12">
        <v>38.405313613926729</v>
      </c>
      <c r="AC329" s="12">
        <v>35.837696444141898</v>
      </c>
      <c r="AD329" s="12">
        <v>13.437474708225238</v>
      </c>
      <c r="AE329" s="12">
        <v>20.545961083251353</v>
      </c>
      <c r="AF329" s="12">
        <v>38.827553818836662</v>
      </c>
      <c r="AG329" s="12">
        <v>1123.3141191113366</v>
      </c>
      <c r="AH329" s="12">
        <v>232.41242256873727</v>
      </c>
      <c r="AI329" s="12">
        <v>2106.7500814043015</v>
      </c>
      <c r="AJ329" s="12">
        <v>2367.2239096448657</v>
      </c>
      <c r="AK329" s="12">
        <v>1617.3648521773696</v>
      </c>
      <c r="AL329" s="12">
        <v>566.13461395554975</v>
      </c>
      <c r="AM329" s="12">
        <v>639.19427210441449</v>
      </c>
      <c r="AN329" s="12">
        <v>1618.7292557547235</v>
      </c>
      <c r="AP329" s="12">
        <f t="shared" si="84"/>
        <v>1.1099122555702068</v>
      </c>
      <c r="AQ329" s="12">
        <f t="shared" si="85"/>
        <v>0.97649821397917691</v>
      </c>
      <c r="AR329" s="12">
        <f t="shared" si="72"/>
        <v>1.7926741967827722</v>
      </c>
      <c r="AS329" s="12">
        <f t="shared" si="73"/>
        <v>1.0313268955193287</v>
      </c>
      <c r="AT329" s="12">
        <f t="shared" si="74"/>
        <v>1.0426656306764162</v>
      </c>
      <c r="AU329" s="12">
        <f t="shared" si="86"/>
        <v>0.91143913665279963</v>
      </c>
      <c r="AV329" s="12">
        <f t="shared" si="87"/>
        <v>0.36598089346097196</v>
      </c>
      <c r="AW329" s="12">
        <f t="shared" si="88"/>
        <v>0.63771498251994041</v>
      </c>
      <c r="AX329" s="12">
        <f t="shared" si="89"/>
        <v>0.82102969008493631</v>
      </c>
      <c r="AY329" s="12">
        <f t="shared" si="90"/>
        <v>0.50624069805324512</v>
      </c>
      <c r="AZ329" s="12">
        <f t="shared" si="91"/>
        <v>0.42457398984502431</v>
      </c>
      <c r="BA329" s="12">
        <f t="shared" si="75"/>
        <v>0.53730739324131993</v>
      </c>
      <c r="BB329" s="12">
        <f t="shared" si="76"/>
        <v>0.24713174400928747</v>
      </c>
      <c r="BC329" s="12">
        <f t="shared" si="77"/>
        <v>0.8681043567779072</v>
      </c>
      <c r="BD329" s="12">
        <f t="shared" si="78"/>
        <v>0.92644027432640308</v>
      </c>
      <c r="BE329" s="12">
        <f t="shared" si="79"/>
        <v>0.51341882989897047</v>
      </c>
      <c r="BF329" s="12">
        <f t="shared" si="80"/>
        <v>0.20444647022077997</v>
      </c>
      <c r="BG329" s="12">
        <f t="shared" si="81"/>
        <v>0.92299650427000957</v>
      </c>
      <c r="BH329" s="12">
        <f t="shared" si="82"/>
        <v>0.34608089839814293</v>
      </c>
      <c r="BI329" s="12">
        <f t="shared" si="83"/>
        <v>0.52915929700633779</v>
      </c>
    </row>
    <row r="330" spans="1:61" x14ac:dyDescent="0.55000000000000004">
      <c r="A330" s="12" t="s">
        <v>823</v>
      </c>
      <c r="B330" s="12" t="s">
        <v>824</v>
      </c>
      <c r="C330" s="12" t="s">
        <v>322</v>
      </c>
      <c r="D330" s="12" t="s">
        <v>9</v>
      </c>
      <c r="E330" s="12">
        <v>2204</v>
      </c>
      <c r="F330" s="12">
        <v>67.975429510458653</v>
      </c>
      <c r="G330" s="12">
        <v>63.510146013555193</v>
      </c>
      <c r="H330" s="14">
        <f t="shared" si="92"/>
        <v>139976.36181387564</v>
      </c>
      <c r="I330" s="12">
        <v>41.026454248093614</v>
      </c>
      <c r="J330" s="12">
        <v>15.353624800627363</v>
      </c>
      <c r="K330" s="12">
        <v>14.835368235345769</v>
      </c>
      <c r="L330" s="12">
        <v>42.392764520471097</v>
      </c>
      <c r="M330" s="12">
        <v>31.618408440496204</v>
      </c>
      <c r="N330" s="12">
        <v>12.880833670786016</v>
      </c>
      <c r="O330" s="12">
        <v>9.163095511834193</v>
      </c>
      <c r="P330" s="12">
        <v>33.354469240128317</v>
      </c>
      <c r="Q330" s="12">
        <v>574.36158029882176</v>
      </c>
      <c r="R330" s="15">
        <v>53.993346255665521</v>
      </c>
      <c r="S330" s="15">
        <v>789.55210702335978</v>
      </c>
      <c r="T330" s="15">
        <v>945.17416704475977</v>
      </c>
      <c r="U330" s="12">
        <v>18.870251717749866</v>
      </c>
      <c r="V330" s="12">
        <v>10.253895691224752</v>
      </c>
      <c r="W330" s="12">
        <v>58.962256336038898</v>
      </c>
      <c r="X330" s="12">
        <v>62.453220823858395</v>
      </c>
      <c r="Y330" s="12">
        <v>28.152930594517542</v>
      </c>
      <c r="Z330" s="12">
        <v>20.383311801140398</v>
      </c>
      <c r="AA330" s="12">
        <v>26.849639602731159</v>
      </c>
      <c r="AB330" s="12">
        <v>37.837071608612206</v>
      </c>
      <c r="AC330" s="12">
        <v>28.097134574776966</v>
      </c>
      <c r="AD330" s="12">
        <v>17.366659026465307</v>
      </c>
      <c r="AE330" s="12">
        <v>33.218542624622138</v>
      </c>
      <c r="AF330" s="12">
        <v>45.207290236009662</v>
      </c>
      <c r="AG330" s="12">
        <v>649.73588068285346</v>
      </c>
      <c r="AH330" s="12">
        <v>45.378571239255756</v>
      </c>
      <c r="AI330" s="12">
        <v>2055.509377643109</v>
      </c>
      <c r="AJ330" s="12">
        <v>2154.3368871678895</v>
      </c>
      <c r="AK330" s="12">
        <v>1840.5299755236636</v>
      </c>
      <c r="AL330" s="12">
        <v>1420.2862624314587</v>
      </c>
      <c r="AM330" s="12">
        <v>4141.1271044409523</v>
      </c>
      <c r="AN330" s="12">
        <v>4530.2873446343774</v>
      </c>
      <c r="AP330" s="12">
        <f t="shared" si="84"/>
        <v>0.66749593854536349</v>
      </c>
      <c r="AQ330" s="12">
        <f t="shared" si="85"/>
        <v>0.52518331847338784</v>
      </c>
      <c r="AR330" s="12">
        <f t="shared" si="72"/>
        <v>0.98335816785130337</v>
      </c>
      <c r="AS330" s="12">
        <f t="shared" si="73"/>
        <v>0.59576420436093014</v>
      </c>
      <c r="AT330" s="12">
        <f t="shared" si="74"/>
        <v>0.71181209733576922</v>
      </c>
      <c r="AU330" s="12">
        <f t="shared" si="86"/>
        <v>0.96777020116917112</v>
      </c>
      <c r="AV330" s="12">
        <f t="shared" si="87"/>
        <v>0.36217559704588814</v>
      </c>
      <c r="AW330" s="12">
        <f t="shared" si="88"/>
        <v>0.34995047865259882</v>
      </c>
      <c r="AX330" s="12">
        <f t="shared" si="89"/>
        <v>0.94795117898193137</v>
      </c>
      <c r="AY330" s="12">
        <f t="shared" si="90"/>
        <v>0.38618014209889623</v>
      </c>
      <c r="AZ330" s="12">
        <f t="shared" si="91"/>
        <v>0.27471867250731707</v>
      </c>
      <c r="BA330" s="12">
        <f t="shared" si="75"/>
        <v>0.30215017686551482</v>
      </c>
      <c r="BB330" s="12">
        <f t="shared" si="76"/>
        <v>0.16418521824750401</v>
      </c>
      <c r="BC330" s="12">
        <f t="shared" si="77"/>
        <v>0.94410273094376784</v>
      </c>
      <c r="BD330" s="12">
        <f t="shared" si="78"/>
        <v>0.74405680454693468</v>
      </c>
      <c r="BE330" s="12">
        <f t="shared" si="79"/>
        <v>0.53871272100510259</v>
      </c>
      <c r="BF330" s="12">
        <f t="shared" si="80"/>
        <v>0.70961198795891578</v>
      </c>
      <c r="BG330" s="12">
        <f t="shared" si="81"/>
        <v>0.6215177779533515</v>
      </c>
      <c r="BH330" s="12">
        <f t="shared" si="82"/>
        <v>0.38415616011932457</v>
      </c>
      <c r="BI330" s="12">
        <f t="shared" si="83"/>
        <v>0.73480499386716303</v>
      </c>
    </row>
    <row r="331" spans="1:61" x14ac:dyDescent="0.55000000000000004">
      <c r="A331" s="12" t="s">
        <v>825</v>
      </c>
      <c r="B331" s="12" t="s">
        <v>826</v>
      </c>
      <c r="C331" s="12" t="s">
        <v>322</v>
      </c>
      <c r="D331" s="12" t="s">
        <v>9</v>
      </c>
      <c r="E331" s="12">
        <v>2237</v>
      </c>
      <c r="F331" s="12">
        <v>66.005573766516747</v>
      </c>
      <c r="G331" s="12">
        <v>47.782504144581488</v>
      </c>
      <c r="H331" s="14">
        <f t="shared" si="92"/>
        <v>106889.46177142879</v>
      </c>
      <c r="I331" s="12">
        <v>33.226235123424793</v>
      </c>
      <c r="J331" s="12">
        <v>17.431441724154119</v>
      </c>
      <c r="K331" s="12">
        <v>18.043262878347697</v>
      </c>
      <c r="L331" s="12">
        <v>38.541640827116204</v>
      </c>
      <c r="M331" s="12">
        <v>31.365098795980003</v>
      </c>
      <c r="N331" s="12">
        <v>10.152326825768057</v>
      </c>
      <c r="O331" s="12">
        <v>9.9084009667352966</v>
      </c>
      <c r="P331" s="12">
        <v>33.237629267602991</v>
      </c>
      <c r="Q331" s="12">
        <v>653.66573293542774</v>
      </c>
      <c r="R331" s="15">
        <v>32.80004059914188</v>
      </c>
      <c r="S331" s="15">
        <v>881.11505126087218</v>
      </c>
      <c r="T331" s="15">
        <v>998.70377872734525</v>
      </c>
      <c r="U331" s="12">
        <v>21.104003878515513</v>
      </c>
      <c r="V331" s="12">
        <v>8.7194165278583036</v>
      </c>
      <c r="W331" s="12">
        <v>50.251644768055193</v>
      </c>
      <c r="X331" s="12">
        <v>52.86233447200064</v>
      </c>
      <c r="Y331" s="12">
        <v>29.179332297267155</v>
      </c>
      <c r="Z331" s="12">
        <v>18.003469807312609</v>
      </c>
      <c r="AA331" s="12">
        <v>26.213593604079449</v>
      </c>
      <c r="AB331" s="12">
        <v>38.229155693053606</v>
      </c>
      <c r="AC331" s="12">
        <v>28.213248391080612</v>
      </c>
      <c r="AD331" s="12">
        <v>15.331282504936659</v>
      </c>
      <c r="AE331" s="12">
        <v>26.80796788221971</v>
      </c>
      <c r="AF331" s="12">
        <v>39.160045303993009</v>
      </c>
      <c r="AG331" s="12">
        <v>541.39157644965007</v>
      </c>
      <c r="AH331" s="12">
        <v>180.12255617912507</v>
      </c>
      <c r="AI331" s="12">
        <v>1822.3530129193823</v>
      </c>
      <c r="AJ331" s="12">
        <v>1892.4673286985637</v>
      </c>
      <c r="AK331" s="12">
        <v>1820.7258303066183</v>
      </c>
      <c r="AL331" s="12">
        <v>1184.8587807465151</v>
      </c>
      <c r="AM331" s="12">
        <v>3983.6064801747571</v>
      </c>
      <c r="AN331" s="12">
        <v>4356.9594022530291</v>
      </c>
      <c r="AP331" s="12">
        <f t="shared" si="84"/>
        <v>0.80660571305547213</v>
      </c>
      <c r="AQ331" s="12">
        <f t="shared" si="85"/>
        <v>0.69560249850095224</v>
      </c>
      <c r="AR331" s="12">
        <f t="shared" si="72"/>
        <v>1.1063115133532657</v>
      </c>
      <c r="AS331" s="12">
        <f t="shared" si="73"/>
        <v>0.80006597346549435</v>
      </c>
      <c r="AT331" s="12">
        <f t="shared" si="74"/>
        <v>0.81954778229080605</v>
      </c>
      <c r="AU331" s="12">
        <f t="shared" si="86"/>
        <v>0.86208667846980391</v>
      </c>
      <c r="AV331" s="12">
        <f t="shared" si="87"/>
        <v>0.45227554795461961</v>
      </c>
      <c r="AW331" s="12">
        <f t="shared" si="88"/>
        <v>0.46814983719253722</v>
      </c>
      <c r="AX331" s="12">
        <f t="shared" si="89"/>
        <v>0.94366233353928886</v>
      </c>
      <c r="AY331" s="12">
        <f t="shared" si="90"/>
        <v>0.30544677973358403</v>
      </c>
      <c r="AZ331" s="12">
        <f t="shared" si="91"/>
        <v>0.29810793323918267</v>
      </c>
      <c r="BA331" s="12">
        <f t="shared" si="75"/>
        <v>0.39922572639491694</v>
      </c>
      <c r="BB331" s="12">
        <f t="shared" si="76"/>
        <v>0.16494573338369456</v>
      </c>
      <c r="BC331" s="12">
        <f t="shared" si="77"/>
        <v>0.95061342390529047</v>
      </c>
      <c r="BD331" s="12">
        <f t="shared" si="78"/>
        <v>0.76327430643646565</v>
      </c>
      <c r="BE331" s="12">
        <f t="shared" si="79"/>
        <v>0.47093558518175471</v>
      </c>
      <c r="BF331" s="12">
        <f t="shared" si="80"/>
        <v>0.6856963782970118</v>
      </c>
      <c r="BG331" s="12">
        <f t="shared" si="81"/>
        <v>0.72046005493777632</v>
      </c>
      <c r="BH331" s="12">
        <f t="shared" si="82"/>
        <v>0.39150318611539969</v>
      </c>
      <c r="BI331" s="12">
        <f t="shared" si="83"/>
        <v>0.68457448591067382</v>
      </c>
    </row>
    <row r="332" spans="1:61" x14ac:dyDescent="0.55000000000000004">
      <c r="A332" s="12" t="s">
        <v>827</v>
      </c>
      <c r="B332" s="12" t="s">
        <v>828</v>
      </c>
      <c r="C332" s="12" t="s">
        <v>322</v>
      </c>
      <c r="D332" s="12" t="s">
        <v>9</v>
      </c>
      <c r="E332" s="12">
        <v>2030</v>
      </c>
      <c r="F332" s="12">
        <v>63.698741269991949</v>
      </c>
      <c r="G332" s="12">
        <v>44.025449895637863</v>
      </c>
      <c r="H332" s="14">
        <f t="shared" si="92"/>
        <v>89371.66328814486</v>
      </c>
      <c r="I332" s="12">
        <v>38.116516108344449</v>
      </c>
      <c r="J332" s="12">
        <v>11.282125268308171</v>
      </c>
      <c r="K332" s="12">
        <v>30.751869535952054</v>
      </c>
      <c r="L332" s="12">
        <v>48.258101707416898</v>
      </c>
      <c r="M332" s="12">
        <v>40.575732106215582</v>
      </c>
      <c r="N332" s="12">
        <v>14.519576174988604</v>
      </c>
      <c r="O332" s="12">
        <v>5.9221754014929084</v>
      </c>
      <c r="P332" s="12">
        <v>42.516604478052017</v>
      </c>
      <c r="Q332" s="12">
        <v>442.28326963443897</v>
      </c>
      <c r="R332" s="15">
        <v>29.73492128354134</v>
      </c>
      <c r="S332" s="15">
        <v>1266.2024219289478</v>
      </c>
      <c r="T332" s="15">
        <v>1295.845766836989</v>
      </c>
      <c r="U332" s="12">
        <v>31.260162993311972</v>
      </c>
      <c r="V332" s="12">
        <v>11.2669435614857</v>
      </c>
      <c r="W332" s="12">
        <v>58.827580537860626</v>
      </c>
      <c r="X332" s="12">
        <v>62.471539193739353</v>
      </c>
      <c r="Y332" s="12">
        <v>26.626500793884055</v>
      </c>
      <c r="Z332" s="12">
        <v>21.751980724994677</v>
      </c>
      <c r="AA332" s="12">
        <v>19.488899816781664</v>
      </c>
      <c r="AB332" s="12">
        <v>36.736208910938394</v>
      </c>
      <c r="AC332" s="12">
        <v>33.602637102284575</v>
      </c>
      <c r="AD332" s="12">
        <v>21.411953711548527</v>
      </c>
      <c r="AE332" s="12">
        <v>33.29874760090572</v>
      </c>
      <c r="AF332" s="12">
        <v>46.419618720579344</v>
      </c>
      <c r="AG332" s="12">
        <v>688.38126504258605</v>
      </c>
      <c r="AH332" s="12">
        <v>628.82104353465115</v>
      </c>
      <c r="AI332" s="12">
        <v>2059.1777458682045</v>
      </c>
      <c r="AJ332" s="12">
        <v>2147.1513154688055</v>
      </c>
      <c r="AK332" s="12">
        <v>1279.1061147237324</v>
      </c>
      <c r="AL332" s="12">
        <v>2169.437008051761</v>
      </c>
      <c r="AM332" s="12">
        <v>3528.0938090936475</v>
      </c>
      <c r="AN332" s="12">
        <v>3581.4011907077511</v>
      </c>
      <c r="AP332" s="12">
        <f t="shared" si="84"/>
        <v>1.0961410234719353</v>
      </c>
      <c r="AQ332" s="12">
        <f t="shared" si="85"/>
        <v>0.96572788191460723</v>
      </c>
      <c r="AR332" s="12">
        <f t="shared" si="72"/>
        <v>1.4189869573582523</v>
      </c>
      <c r="AS332" s="12">
        <f t="shared" si="73"/>
        <v>0.8344311982733037</v>
      </c>
      <c r="AT332" s="12">
        <f t="shared" si="74"/>
        <v>1.0543814732300714</v>
      </c>
      <c r="AU332" s="12">
        <f t="shared" si="86"/>
        <v>0.7898469844388063</v>
      </c>
      <c r="AV332" s="12">
        <f t="shared" si="87"/>
        <v>0.23378717498484189</v>
      </c>
      <c r="AW332" s="12">
        <f t="shared" si="88"/>
        <v>0.63723744714197339</v>
      </c>
      <c r="AX332" s="12">
        <f t="shared" si="89"/>
        <v>0.95435024984560202</v>
      </c>
      <c r="AY332" s="12">
        <f t="shared" si="90"/>
        <v>0.34150366317432335</v>
      </c>
      <c r="AZ332" s="12">
        <f t="shared" si="91"/>
        <v>0.13929088350764376</v>
      </c>
      <c r="BA332" s="12">
        <f t="shared" si="75"/>
        <v>0.50039047215351373</v>
      </c>
      <c r="BB332" s="12">
        <f t="shared" si="76"/>
        <v>0.18035322495487396</v>
      </c>
      <c r="BC332" s="12">
        <f t="shared" si="77"/>
        <v>0.94167009965005133</v>
      </c>
      <c r="BD332" s="12">
        <f t="shared" si="78"/>
        <v>0.72480262888411107</v>
      </c>
      <c r="BE332" s="12">
        <f t="shared" si="79"/>
        <v>0.59211283281106109</v>
      </c>
      <c r="BF332" s="12">
        <f t="shared" si="80"/>
        <v>0.53050928210991155</v>
      </c>
      <c r="BG332" s="12">
        <f t="shared" si="81"/>
        <v>0.72388869250637389</v>
      </c>
      <c r="BH332" s="12">
        <f t="shared" si="82"/>
        <v>0.46126948694767939</v>
      </c>
      <c r="BI332" s="12">
        <f t="shared" si="83"/>
        <v>0.71734211780897916</v>
      </c>
    </row>
    <row r="333" spans="1:61" x14ac:dyDescent="0.55000000000000004">
      <c r="A333" s="12" t="s">
        <v>829</v>
      </c>
      <c r="B333" s="12" t="s">
        <v>830</v>
      </c>
      <c r="C333" s="12" t="s">
        <v>322</v>
      </c>
      <c r="D333" s="12" t="s">
        <v>9</v>
      </c>
      <c r="E333" s="12">
        <v>2019</v>
      </c>
      <c r="F333" s="12">
        <v>65.309672091300072</v>
      </c>
      <c r="G333" s="12">
        <v>45.559720051042142</v>
      </c>
      <c r="H333" s="14">
        <f t="shared" si="92"/>
        <v>91985.074783054079</v>
      </c>
      <c r="I333" s="12">
        <v>42.574382178593758</v>
      </c>
      <c r="J333" s="12">
        <v>19.894202875639458</v>
      </c>
      <c r="K333" s="12">
        <v>23.082586852633501</v>
      </c>
      <c r="L333" s="12">
        <v>48.516745934485797</v>
      </c>
      <c r="M333" s="12">
        <v>34.672537562497446</v>
      </c>
      <c r="N333" s="12">
        <v>10.752369940555198</v>
      </c>
      <c r="O333" s="12">
        <v>10.829932826602562</v>
      </c>
      <c r="P333" s="12">
        <v>36.582716312577006</v>
      </c>
      <c r="Q333" s="12">
        <v>503.44814408287391</v>
      </c>
      <c r="R333" s="15">
        <v>23.775968304068549</v>
      </c>
      <c r="S333" s="15">
        <v>995.90073148587794</v>
      </c>
      <c r="T333" s="15">
        <v>1113.2283457857845</v>
      </c>
      <c r="U333" s="12">
        <v>53.468928466735626</v>
      </c>
      <c r="V333" s="12">
        <v>8.8598569866838446</v>
      </c>
      <c r="W333" s="12">
        <v>45.144312661075524</v>
      </c>
      <c r="X333" s="12">
        <v>55.931908646824937</v>
      </c>
      <c r="Y333" s="12">
        <v>27.269189141887296</v>
      </c>
      <c r="Z333" s="12">
        <v>15.125274416003215</v>
      </c>
      <c r="AA333" s="12">
        <v>10.599091367757257</v>
      </c>
      <c r="AB333" s="12">
        <v>31.771277493519065</v>
      </c>
      <c r="AC333" s="12">
        <v>33.491252983169765</v>
      </c>
      <c r="AD333" s="12">
        <v>16.168400991074371</v>
      </c>
      <c r="AE333" s="12">
        <v>24.722133855952578</v>
      </c>
      <c r="AF333" s="12">
        <v>41.410094056548928</v>
      </c>
      <c r="AG333" s="12">
        <v>779.37587236861918</v>
      </c>
      <c r="AH333" s="12">
        <v>67.397181910175249</v>
      </c>
      <c r="AI333" s="12">
        <v>1622.5213051415708</v>
      </c>
      <c r="AJ333" s="12">
        <v>1778.5771406234974</v>
      </c>
      <c r="AK333" s="12">
        <v>887.1485192646204</v>
      </c>
      <c r="AL333" s="12">
        <v>1245.7973916501019</v>
      </c>
      <c r="AM333" s="12">
        <v>1485.5666317331086</v>
      </c>
      <c r="AN333" s="12">
        <v>1645.886307154618</v>
      </c>
      <c r="AP333" s="12">
        <f t="shared" si="84"/>
        <v>1.0649043909868365</v>
      </c>
      <c r="AQ333" s="12">
        <f t="shared" si="85"/>
        <v>0.80296183276789479</v>
      </c>
      <c r="AR333" s="12">
        <f t="shared" si="72"/>
        <v>1.2276613768513607</v>
      </c>
      <c r="AS333" s="12">
        <f t="shared" si="73"/>
        <v>0.69735453725186625</v>
      </c>
      <c r="AT333" s="12">
        <f t="shared" si="74"/>
        <v>0.90891897514198416</v>
      </c>
      <c r="AU333" s="12">
        <f t="shared" si="86"/>
        <v>0.87751932572072611</v>
      </c>
      <c r="AV333" s="12">
        <f t="shared" si="87"/>
        <v>0.41004816981137682</v>
      </c>
      <c r="AW333" s="12">
        <f t="shared" si="88"/>
        <v>0.4757653549931582</v>
      </c>
      <c r="AX333" s="12">
        <f t="shared" si="89"/>
        <v>0.94778466602211142</v>
      </c>
      <c r="AY333" s="12">
        <f t="shared" si="90"/>
        <v>0.29391939758334928</v>
      </c>
      <c r="AZ333" s="12">
        <f t="shared" si="91"/>
        <v>0.2960396033489528</v>
      </c>
      <c r="BA333" s="12">
        <f t="shared" si="75"/>
        <v>0.95596466775983824</v>
      </c>
      <c r="BB333" s="12">
        <f t="shared" si="76"/>
        <v>0.15840433843637103</v>
      </c>
      <c r="BC333" s="12">
        <f t="shared" si="77"/>
        <v>0.80712984329094972</v>
      </c>
      <c r="BD333" s="12">
        <f t="shared" si="78"/>
        <v>0.85829690504103473</v>
      </c>
      <c r="BE333" s="12">
        <f t="shared" si="79"/>
        <v>0.47606755564325604</v>
      </c>
      <c r="BF333" s="12">
        <f t="shared" si="80"/>
        <v>0.33360608083572768</v>
      </c>
      <c r="BG333" s="12">
        <f t="shared" si="81"/>
        <v>0.80877027078071051</v>
      </c>
      <c r="BH333" s="12">
        <f t="shared" si="82"/>
        <v>0.39044588908673028</v>
      </c>
      <c r="BI333" s="12">
        <f t="shared" si="83"/>
        <v>0.59700743065670048</v>
      </c>
    </row>
    <row r="334" spans="1:61" x14ac:dyDescent="0.55000000000000004">
      <c r="A334" s="12" t="s">
        <v>831</v>
      </c>
      <c r="B334" s="12" t="s">
        <v>832</v>
      </c>
      <c r="C334" s="12" t="s">
        <v>322</v>
      </c>
      <c r="D334" s="12" t="s">
        <v>9</v>
      </c>
      <c r="E334" s="12">
        <v>2295</v>
      </c>
      <c r="F334" s="12">
        <v>68.186609025024524</v>
      </c>
      <c r="G334" s="12">
        <v>32.758453261010054</v>
      </c>
      <c r="H334" s="14">
        <f t="shared" si="92"/>
        <v>75180.650234018074</v>
      </c>
      <c r="I334" s="12">
        <v>38.583624084164171</v>
      </c>
      <c r="J334" s="12">
        <v>13.635862116018519</v>
      </c>
      <c r="K334" s="12">
        <v>30.249204355107729</v>
      </c>
      <c r="L334" s="12">
        <v>48.440151811463586</v>
      </c>
      <c r="M334" s="12">
        <v>32.73826687541635</v>
      </c>
      <c r="N334" s="12">
        <v>9.9681056013492206</v>
      </c>
      <c r="O334" s="12">
        <v>22.615943381585616</v>
      </c>
      <c r="P334" s="12">
        <v>38.820111659269088</v>
      </c>
      <c r="Q334" s="12">
        <v>785.34279600701313</v>
      </c>
      <c r="R334" s="15">
        <v>45.403550702759134</v>
      </c>
      <c r="S334" s="15">
        <v>1046.2278874080328</v>
      </c>
      <c r="T334" s="15">
        <v>1230.5656738912917</v>
      </c>
      <c r="U334" s="12">
        <v>52.385700526904373</v>
      </c>
      <c r="V334" s="12">
        <v>11.833598147220084</v>
      </c>
      <c r="W334" s="12">
        <v>74.639681254981184</v>
      </c>
      <c r="X334" s="12">
        <v>83.075781219189864</v>
      </c>
      <c r="Y334" s="12">
        <v>42.087033489088483</v>
      </c>
      <c r="Z334" s="12">
        <v>21.244996116234866</v>
      </c>
      <c r="AA334" s="12">
        <v>6.5182423831604055</v>
      </c>
      <c r="AB334" s="12">
        <v>45.275436286977559</v>
      </c>
      <c r="AC334" s="12">
        <v>39.008094356903221</v>
      </c>
      <c r="AD334" s="12">
        <v>15.849499934370584</v>
      </c>
      <c r="AE334" s="12">
        <v>26.624374187325778</v>
      </c>
      <c r="AF334" s="12">
        <v>46.321579895749927</v>
      </c>
      <c r="AG334" s="12">
        <v>1293.2841328001168</v>
      </c>
      <c r="AH334" s="12">
        <v>78.762493007612449</v>
      </c>
      <c r="AI334" s="12">
        <v>2667.4423146236904</v>
      </c>
      <c r="AJ334" s="12">
        <v>2918.7541078975642</v>
      </c>
      <c r="AK334" s="12">
        <v>1634.703456121742</v>
      </c>
      <c r="AL334" s="12">
        <v>831.87195337197772</v>
      </c>
      <c r="AM334" s="12">
        <v>966.26432322087339</v>
      </c>
      <c r="AN334" s="12">
        <v>1691.8114187423234</v>
      </c>
      <c r="AP334" s="12">
        <f t="shared" si="84"/>
        <v>1.478706928727868</v>
      </c>
      <c r="AQ334" s="12">
        <f t="shared" si="85"/>
        <v>1.1850410442141899</v>
      </c>
      <c r="AR334" s="12">
        <f t="shared" si="72"/>
        <v>2.5360104934523502</v>
      </c>
      <c r="AS334" s="12">
        <f t="shared" si="73"/>
        <v>1.3820993294840798</v>
      </c>
      <c r="AT334" s="12">
        <f t="shared" si="74"/>
        <v>1.4140344028661163</v>
      </c>
      <c r="AU334" s="12">
        <f t="shared" si="86"/>
        <v>0.79652153515821922</v>
      </c>
      <c r="AV334" s="12">
        <f t="shared" si="87"/>
        <v>0.2814991614619905</v>
      </c>
      <c r="AW334" s="12">
        <f t="shared" si="88"/>
        <v>0.62446551515449866</v>
      </c>
      <c r="AX334" s="12">
        <f t="shared" si="89"/>
        <v>0.84333263033259276</v>
      </c>
      <c r="AY334" s="12">
        <f t="shared" si="90"/>
        <v>0.25677684002666007</v>
      </c>
      <c r="AZ334" s="12">
        <f t="shared" si="91"/>
        <v>0.58258316153466294</v>
      </c>
      <c r="BA334" s="12">
        <f t="shared" si="75"/>
        <v>0.63057728447582362</v>
      </c>
      <c r="BB334" s="12">
        <f t="shared" si="76"/>
        <v>0.14244341700498644</v>
      </c>
      <c r="BC334" s="12">
        <f t="shared" si="77"/>
        <v>0.89845295656082247</v>
      </c>
      <c r="BD334" s="12">
        <f t="shared" si="78"/>
        <v>0.92957764608430404</v>
      </c>
      <c r="BE334" s="12">
        <f t="shared" si="79"/>
        <v>0.46923890432714621</v>
      </c>
      <c r="BF334" s="12">
        <f t="shared" si="80"/>
        <v>0.14396862664877794</v>
      </c>
      <c r="BG334" s="12">
        <f t="shared" si="81"/>
        <v>0.84211493745882082</v>
      </c>
      <c r="BH334" s="12">
        <f t="shared" si="82"/>
        <v>0.34216233492124043</v>
      </c>
      <c r="BI334" s="12">
        <f t="shared" si="83"/>
        <v>0.57477258433857092</v>
      </c>
    </row>
    <row r="335" spans="1:61" x14ac:dyDescent="0.55000000000000004">
      <c r="A335" s="12" t="s">
        <v>833</v>
      </c>
      <c r="B335" s="12" t="s">
        <v>834</v>
      </c>
      <c r="C335" s="12" t="s">
        <v>322</v>
      </c>
      <c r="D335" s="12" t="s">
        <v>9</v>
      </c>
      <c r="E335" s="12">
        <v>2501</v>
      </c>
      <c r="F335" s="12">
        <v>68.555933452957177</v>
      </c>
      <c r="G335" s="12">
        <v>34.454249731033677</v>
      </c>
      <c r="H335" s="14">
        <f t="shared" si="92"/>
        <v>86170.078577315231</v>
      </c>
      <c r="I335" s="12">
        <v>47.707106875634921</v>
      </c>
      <c r="J335" s="12">
        <v>10.581846590262311</v>
      </c>
      <c r="K335" s="12">
        <v>31.703436784087224</v>
      </c>
      <c r="L335" s="12">
        <v>50.177302624950094</v>
      </c>
      <c r="M335" s="12">
        <v>28.884263143910665</v>
      </c>
      <c r="N335" s="12">
        <v>10.21907005748079</v>
      </c>
      <c r="O335" s="12">
        <v>21.341335890262929</v>
      </c>
      <c r="P335" s="12">
        <v>33.363481275682659</v>
      </c>
      <c r="Q335" s="12">
        <v>486.10499522011116</v>
      </c>
      <c r="R335" s="15">
        <v>177.80995597809954</v>
      </c>
      <c r="S335" s="15">
        <v>1311.8943001898238</v>
      </c>
      <c r="T335" s="15">
        <v>1314.2305455129219</v>
      </c>
      <c r="U335" s="12">
        <v>26.352735641044713</v>
      </c>
      <c r="V335" s="12">
        <v>7.1390879003567402</v>
      </c>
      <c r="W335" s="12">
        <v>48.237101286255893</v>
      </c>
      <c r="X335" s="12">
        <v>51.248088833319699</v>
      </c>
      <c r="Y335" s="12">
        <v>29.236937358181635</v>
      </c>
      <c r="Z335" s="12">
        <v>18.785953057103779</v>
      </c>
      <c r="AA335" s="12">
        <v>15.206190243181194</v>
      </c>
      <c r="AB335" s="12">
        <v>34.629269914773765</v>
      </c>
      <c r="AC335" s="12">
        <v>31.678704923202911</v>
      </c>
      <c r="AD335" s="12">
        <v>17.433675645012226</v>
      </c>
      <c r="AE335" s="12">
        <v>26.983073266386352</v>
      </c>
      <c r="AF335" s="12">
        <v>43.830453263637388</v>
      </c>
      <c r="AG335" s="12">
        <v>664.94847469071578</v>
      </c>
      <c r="AH335" s="12">
        <v>360.01984421861778</v>
      </c>
      <c r="AI335" s="12">
        <v>1695.9777621527221</v>
      </c>
      <c r="AJ335" s="12">
        <v>1787.6084210924473</v>
      </c>
      <c r="AK335" s="12">
        <v>1483.6479373236498</v>
      </c>
      <c r="AL335" s="12">
        <v>1600.6323084520184</v>
      </c>
      <c r="AM335" s="12">
        <v>1717.5554547130926</v>
      </c>
      <c r="AN335" s="12">
        <v>2185.9039950531014</v>
      </c>
      <c r="AP335" s="12">
        <f t="shared" si="84"/>
        <v>1.4563458213909191</v>
      </c>
      <c r="AQ335" s="12">
        <f t="shared" si="85"/>
        <v>0.96834154091683677</v>
      </c>
      <c r="AR335" s="12">
        <f t="shared" si="72"/>
        <v>1.487424315821321</v>
      </c>
      <c r="AS335" s="12">
        <f t="shared" si="73"/>
        <v>1.0050797850804003</v>
      </c>
      <c r="AT335" s="12">
        <f t="shared" si="74"/>
        <v>1.2721348920902018</v>
      </c>
      <c r="AU335" s="12">
        <f t="shared" si="86"/>
        <v>0.95077065485606838</v>
      </c>
      <c r="AV335" s="12">
        <f t="shared" si="87"/>
        <v>0.21088910795696314</v>
      </c>
      <c r="AW335" s="12">
        <f t="shared" si="88"/>
        <v>0.63182823957386358</v>
      </c>
      <c r="AX335" s="12">
        <f t="shared" si="89"/>
        <v>0.86574488151400675</v>
      </c>
      <c r="AY335" s="12">
        <f t="shared" si="90"/>
        <v>0.30629507673496509</v>
      </c>
      <c r="AZ335" s="12">
        <f t="shared" si="91"/>
        <v>0.63966154232885153</v>
      </c>
      <c r="BA335" s="12">
        <f t="shared" si="75"/>
        <v>0.51421889559149947</v>
      </c>
      <c r="BB335" s="12">
        <f t="shared" si="76"/>
        <v>0.13930447091551162</v>
      </c>
      <c r="BC335" s="12">
        <f t="shared" si="77"/>
        <v>0.94124683250419738</v>
      </c>
      <c r="BD335" s="12">
        <f t="shared" si="78"/>
        <v>0.84428396642888459</v>
      </c>
      <c r="BE335" s="12">
        <f t="shared" si="79"/>
        <v>0.54248770197402263</v>
      </c>
      <c r="BF335" s="12">
        <f t="shared" si="80"/>
        <v>0.4391137982580981</v>
      </c>
      <c r="BG335" s="12">
        <f t="shared" si="81"/>
        <v>0.72275558577178101</v>
      </c>
      <c r="BH335" s="12">
        <f t="shared" si="82"/>
        <v>0.39775257490835825</v>
      </c>
      <c r="BI335" s="12">
        <f t="shared" si="83"/>
        <v>0.61562387009974284</v>
      </c>
    </row>
    <row r="336" spans="1:61" x14ac:dyDescent="0.55000000000000004">
      <c r="A336" s="12" t="s">
        <v>835</v>
      </c>
      <c r="B336" s="12" t="s">
        <v>836</v>
      </c>
      <c r="C336" s="12" t="s">
        <v>322</v>
      </c>
      <c r="D336" s="12" t="s">
        <v>9</v>
      </c>
      <c r="E336" s="12">
        <v>2093</v>
      </c>
      <c r="F336" s="12">
        <v>66.165557990014392</v>
      </c>
      <c r="G336" s="12">
        <v>39.039173436728746</v>
      </c>
      <c r="H336" s="14">
        <f t="shared" si="92"/>
        <v>81708.990003073268</v>
      </c>
      <c r="I336" s="12">
        <v>35.03189172910885</v>
      </c>
      <c r="J336" s="12">
        <v>14.742357779931362</v>
      </c>
      <c r="K336" s="12">
        <v>30.556116339255521</v>
      </c>
      <c r="L336" s="12">
        <v>46.480921307202443</v>
      </c>
      <c r="M336" s="12">
        <v>38.55251867026341</v>
      </c>
      <c r="N336" s="12">
        <v>13.062199191439088</v>
      </c>
      <c r="O336" s="12">
        <v>13.388650343043514</v>
      </c>
      <c r="P336" s="12">
        <v>41.135214352063151</v>
      </c>
      <c r="Q336" s="12">
        <v>512.3938874095893</v>
      </c>
      <c r="R336" s="15">
        <v>268.52971539895032</v>
      </c>
      <c r="S336" s="15">
        <v>1283.0851812823967</v>
      </c>
      <c r="T336" s="15">
        <v>1353.7685813454068</v>
      </c>
      <c r="U336" s="12">
        <v>40.838665071258475</v>
      </c>
      <c r="V336" s="12">
        <v>8.2365941970643881</v>
      </c>
      <c r="W336" s="12">
        <v>49.924409425896208</v>
      </c>
      <c r="X336" s="12">
        <v>56.102864441692603</v>
      </c>
      <c r="Y336" s="12">
        <v>30.003099524001659</v>
      </c>
      <c r="Z336" s="12">
        <v>16.536602018268056</v>
      </c>
      <c r="AA336" s="12">
        <v>11.95383223929878</v>
      </c>
      <c r="AB336" s="12">
        <v>34.214867971241418</v>
      </c>
      <c r="AC336" s="12">
        <v>58.063579217288925</v>
      </c>
      <c r="AD336" s="12">
        <v>15.868064032436505</v>
      </c>
      <c r="AE336" s="12">
        <v>29.780398966110077</v>
      </c>
      <c r="AF336" s="12">
        <v>63.783652032676962</v>
      </c>
      <c r="AG336" s="12">
        <v>824.59495178364011</v>
      </c>
      <c r="AH336" s="12">
        <v>508.7382999471784</v>
      </c>
      <c r="AI336" s="12">
        <v>1778.147916578057</v>
      </c>
      <c r="AJ336" s="12">
        <v>1956.5043421183177</v>
      </c>
      <c r="AK336" s="12">
        <v>1466.813001488036</v>
      </c>
      <c r="AL336" s="12">
        <v>2512.2504693289575</v>
      </c>
      <c r="AM336" s="12">
        <v>745.38071880454368</v>
      </c>
      <c r="AN336" s="12">
        <v>2527.1542254856199</v>
      </c>
      <c r="AP336" s="12">
        <f t="shared" si="84"/>
        <v>1.1906225776663697</v>
      </c>
      <c r="AQ336" s="12">
        <f t="shared" si="85"/>
        <v>1.0536907093776329</v>
      </c>
      <c r="AR336" s="12">
        <f t="shared" si="72"/>
        <v>1.437091503297814</v>
      </c>
      <c r="AS336" s="12">
        <f t="shared" si="73"/>
        <v>0.87642398542822286</v>
      </c>
      <c r="AT336" s="12">
        <f t="shared" si="74"/>
        <v>1.633837154263829</v>
      </c>
      <c r="AU336" s="12">
        <f t="shared" si="86"/>
        <v>0.75368324774751161</v>
      </c>
      <c r="AV336" s="12">
        <f t="shared" si="87"/>
        <v>0.31717008538828084</v>
      </c>
      <c r="AW336" s="12">
        <f t="shared" si="88"/>
        <v>0.65739050517745878</v>
      </c>
      <c r="AX336" s="12">
        <f t="shared" si="89"/>
        <v>0.93721448344245217</v>
      </c>
      <c r="AY336" s="12">
        <f t="shared" si="90"/>
        <v>0.31754299563492971</v>
      </c>
      <c r="AZ336" s="12">
        <f t="shared" si="91"/>
        <v>0.32547904645529097</v>
      </c>
      <c r="BA336" s="12">
        <f t="shared" si="75"/>
        <v>0.72792477670550804</v>
      </c>
      <c r="BB336" s="12">
        <f t="shared" si="76"/>
        <v>0.14681236473450718</v>
      </c>
      <c r="BC336" s="12">
        <f t="shared" si="77"/>
        <v>0.88987273506832032</v>
      </c>
      <c r="BD336" s="12">
        <f t="shared" si="78"/>
        <v>0.87690239077409649</v>
      </c>
      <c r="BE336" s="12">
        <f t="shared" si="79"/>
        <v>0.48331625982504289</v>
      </c>
      <c r="BF336" s="12">
        <f t="shared" si="80"/>
        <v>0.34937537240670696</v>
      </c>
      <c r="BG336" s="12">
        <f t="shared" si="81"/>
        <v>0.91032070706052404</v>
      </c>
      <c r="BH336" s="12">
        <f t="shared" si="82"/>
        <v>0.24877948387632537</v>
      </c>
      <c r="BI336" s="12">
        <f t="shared" si="83"/>
        <v>0.46689704990321501</v>
      </c>
    </row>
    <row r="337" spans="1:61" x14ac:dyDescent="0.55000000000000004">
      <c r="A337" s="12" t="s">
        <v>837</v>
      </c>
      <c r="B337" s="12" t="s">
        <v>838</v>
      </c>
      <c r="C337" s="12" t="s">
        <v>322</v>
      </c>
      <c r="D337" s="12" t="s">
        <v>9</v>
      </c>
      <c r="E337" s="12">
        <v>2129</v>
      </c>
      <c r="F337" s="12">
        <v>68.533192121732284</v>
      </c>
      <c r="G337" s="12">
        <v>49.193533787974367</v>
      </c>
      <c r="H337" s="14">
        <f t="shared" si="92"/>
        <v>104733.03343459743</v>
      </c>
      <c r="I337" s="12">
        <v>34.844013742729011</v>
      </c>
      <c r="J337" s="12">
        <v>23.849866245722794</v>
      </c>
      <c r="K337" s="12">
        <v>24.084482754022616</v>
      </c>
      <c r="L337" s="12">
        <v>45.34909029781366</v>
      </c>
      <c r="M337" s="12">
        <v>37.362265427846651</v>
      </c>
      <c r="N337" s="12">
        <v>18.011379864221556</v>
      </c>
      <c r="O337" s="12">
        <v>8.6791933818104745</v>
      </c>
      <c r="P337" s="12">
        <v>41.557270800425471</v>
      </c>
      <c r="Q337" s="12">
        <v>327.52473707965663</v>
      </c>
      <c r="R337" s="15">
        <v>37.409432631029667</v>
      </c>
      <c r="S337" s="15">
        <v>1126.5840364190915</v>
      </c>
      <c r="T337" s="15">
        <v>1127.3001488734876</v>
      </c>
      <c r="U337" s="12">
        <v>33.150446601040763</v>
      </c>
      <c r="V337" s="12">
        <v>19.615858750429251</v>
      </c>
      <c r="W337" s="12">
        <v>41.467289428849995</v>
      </c>
      <c r="X337" s="12">
        <v>54.012750073258381</v>
      </c>
      <c r="Y337" s="12">
        <v>31.928753047334197</v>
      </c>
      <c r="Z337" s="12">
        <v>31.414963346656574</v>
      </c>
      <c r="AA337" s="12">
        <v>16.572352483923368</v>
      </c>
      <c r="AB337" s="12">
        <v>40.413714917363755</v>
      </c>
      <c r="AC337" s="12">
        <v>34.540549854661379</v>
      </c>
      <c r="AD337" s="12">
        <v>32.466512077468764</v>
      </c>
      <c r="AE337" s="12">
        <v>40.057355343500888</v>
      </c>
      <c r="AF337" s="12">
        <v>52.351444097703876</v>
      </c>
      <c r="AG337" s="12">
        <v>1058.8239212259753</v>
      </c>
      <c r="AH337" s="12">
        <v>85.723688784164636</v>
      </c>
      <c r="AI337" s="12">
        <v>1828.1663932092374</v>
      </c>
      <c r="AJ337" s="12">
        <v>2076.4752604102587</v>
      </c>
      <c r="AK337" s="12">
        <v>2381.939415653268</v>
      </c>
      <c r="AL337" s="12">
        <v>2357.2288362408235</v>
      </c>
      <c r="AM337" s="12">
        <v>661.9695917349286</v>
      </c>
      <c r="AN337" s="12">
        <v>3279.7733906309204</v>
      </c>
      <c r="AP337" s="12">
        <f t="shared" si="84"/>
        <v>0.92185063372901044</v>
      </c>
      <c r="AQ337" s="12">
        <f t="shared" si="85"/>
        <v>0.84477100139905736</v>
      </c>
      <c r="AR337" s="12">
        <f t="shared" si="72"/>
        <v>1.0979644256916972</v>
      </c>
      <c r="AS337" s="12">
        <f t="shared" si="73"/>
        <v>0.82152494048400959</v>
      </c>
      <c r="AT337" s="12">
        <f t="shared" si="74"/>
        <v>1.0641936056746848</v>
      </c>
      <c r="AU337" s="12">
        <f t="shared" si="86"/>
        <v>0.7683508867301112</v>
      </c>
      <c r="AV337" s="12">
        <f t="shared" si="87"/>
        <v>0.52591719236477441</v>
      </c>
      <c r="AW337" s="12">
        <f t="shared" si="88"/>
        <v>0.5310907582898915</v>
      </c>
      <c r="AX337" s="12">
        <f t="shared" si="89"/>
        <v>0.89905483945938358</v>
      </c>
      <c r="AY337" s="12">
        <f t="shared" si="90"/>
        <v>0.43341103776326795</v>
      </c>
      <c r="AZ337" s="12">
        <f t="shared" si="91"/>
        <v>0.20884897431045005</v>
      </c>
      <c r="BA337" s="12">
        <f t="shared" si="75"/>
        <v>0.61375224472144574</v>
      </c>
      <c r="BB337" s="12">
        <f t="shared" si="76"/>
        <v>0.36317089435038835</v>
      </c>
      <c r="BC337" s="12">
        <f t="shared" si="77"/>
        <v>0.76773149622278491</v>
      </c>
      <c r="BD337" s="12">
        <f t="shared" si="78"/>
        <v>0.79004746563439543</v>
      </c>
      <c r="BE337" s="12">
        <f t="shared" si="79"/>
        <v>0.77733421465689445</v>
      </c>
      <c r="BF337" s="12">
        <f t="shared" si="80"/>
        <v>0.41006753568212695</v>
      </c>
      <c r="BG337" s="12">
        <f t="shared" si="81"/>
        <v>0.65978217888694923</v>
      </c>
      <c r="BH337" s="12">
        <f t="shared" si="82"/>
        <v>0.62016459406308411</v>
      </c>
      <c r="BI337" s="12">
        <f t="shared" si="83"/>
        <v>0.76516237582179314</v>
      </c>
    </row>
    <row r="338" spans="1:61" x14ac:dyDescent="0.55000000000000004">
      <c r="A338" s="12" t="s">
        <v>839</v>
      </c>
      <c r="B338" s="12" t="s">
        <v>840</v>
      </c>
      <c r="C338" s="12" t="s">
        <v>515</v>
      </c>
      <c r="D338" s="12" t="s">
        <v>9</v>
      </c>
      <c r="E338" s="12">
        <v>2566</v>
      </c>
      <c r="F338" s="12">
        <v>67.178254933377005</v>
      </c>
      <c r="G338" s="12">
        <v>31.414403817021022</v>
      </c>
      <c r="H338" s="14">
        <f t="shared" si="92"/>
        <v>80609.360194475943</v>
      </c>
      <c r="I338" s="12">
        <v>31.088403339198276</v>
      </c>
      <c r="J338" s="12">
        <v>18.081801516214512</v>
      </c>
      <c r="K338" s="12">
        <v>21.394999027378596</v>
      </c>
      <c r="L338" s="12">
        <v>38.825140430984007</v>
      </c>
      <c r="M338" s="12">
        <v>27.670732497937522</v>
      </c>
      <c r="N338" s="12">
        <v>11.664257056364212</v>
      </c>
      <c r="O338" s="12">
        <v>11.969740906023645</v>
      </c>
      <c r="P338" s="12">
        <v>31.927849854376436</v>
      </c>
      <c r="Q338" s="12">
        <v>680.53696918730793</v>
      </c>
      <c r="R338" s="15">
        <v>54.356731987170434</v>
      </c>
      <c r="S338" s="15">
        <v>530.66995847815247</v>
      </c>
      <c r="T338" s="15">
        <v>718.85059388305092</v>
      </c>
      <c r="U338" s="12">
        <v>58.229789708768507</v>
      </c>
      <c r="V338" s="12">
        <v>27.484650963670841</v>
      </c>
      <c r="W338" s="12">
        <v>60.711897506065512</v>
      </c>
      <c r="X338" s="12">
        <v>81.269647572433129</v>
      </c>
      <c r="Y338" s="12">
        <v>36.253767421139777</v>
      </c>
      <c r="Z338" s="12">
        <v>32.514757288125864</v>
      </c>
      <c r="AA338" s="12">
        <v>15.934969840911332</v>
      </c>
      <c r="AB338" s="12">
        <v>45.648383925301388</v>
      </c>
      <c r="AC338" s="12">
        <v>43.146179255068397</v>
      </c>
      <c r="AD338" s="12">
        <v>13.537873899523209</v>
      </c>
      <c r="AE338" s="12">
        <v>23.550738181505263</v>
      </c>
      <c r="AF338" s="12">
        <v>47.074398599618007</v>
      </c>
      <c r="AG338" s="12">
        <v>1260.7921393790521</v>
      </c>
      <c r="AH338" s="12">
        <v>790.59520087432031</v>
      </c>
      <c r="AI338" s="12">
        <v>3374.0442907010743</v>
      </c>
      <c r="AJ338" s="12">
        <v>3568.3091595654791</v>
      </c>
      <c r="AK338" s="12">
        <v>5944.4544215485967</v>
      </c>
      <c r="AL338" s="12">
        <v>954.05596824024451</v>
      </c>
      <c r="AM338" s="12">
        <v>2159.4652371273178</v>
      </c>
      <c r="AN338" s="12">
        <v>6157.9378291254498</v>
      </c>
      <c r="AP338" s="12">
        <f t="shared" si="84"/>
        <v>1.2359025069241545</v>
      </c>
      <c r="AQ338" s="12">
        <f t="shared" si="85"/>
        <v>1.0163442871730457</v>
      </c>
      <c r="AR338" s="12">
        <f t="shared" si="72"/>
        <v>2.5870186187776523</v>
      </c>
      <c r="AS338" s="12">
        <f t="shared" si="73"/>
        <v>1.4531036205935597</v>
      </c>
      <c r="AT338" s="12">
        <f t="shared" si="74"/>
        <v>1.4984972776759193</v>
      </c>
      <c r="AU338" s="12">
        <f t="shared" si="86"/>
        <v>0.80072867719464813</v>
      </c>
      <c r="AV338" s="12">
        <f t="shared" si="87"/>
        <v>0.46572404672577861</v>
      </c>
      <c r="AW338" s="12">
        <f t="shared" si="88"/>
        <v>0.55106044150466316</v>
      </c>
      <c r="AX338" s="12">
        <f t="shared" si="89"/>
        <v>0.86666445201115283</v>
      </c>
      <c r="AY338" s="12">
        <f t="shared" si="90"/>
        <v>0.36533174358953463</v>
      </c>
      <c r="AZ338" s="12">
        <f t="shared" si="91"/>
        <v>0.37489968665656703</v>
      </c>
      <c r="BA338" s="12">
        <f t="shared" si="75"/>
        <v>0.71650107325579449</v>
      </c>
      <c r="BB338" s="12">
        <f t="shared" si="76"/>
        <v>0.33819084719390002</v>
      </c>
      <c r="BC338" s="12">
        <f t="shared" si="77"/>
        <v>0.74704270683535168</v>
      </c>
      <c r="BD338" s="12">
        <f t="shared" si="78"/>
        <v>0.79419607669934433</v>
      </c>
      <c r="BE338" s="12">
        <f t="shared" si="79"/>
        <v>0.7122871499970892</v>
      </c>
      <c r="BF338" s="12">
        <f t="shared" si="80"/>
        <v>0.34908070057829815</v>
      </c>
      <c r="BG338" s="12">
        <f t="shared" si="81"/>
        <v>0.91655295741618914</v>
      </c>
      <c r="BH338" s="12">
        <f t="shared" si="82"/>
        <v>0.28758463840753273</v>
      </c>
      <c r="BI338" s="12">
        <f t="shared" si="83"/>
        <v>0.50028760604700262</v>
      </c>
    </row>
    <row r="339" spans="1:61" x14ac:dyDescent="0.55000000000000004">
      <c r="A339" s="12" t="s">
        <v>841</v>
      </c>
      <c r="B339" s="12" t="s">
        <v>842</v>
      </c>
      <c r="C339" s="12" t="s">
        <v>322</v>
      </c>
      <c r="D339" s="12" t="s">
        <v>9</v>
      </c>
      <c r="E339" s="12">
        <v>2343</v>
      </c>
      <c r="F339" s="12">
        <v>67.163798919507343</v>
      </c>
      <c r="G339" s="12">
        <v>35.432507203586226</v>
      </c>
      <c r="H339" s="14">
        <f t="shared" si="92"/>
        <v>83018.36437800253</v>
      </c>
      <c r="I339" s="12">
        <v>58.541213997632035</v>
      </c>
      <c r="J339" s="12">
        <v>9.2694911006401934</v>
      </c>
      <c r="K339" s="12">
        <v>21.477222168571537</v>
      </c>
      <c r="L339" s="12">
        <v>61.873189519986546</v>
      </c>
      <c r="M339" s="12">
        <v>36.165393402858101</v>
      </c>
      <c r="N339" s="12">
        <v>8.3493513680328952</v>
      </c>
      <c r="O339" s="12">
        <v>13.467989394003983</v>
      </c>
      <c r="P339" s="12">
        <v>37.197982755279241</v>
      </c>
      <c r="Q339" s="12">
        <v>760.50250997849537</v>
      </c>
      <c r="R339" s="15">
        <v>11.117944481205233</v>
      </c>
      <c r="S339" s="15">
        <v>942.70201568422829</v>
      </c>
      <c r="T339" s="15">
        <v>1099.1961841796749</v>
      </c>
      <c r="U339" s="12">
        <v>44.926048677842815</v>
      </c>
      <c r="V339" s="12">
        <v>14.958471872886706</v>
      </c>
      <c r="W339" s="12">
        <v>79.739551993569378</v>
      </c>
      <c r="X339" s="12">
        <v>88.785370644246512</v>
      </c>
      <c r="Y339" s="12">
        <v>42.721390347031601</v>
      </c>
      <c r="Z339" s="12">
        <v>18.869549404452062</v>
      </c>
      <c r="AA339" s="12">
        <v>15.138576639725725</v>
      </c>
      <c r="AB339" s="12">
        <v>47.030362918006119</v>
      </c>
      <c r="AC339" s="12">
        <v>42.912262709186727</v>
      </c>
      <c r="AD339" s="12">
        <v>13.712689212995224</v>
      </c>
      <c r="AE339" s="12">
        <v>23.456765121301316</v>
      </c>
      <c r="AF339" s="12">
        <v>47.049390550150051</v>
      </c>
      <c r="AG339" s="12">
        <v>1347.8020488407169</v>
      </c>
      <c r="AH339" s="12">
        <v>228.77238310736436</v>
      </c>
      <c r="AI339" s="12">
        <v>2889.6307318992222</v>
      </c>
      <c r="AJ339" s="12">
        <v>3170.2206607229946</v>
      </c>
      <c r="AK339" s="12">
        <v>1214.3168302657823</v>
      </c>
      <c r="AL339" s="12">
        <v>725.19532103527354</v>
      </c>
      <c r="AM339" s="12">
        <v>1193.8185597674287</v>
      </c>
      <c r="AN339" s="12">
        <v>1465.0772143296658</v>
      </c>
      <c r="AP339" s="12">
        <f t="shared" si="84"/>
        <v>1.7462266828728445</v>
      </c>
      <c r="AQ339" s="12">
        <f t="shared" si="85"/>
        <v>1.0498264359772522</v>
      </c>
      <c r="AR339" s="12">
        <f t="shared" si="72"/>
        <v>2.5057603215631405</v>
      </c>
      <c r="AS339" s="12">
        <f t="shared" si="73"/>
        <v>1.3273224682572291</v>
      </c>
      <c r="AT339" s="12">
        <f t="shared" si="74"/>
        <v>1.3278594788626203</v>
      </c>
      <c r="AU339" s="12">
        <f t="shared" si="86"/>
        <v>0.94614831483225537</v>
      </c>
      <c r="AV339" s="12">
        <f t="shared" si="87"/>
        <v>0.14981434079207961</v>
      </c>
      <c r="AW339" s="12">
        <f t="shared" si="88"/>
        <v>0.34711677764137033</v>
      </c>
      <c r="AX339" s="12">
        <f t="shared" si="89"/>
        <v>0.97224071640619836</v>
      </c>
      <c r="AY339" s="12">
        <f t="shared" si="90"/>
        <v>0.22445710088534121</v>
      </c>
      <c r="AZ339" s="12">
        <f t="shared" si="91"/>
        <v>0.36206235920394281</v>
      </c>
      <c r="BA339" s="12">
        <f t="shared" si="75"/>
        <v>0.50600733377412688</v>
      </c>
      <c r="BB339" s="12">
        <f t="shared" si="76"/>
        <v>0.16847901590481279</v>
      </c>
      <c r="BC339" s="12">
        <f t="shared" si="77"/>
        <v>0.89811588795497899</v>
      </c>
      <c r="BD339" s="12">
        <f t="shared" si="78"/>
        <v>0.90837892153869015</v>
      </c>
      <c r="BE339" s="12">
        <f t="shared" si="79"/>
        <v>0.40122057823261315</v>
      </c>
      <c r="BF339" s="12">
        <f t="shared" si="80"/>
        <v>0.32188942845537233</v>
      </c>
      <c r="BG339" s="12">
        <f t="shared" si="81"/>
        <v>0.91206840742063278</v>
      </c>
      <c r="BH339" s="12">
        <f t="shared" si="82"/>
        <v>0.29145306777946123</v>
      </c>
      <c r="BI339" s="12">
        <f t="shared" si="83"/>
        <v>0.49855619482039193</v>
      </c>
    </row>
    <row r="340" spans="1:61" x14ac:dyDescent="0.55000000000000004">
      <c r="A340" s="12" t="s">
        <v>843</v>
      </c>
      <c r="B340" s="12" t="s">
        <v>844</v>
      </c>
      <c r="C340" s="12" t="s">
        <v>515</v>
      </c>
      <c r="D340" s="12" t="s">
        <v>9</v>
      </c>
      <c r="E340" s="12">
        <v>1878</v>
      </c>
      <c r="F340" s="12">
        <v>68.272380376662298</v>
      </c>
      <c r="G340" s="12">
        <v>35.766059525755189</v>
      </c>
      <c r="H340" s="14">
        <f t="shared" si="92"/>
        <v>67168.659789368248</v>
      </c>
      <c r="I340" s="12">
        <v>33.502710938516373</v>
      </c>
      <c r="J340" s="12">
        <v>8.5448758026673488</v>
      </c>
      <c r="K340" s="12">
        <v>28.806424005914565</v>
      </c>
      <c r="L340" s="12">
        <v>41.083774832303874</v>
      </c>
      <c r="M340" s="12">
        <v>31.840197385870781</v>
      </c>
      <c r="N340" s="12">
        <v>9.829999760454271</v>
      </c>
      <c r="O340" s="12">
        <v>17.174812681266403</v>
      </c>
      <c r="P340" s="12">
        <v>33.633788819341248</v>
      </c>
      <c r="Q340" s="12">
        <v>542.66678811186193</v>
      </c>
      <c r="R340" s="15">
        <v>111.13679906418814</v>
      </c>
      <c r="S340" s="15">
        <v>967.42509477981264</v>
      </c>
      <c r="T340" s="15">
        <v>975.32172061912104</v>
      </c>
      <c r="U340" s="12">
        <v>64.10255314871425</v>
      </c>
      <c r="V340" s="12">
        <v>13.556569611403447</v>
      </c>
      <c r="W340" s="12">
        <v>55.444109043465787</v>
      </c>
      <c r="X340" s="12">
        <v>69.763516053854886</v>
      </c>
      <c r="Y340" s="12">
        <v>30.341081709095373</v>
      </c>
      <c r="Z340" s="12">
        <v>26.281619134984496</v>
      </c>
      <c r="AA340" s="12">
        <v>11.227566397475385</v>
      </c>
      <c r="AB340" s="12">
        <v>39.207104032881325</v>
      </c>
      <c r="AC340" s="12">
        <v>34.307606040449556</v>
      </c>
      <c r="AD340" s="12">
        <v>23.360288764968573</v>
      </c>
      <c r="AE340" s="12">
        <v>28.096431428815897</v>
      </c>
      <c r="AF340" s="12">
        <v>45.99563078585853</v>
      </c>
      <c r="AG340" s="12">
        <v>857.82556593860954</v>
      </c>
      <c r="AH340" s="12">
        <v>729.96205704972033</v>
      </c>
      <c r="AI340" s="12">
        <v>1996.1508267862962</v>
      </c>
      <c r="AJ340" s="12">
        <v>2158.064992782728</v>
      </c>
      <c r="AK340" s="12">
        <v>1210.0309638834592</v>
      </c>
      <c r="AL340" s="12">
        <v>1234.3694009297456</v>
      </c>
      <c r="AM340" s="12">
        <v>1967.4827198298517</v>
      </c>
      <c r="AN340" s="12">
        <v>1974.3893774959383</v>
      </c>
      <c r="AP340" s="12">
        <f t="shared" si="84"/>
        <v>1.1486804914228639</v>
      </c>
      <c r="AQ340" s="12">
        <f t="shared" si="85"/>
        <v>0.94038284522569537</v>
      </c>
      <c r="AR340" s="12">
        <f t="shared" si="72"/>
        <v>1.9505508009239341</v>
      </c>
      <c r="AS340" s="12">
        <f t="shared" si="73"/>
        <v>1.096209774091782</v>
      </c>
      <c r="AT340" s="12">
        <f t="shared" si="74"/>
        <v>1.286013371216838</v>
      </c>
      <c r="AU340" s="12">
        <f t="shared" si="86"/>
        <v>0.81547304441395763</v>
      </c>
      <c r="AV340" s="12">
        <f t="shared" si="87"/>
        <v>0.20798662823817676</v>
      </c>
      <c r="AW340" s="12">
        <f t="shared" si="88"/>
        <v>0.70116302904241123</v>
      </c>
      <c r="AX340" s="12">
        <f t="shared" si="89"/>
        <v>0.94667292932400604</v>
      </c>
      <c r="AY340" s="12">
        <f t="shared" si="90"/>
        <v>0.29226560864892775</v>
      </c>
      <c r="AZ340" s="12">
        <f t="shared" si="91"/>
        <v>0.51064162808175673</v>
      </c>
      <c r="BA340" s="12">
        <f t="shared" si="75"/>
        <v>0.91885496567044334</v>
      </c>
      <c r="BB340" s="12">
        <f t="shared" si="76"/>
        <v>0.19432176556207789</v>
      </c>
      <c r="BC340" s="12">
        <f t="shared" si="77"/>
        <v>0.79474361642932334</v>
      </c>
      <c r="BD340" s="12">
        <f t="shared" si="78"/>
        <v>0.77386694216562391</v>
      </c>
      <c r="BE340" s="12">
        <f t="shared" si="79"/>
        <v>0.67032798731942111</v>
      </c>
      <c r="BF340" s="12">
        <f t="shared" si="80"/>
        <v>0.28636561343728179</v>
      </c>
      <c r="BG340" s="12">
        <f t="shared" si="81"/>
        <v>0.74588836927088109</v>
      </c>
      <c r="BH340" s="12">
        <f t="shared" si="82"/>
        <v>0.50788060443668814</v>
      </c>
      <c r="BI340" s="12">
        <f t="shared" si="83"/>
        <v>0.61085000789801569</v>
      </c>
    </row>
    <row r="341" spans="1:61" x14ac:dyDescent="0.55000000000000004">
      <c r="A341" s="12" t="s">
        <v>845</v>
      </c>
      <c r="B341" s="12" t="s">
        <v>846</v>
      </c>
      <c r="C341" s="12" t="s">
        <v>515</v>
      </c>
      <c r="D341" s="12" t="s">
        <v>9</v>
      </c>
      <c r="E341" s="12">
        <v>2421</v>
      </c>
      <c r="F341" s="12">
        <v>65.724942585453888</v>
      </c>
      <c r="G341" s="12">
        <v>54.165433040132342</v>
      </c>
      <c r="H341" s="14">
        <f t="shared" si="92"/>
        <v>131134.5133901604</v>
      </c>
      <c r="I341" s="12">
        <v>51.964800221763426</v>
      </c>
      <c r="J341" s="12">
        <v>18.115895844673442</v>
      </c>
      <c r="K341" s="12">
        <v>20.14877093416246</v>
      </c>
      <c r="L341" s="12">
        <v>56.394988363449706</v>
      </c>
      <c r="M341" s="12">
        <v>37.16637257449031</v>
      </c>
      <c r="N341" s="12">
        <v>11.052685087045059</v>
      </c>
      <c r="O341" s="12">
        <v>18.698546207814871</v>
      </c>
      <c r="P341" s="12">
        <v>41.045425709982744</v>
      </c>
      <c r="Q341" s="12">
        <v>1095.4975879654221</v>
      </c>
      <c r="R341" s="15">
        <v>385.77982468955884</v>
      </c>
      <c r="S341" s="15">
        <v>1190.9501412631912</v>
      </c>
      <c r="T341" s="15">
        <v>1584.7985873131061</v>
      </c>
      <c r="U341" s="12">
        <v>59.191996398595975</v>
      </c>
      <c r="V341" s="12">
        <v>39.503842174793803</v>
      </c>
      <c r="W341" s="12">
        <v>47.449342069225303</v>
      </c>
      <c r="X341" s="12">
        <v>84.361551747339846</v>
      </c>
      <c r="Y341" s="12">
        <v>28.612016221921412</v>
      </c>
      <c r="Z341" s="12">
        <v>37.233098613535631</v>
      </c>
      <c r="AA341" s="12">
        <v>20.389064065899554</v>
      </c>
      <c r="AB341" s="12">
        <v>44.415740646526544</v>
      </c>
      <c r="AC341" s="12">
        <v>36.932661324669652</v>
      </c>
      <c r="AD341" s="12">
        <v>16.586097047329215</v>
      </c>
      <c r="AE341" s="12">
        <v>25.628043594134084</v>
      </c>
      <c r="AF341" s="12">
        <v>44.084490604595295</v>
      </c>
      <c r="AG341" s="12">
        <v>1653.255448514486</v>
      </c>
      <c r="AH341" s="12">
        <v>492.40504696997846</v>
      </c>
      <c r="AI341" s="12">
        <v>3063.3391103528338</v>
      </c>
      <c r="AJ341" s="12">
        <v>3463.8251457016904</v>
      </c>
      <c r="AK341" s="12">
        <v>1536.9294505390189</v>
      </c>
      <c r="AL341" s="12">
        <v>2801.2200128864461</v>
      </c>
      <c r="AM341" s="12">
        <v>1070.2622876876881</v>
      </c>
      <c r="AN341" s="12">
        <v>3077.0778296215512</v>
      </c>
      <c r="AP341" s="12">
        <f t="shared" si="84"/>
        <v>1.0411619588024974</v>
      </c>
      <c r="AQ341" s="12">
        <f t="shared" si="85"/>
        <v>0.75777896356097252</v>
      </c>
      <c r="AR341" s="12">
        <f t="shared" si="72"/>
        <v>1.557479503299356</v>
      </c>
      <c r="AS341" s="12">
        <f t="shared" si="73"/>
        <v>0.82000157948738195</v>
      </c>
      <c r="AT341" s="12">
        <f t="shared" si="74"/>
        <v>0.81388605481898657</v>
      </c>
      <c r="AU341" s="12">
        <f t="shared" si="86"/>
        <v>0.92144358443457819</v>
      </c>
      <c r="AV341" s="12">
        <f t="shared" si="87"/>
        <v>0.32123237135756871</v>
      </c>
      <c r="AW341" s="12">
        <f t="shared" si="88"/>
        <v>0.35727945902407754</v>
      </c>
      <c r="AX341" s="12">
        <f t="shared" si="89"/>
        <v>0.90549365566577611</v>
      </c>
      <c r="AY341" s="12">
        <f t="shared" si="90"/>
        <v>0.26927933858307901</v>
      </c>
      <c r="AZ341" s="12">
        <f t="shared" si="91"/>
        <v>0.45555737050784584</v>
      </c>
      <c r="BA341" s="12">
        <f t="shared" si="75"/>
        <v>0.70164660526722078</v>
      </c>
      <c r="BB341" s="12">
        <f t="shared" si="76"/>
        <v>0.46826832077611075</v>
      </c>
      <c r="BC341" s="12">
        <f t="shared" si="77"/>
        <v>0.56245222007454965</v>
      </c>
      <c r="BD341" s="12">
        <f t="shared" si="78"/>
        <v>0.64418640341099354</v>
      </c>
      <c r="BE341" s="12">
        <f t="shared" si="79"/>
        <v>0.83828611369666262</v>
      </c>
      <c r="BF341" s="12">
        <f t="shared" si="80"/>
        <v>0.45905041251392587</v>
      </c>
      <c r="BG341" s="12">
        <f t="shared" si="81"/>
        <v>0.83776994625905588</v>
      </c>
      <c r="BH341" s="12">
        <f t="shared" si="82"/>
        <v>0.37623429056023405</v>
      </c>
      <c r="BI341" s="12">
        <f t="shared" si="83"/>
        <v>0.58133922480807021</v>
      </c>
    </row>
    <row r="342" spans="1:61" x14ac:dyDescent="0.55000000000000004">
      <c r="A342" s="12" t="s">
        <v>847</v>
      </c>
      <c r="B342" s="12" t="s">
        <v>848</v>
      </c>
      <c r="C342" s="12" t="s">
        <v>322</v>
      </c>
      <c r="D342" s="12" t="s">
        <v>9</v>
      </c>
      <c r="E342" s="12">
        <v>2199</v>
      </c>
      <c r="F342" s="12">
        <v>66.60789084517836</v>
      </c>
      <c r="G342" s="12">
        <v>40.097654134636308</v>
      </c>
      <c r="H342" s="14">
        <f t="shared" si="92"/>
        <v>88174.741442065235</v>
      </c>
      <c r="I342" s="12">
        <v>39.546418454687078</v>
      </c>
      <c r="J342" s="12">
        <v>8.1921164969706535</v>
      </c>
      <c r="K342" s="12">
        <v>28.554311711183956</v>
      </c>
      <c r="L342" s="12">
        <v>47.766668402626145</v>
      </c>
      <c r="M342" s="12">
        <v>32.192835633602833</v>
      </c>
      <c r="N342" s="12">
        <v>12.589017117962353</v>
      </c>
      <c r="O342" s="12">
        <v>15.296409465936803</v>
      </c>
      <c r="P342" s="12">
        <v>36.085092939465305</v>
      </c>
      <c r="Q342" s="12">
        <v>467.18938879653825</v>
      </c>
      <c r="R342" s="15">
        <v>64.917053077013605</v>
      </c>
      <c r="S342" s="15">
        <v>907.46329685042849</v>
      </c>
      <c r="T342" s="15">
        <v>969.48485955542367</v>
      </c>
      <c r="U342" s="12">
        <v>24.872772293488602</v>
      </c>
      <c r="V342" s="12">
        <v>12.524838150299678</v>
      </c>
      <c r="W342" s="12">
        <v>38.242496182285912</v>
      </c>
      <c r="X342" s="12">
        <v>46.971744444248131</v>
      </c>
      <c r="Y342" s="12">
        <v>25.28402670626425</v>
      </c>
      <c r="Z342" s="12">
        <v>22.328863093730202</v>
      </c>
      <c r="AA342" s="12">
        <v>9.4203984206780351</v>
      </c>
      <c r="AB342" s="12">
        <v>33.29685828178777</v>
      </c>
      <c r="AC342" s="12">
        <v>26.505417770471226</v>
      </c>
      <c r="AD342" s="12">
        <v>17.738465737224679</v>
      </c>
      <c r="AE342" s="12">
        <v>26.113268504728737</v>
      </c>
      <c r="AF342" s="12">
        <v>40.412906164984911</v>
      </c>
      <c r="AG342" s="12">
        <v>788.32581475110317</v>
      </c>
      <c r="AH342" s="12">
        <v>72.483405681681546</v>
      </c>
      <c r="AI342" s="12">
        <v>1430.8589207992491</v>
      </c>
      <c r="AJ342" s="12">
        <v>1626.8275040657027</v>
      </c>
      <c r="AK342" s="12">
        <v>839.85445034233442</v>
      </c>
      <c r="AL342" s="12">
        <v>1674.6863250093065</v>
      </c>
      <c r="AM342" s="12">
        <v>670.69329512093134</v>
      </c>
      <c r="AN342" s="12">
        <v>1719.777465080497</v>
      </c>
      <c r="AP342" s="12">
        <f t="shared" si="84"/>
        <v>1.1912584272945124</v>
      </c>
      <c r="AQ342" s="12">
        <f t="shared" si="85"/>
        <v>0.8999302756790214</v>
      </c>
      <c r="AR342" s="12">
        <f t="shared" si="72"/>
        <v>1.1714337274327975</v>
      </c>
      <c r="AS342" s="12">
        <f t="shared" si="73"/>
        <v>0.83039417143922101</v>
      </c>
      <c r="AT342" s="12">
        <f t="shared" si="74"/>
        <v>1.0078621065783568</v>
      </c>
      <c r="AU342" s="12">
        <f t="shared" si="86"/>
        <v>0.82790824181727674</v>
      </c>
      <c r="AV342" s="12">
        <f t="shared" si="87"/>
        <v>0.17150278156138396</v>
      </c>
      <c r="AW342" s="12">
        <f t="shared" si="88"/>
        <v>0.59778738325434644</v>
      </c>
      <c r="AX342" s="12">
        <f t="shared" si="89"/>
        <v>0.89213669721200539</v>
      </c>
      <c r="AY342" s="12">
        <f t="shared" si="90"/>
        <v>0.34887029774541833</v>
      </c>
      <c r="AZ342" s="12">
        <f t="shared" si="91"/>
        <v>0.4238982976044251</v>
      </c>
      <c r="BA342" s="12">
        <f t="shared" si="75"/>
        <v>0.52952626281552473</v>
      </c>
      <c r="BB342" s="12">
        <f t="shared" si="76"/>
        <v>0.26664622100986057</v>
      </c>
      <c r="BC342" s="12">
        <f t="shared" si="77"/>
        <v>0.81415958965877522</v>
      </c>
      <c r="BD342" s="12">
        <f t="shared" si="78"/>
        <v>0.75935172298504028</v>
      </c>
      <c r="BE342" s="12">
        <f t="shared" si="79"/>
        <v>0.670599697567963</v>
      </c>
      <c r="BF342" s="12">
        <f t="shared" si="80"/>
        <v>0.28292153995293506</v>
      </c>
      <c r="BG342" s="12">
        <f t="shared" si="81"/>
        <v>0.6558651749088118</v>
      </c>
      <c r="BH342" s="12">
        <f t="shared" si="82"/>
        <v>0.43893071349057983</v>
      </c>
      <c r="BI342" s="12">
        <f t="shared" si="83"/>
        <v>0.6461616098115246</v>
      </c>
    </row>
    <row r="343" spans="1:61" x14ac:dyDescent="0.55000000000000004">
      <c r="A343" s="12" t="s">
        <v>849</v>
      </c>
      <c r="B343" s="12" t="s">
        <v>850</v>
      </c>
      <c r="C343" s="12" t="s">
        <v>322</v>
      </c>
      <c r="D343" s="12" t="s">
        <v>9</v>
      </c>
      <c r="E343" s="12">
        <v>2408</v>
      </c>
      <c r="F343" s="12">
        <v>67.246536006205176</v>
      </c>
      <c r="G343" s="12">
        <v>43.00060419383626</v>
      </c>
      <c r="H343" s="14">
        <f t="shared" si="92"/>
        <v>103545.45489875771</v>
      </c>
      <c r="I343" s="12">
        <v>38.420777457352244</v>
      </c>
      <c r="J343" s="12">
        <v>17.153462584452342</v>
      </c>
      <c r="K343" s="12">
        <v>30.929841717276844</v>
      </c>
      <c r="L343" s="12">
        <v>49.899412146300996</v>
      </c>
      <c r="M343" s="12">
        <v>40.429584323698855</v>
      </c>
      <c r="N343" s="12">
        <v>16.604416508314245</v>
      </c>
      <c r="O343" s="12">
        <v>14.499805523711769</v>
      </c>
      <c r="P343" s="12">
        <v>45.502909223699753</v>
      </c>
      <c r="Q343" s="12">
        <v>375.86444975040024</v>
      </c>
      <c r="R343" s="15">
        <v>43.551069115844172</v>
      </c>
      <c r="S343" s="15">
        <v>1255.3958547899074</v>
      </c>
      <c r="T343" s="15">
        <v>1293.7450278243339</v>
      </c>
      <c r="U343" s="12">
        <v>51.408848067448261</v>
      </c>
      <c r="V343" s="12">
        <v>13.288961954278738</v>
      </c>
      <c r="W343" s="12">
        <v>55.809597997862724</v>
      </c>
      <c r="X343" s="12">
        <v>63.568229128461702</v>
      </c>
      <c r="Y343" s="12">
        <v>33.163552903175983</v>
      </c>
      <c r="Z343" s="12">
        <v>25.278923502414496</v>
      </c>
      <c r="AA343" s="12">
        <v>14.789700966490788</v>
      </c>
      <c r="AB343" s="12">
        <v>41.578898647193299</v>
      </c>
      <c r="AC343" s="12">
        <v>40.115683213326108</v>
      </c>
      <c r="AD343" s="12">
        <v>24.753355957792785</v>
      </c>
      <c r="AE343" s="12">
        <v>32.937938681950797</v>
      </c>
      <c r="AF343" s="12">
        <v>55.293210759299221</v>
      </c>
      <c r="AG343" s="12">
        <v>1004.1767924694634</v>
      </c>
      <c r="AH343" s="12">
        <v>608.63654285709549</v>
      </c>
      <c r="AI343" s="12">
        <v>2105.3349694301032</v>
      </c>
      <c r="AJ343" s="12">
        <v>2330.7004833586034</v>
      </c>
      <c r="AK343" s="12">
        <v>585.75906622247862</v>
      </c>
      <c r="AL343" s="12">
        <v>1965.8031148805721</v>
      </c>
      <c r="AM343" s="12">
        <v>1284.9161560074247</v>
      </c>
      <c r="AN343" s="12">
        <v>2000.897620281776</v>
      </c>
      <c r="AP343" s="12">
        <f t="shared" si="84"/>
        <v>1.1604351399660942</v>
      </c>
      <c r="AQ343" s="12">
        <f t="shared" si="85"/>
        <v>1.0581923225679275</v>
      </c>
      <c r="AR343" s="12">
        <f t="shared" ref="AR343:AR374" si="93">X343/G343</f>
        <v>1.4783101381997237</v>
      </c>
      <c r="AS343" s="12">
        <f t="shared" ref="AS343:AS374" si="94">AB343/G343</f>
        <v>0.96693754487182881</v>
      </c>
      <c r="AT343" s="12">
        <f t="shared" ref="AT343:AT374" si="95">AF343/G343</f>
        <v>1.2858705545171152</v>
      </c>
      <c r="AU343" s="12">
        <f t="shared" si="86"/>
        <v>0.76996453073847171</v>
      </c>
      <c r="AV343" s="12">
        <f t="shared" si="87"/>
        <v>0.34376081494026006</v>
      </c>
      <c r="AW343" s="12">
        <f t="shared" si="88"/>
        <v>0.61984380951408957</v>
      </c>
      <c r="AX343" s="12">
        <f t="shared" si="89"/>
        <v>0.88850548269211527</v>
      </c>
      <c r="AY343" s="12">
        <f t="shared" si="90"/>
        <v>0.36490889904828311</v>
      </c>
      <c r="AZ343" s="12">
        <f t="shared" si="91"/>
        <v>0.3186566698939699</v>
      </c>
      <c r="BA343" s="12">
        <f t="shared" ref="BA343:BA374" si="96">U343/$X343</f>
        <v>0.80871921040239791</v>
      </c>
      <c r="BB343" s="12">
        <f t="shared" ref="BB343:BB374" si="97">V343/$X343</f>
        <v>0.20905037211943991</v>
      </c>
      <c r="BC343" s="12">
        <f t="shared" ref="BC343:BC374" si="98">W343/$X343</f>
        <v>0.8779479743738029</v>
      </c>
      <c r="BD343" s="12">
        <f t="shared" ref="BD343:BD374" si="99">Y343/$AB343</f>
        <v>0.79760537152694932</v>
      </c>
      <c r="BE343" s="12">
        <f t="shared" ref="BE343:BE374" si="100">Z343/$AB343</f>
        <v>0.60797482196226715</v>
      </c>
      <c r="BF343" s="12">
        <f t="shared" ref="BF343:BF374" si="101">AA343/$AB343</f>
        <v>0.35570208561763184</v>
      </c>
      <c r="BG343" s="12">
        <f t="shared" ref="BG343:BG374" si="102">AC343/$AF343</f>
        <v>0.72550829771771652</v>
      </c>
      <c r="BH343" s="12">
        <f t="shared" ref="BH343:BH374" si="103">AD343/$AF343</f>
        <v>0.44767441821290438</v>
      </c>
      <c r="BI343" s="12">
        <f t="shared" ref="BI343:BI374" si="104">AE343/$AF343</f>
        <v>0.59569589520375776</v>
      </c>
    </row>
    <row r="344" spans="1:61" x14ac:dyDescent="0.55000000000000004">
      <c r="A344" s="12" t="s">
        <v>851</v>
      </c>
      <c r="B344" s="12" t="s">
        <v>852</v>
      </c>
      <c r="C344" s="12" t="s">
        <v>8</v>
      </c>
      <c r="D344" s="12" t="s">
        <v>9</v>
      </c>
      <c r="E344" s="12">
        <v>1763</v>
      </c>
      <c r="F344" s="12">
        <v>67.988180526786991</v>
      </c>
      <c r="G344" s="12">
        <v>44.358774099776866</v>
      </c>
      <c r="H344" s="14">
        <f t="shared" si="92"/>
        <v>78204.518737906619</v>
      </c>
      <c r="I344" s="12">
        <v>45.968328612050882</v>
      </c>
      <c r="J344" s="12">
        <v>12.888641549865083</v>
      </c>
      <c r="K344" s="12">
        <v>30.548681068978524</v>
      </c>
      <c r="L344" s="12">
        <v>49.256585420938741</v>
      </c>
      <c r="M344" s="12">
        <v>43.316437145466033</v>
      </c>
      <c r="N344" s="12">
        <v>18.177003078237849</v>
      </c>
      <c r="O344" s="12">
        <v>15.695659572442267</v>
      </c>
      <c r="P344" s="12">
        <v>46.943709033429549</v>
      </c>
      <c r="Q344" s="12">
        <v>493.39725064963267</v>
      </c>
      <c r="R344" s="15">
        <v>229.6184236201388</v>
      </c>
      <c r="S344" s="15">
        <v>1255.309895189208</v>
      </c>
      <c r="T344" s="15">
        <v>1256.7394194584974</v>
      </c>
      <c r="U344" s="12">
        <v>42.167788391709962</v>
      </c>
      <c r="V344" s="12">
        <v>17.886854581135559</v>
      </c>
      <c r="W344" s="12">
        <v>41.376943812735085</v>
      </c>
      <c r="X344" s="12">
        <v>54.486614949643915</v>
      </c>
      <c r="Y344" s="12">
        <v>36.133337772505961</v>
      </c>
      <c r="Z344" s="12">
        <v>35.212655941484599</v>
      </c>
      <c r="AA344" s="12">
        <v>18.298459460571806</v>
      </c>
      <c r="AB344" s="12">
        <v>44.724235372542708</v>
      </c>
      <c r="AC344" s="12">
        <v>55.456581962807221</v>
      </c>
      <c r="AD344" s="12">
        <v>22.378908759608453</v>
      </c>
      <c r="AE344" s="12">
        <v>31.895573678079451</v>
      </c>
      <c r="AF344" s="12">
        <v>65.469036679880404</v>
      </c>
      <c r="AG344" s="12">
        <v>1104.10271881531</v>
      </c>
      <c r="AH344" s="12">
        <v>308.88787699157638</v>
      </c>
      <c r="AI344" s="12">
        <v>1788.3215240906441</v>
      </c>
      <c r="AJ344" s="12">
        <v>2085.1749074854042</v>
      </c>
      <c r="AK344" s="12">
        <v>7652.7719217422027</v>
      </c>
      <c r="AL344" s="12">
        <v>2240.0480830336346</v>
      </c>
      <c r="AM344" s="12">
        <v>2025.2888677318724</v>
      </c>
      <c r="AN344" s="12">
        <v>7900.1013083590969</v>
      </c>
      <c r="AP344" s="12">
        <f t="shared" si="84"/>
        <v>1.1104135860505331</v>
      </c>
      <c r="AQ344" s="12">
        <f t="shared" si="85"/>
        <v>1.0582733627362728</v>
      </c>
      <c r="AR344" s="12">
        <f t="shared" si="93"/>
        <v>1.2283165181049942</v>
      </c>
      <c r="AS344" s="12">
        <f t="shared" si="94"/>
        <v>1.0082387595280204</v>
      </c>
      <c r="AT344" s="12">
        <f t="shared" si="95"/>
        <v>1.4758982412953952</v>
      </c>
      <c r="AU344" s="12">
        <f t="shared" si="86"/>
        <v>0.93324229073560516</v>
      </c>
      <c r="AV344" s="12">
        <f t="shared" si="87"/>
        <v>0.26166331749797223</v>
      </c>
      <c r="AW344" s="12">
        <f t="shared" si="88"/>
        <v>0.62019485938609997</v>
      </c>
      <c r="AX344" s="12">
        <f t="shared" si="89"/>
        <v>0.922731459387232</v>
      </c>
      <c r="AY344" s="12">
        <f t="shared" si="90"/>
        <v>0.38720849827382925</v>
      </c>
      <c r="AZ344" s="12">
        <f t="shared" si="91"/>
        <v>0.3343506488007813</v>
      </c>
      <c r="BA344" s="12">
        <f t="shared" si="96"/>
        <v>0.77391095832767531</v>
      </c>
      <c r="BB344" s="12">
        <f t="shared" si="97"/>
        <v>0.32827979124169199</v>
      </c>
      <c r="BC344" s="12">
        <f t="shared" si="98"/>
        <v>0.75939648390664971</v>
      </c>
      <c r="BD344" s="12">
        <f t="shared" si="99"/>
        <v>0.80791404193997896</v>
      </c>
      <c r="BE344" s="12">
        <f t="shared" si="100"/>
        <v>0.78732829411550997</v>
      </c>
      <c r="BF344" s="12">
        <f t="shared" si="101"/>
        <v>0.4091396825043469</v>
      </c>
      <c r="BG344" s="12">
        <f t="shared" si="102"/>
        <v>0.84706580049389735</v>
      </c>
      <c r="BH344" s="12">
        <f t="shared" si="103"/>
        <v>0.34182431718116024</v>
      </c>
      <c r="BI344" s="12">
        <f t="shared" si="104"/>
        <v>0.48718562690997147</v>
      </c>
    </row>
    <row r="345" spans="1:61" x14ac:dyDescent="0.55000000000000004">
      <c r="A345" s="12" t="s">
        <v>853</v>
      </c>
      <c r="B345" s="12" t="s">
        <v>854</v>
      </c>
      <c r="C345" s="12" t="s">
        <v>8</v>
      </c>
      <c r="D345" s="12" t="s">
        <v>9</v>
      </c>
      <c r="E345" s="12">
        <v>1870</v>
      </c>
      <c r="F345" s="12">
        <v>66.295608285241173</v>
      </c>
      <c r="G345" s="12">
        <v>52.718932594649502</v>
      </c>
      <c r="H345" s="14">
        <f t="shared" si="92"/>
        <v>98584.403951994565</v>
      </c>
      <c r="I345" s="12">
        <v>30.594039445663185</v>
      </c>
      <c r="J345" s="12">
        <v>23.220610717191295</v>
      </c>
      <c r="K345" s="12">
        <v>29.562113179499217</v>
      </c>
      <c r="L345" s="12">
        <v>39.940209149326179</v>
      </c>
      <c r="M345" s="12">
        <v>35.751950320915775</v>
      </c>
      <c r="N345" s="12">
        <v>16.805197762842404</v>
      </c>
      <c r="O345" s="12">
        <v>10.189586501766799</v>
      </c>
      <c r="P345" s="12">
        <v>39.371076592482943</v>
      </c>
      <c r="Q345" s="12">
        <v>418.3056516163299</v>
      </c>
      <c r="R345" s="15">
        <v>70.668237248248502</v>
      </c>
      <c r="S345" s="15">
        <v>1264.076580534221</v>
      </c>
      <c r="T345" s="15">
        <v>1271.4982537570102</v>
      </c>
      <c r="U345" s="12">
        <v>32.326610368626348</v>
      </c>
      <c r="V345" s="12">
        <v>15.975341351001624</v>
      </c>
      <c r="W345" s="12">
        <v>42.244371953796467</v>
      </c>
      <c r="X345" s="12">
        <v>52.317939614646406</v>
      </c>
      <c r="Y345" s="12">
        <v>34.196009627454238</v>
      </c>
      <c r="Z345" s="12">
        <v>23.437883436439638</v>
      </c>
      <c r="AA345" s="12">
        <v>17.638241849160529</v>
      </c>
      <c r="AB345" s="12">
        <v>42.474369379401985</v>
      </c>
      <c r="AC345" s="12">
        <v>46.864982978235474</v>
      </c>
      <c r="AD345" s="12">
        <v>13.465217228294403</v>
      </c>
      <c r="AE345" s="12">
        <v>27.817701963133985</v>
      </c>
      <c r="AF345" s="12">
        <v>52.700491330632168</v>
      </c>
      <c r="AG345" s="12">
        <v>914.22540643965965</v>
      </c>
      <c r="AH345" s="12">
        <v>75.39075373225991</v>
      </c>
      <c r="AI345" s="12">
        <v>1725.1352805843576</v>
      </c>
      <c r="AJ345" s="12">
        <v>1917.8662763675909</v>
      </c>
      <c r="AK345" s="12">
        <v>4536.8137602377574</v>
      </c>
      <c r="AL345" s="12">
        <v>2391.2289040046908</v>
      </c>
      <c r="AM345" s="12">
        <v>2093.1391867201401</v>
      </c>
      <c r="AN345" s="12">
        <v>4587.7322592790661</v>
      </c>
      <c r="AP345" s="12">
        <f t="shared" si="84"/>
        <v>0.75760655960966383</v>
      </c>
      <c r="AQ345" s="12">
        <f t="shared" si="85"/>
        <v>0.74681095869681458</v>
      </c>
      <c r="AR345" s="12">
        <f t="shared" si="93"/>
        <v>0.99239375760722837</v>
      </c>
      <c r="AS345" s="12">
        <f t="shared" si="94"/>
        <v>0.80567582249783165</v>
      </c>
      <c r="AT345" s="12">
        <f t="shared" si="95"/>
        <v>0.99965019655919196</v>
      </c>
      <c r="AU345" s="12">
        <f t="shared" si="86"/>
        <v>0.7659959749154025</v>
      </c>
      <c r="AV345" s="12">
        <f t="shared" si="87"/>
        <v>0.58138430448311873</v>
      </c>
      <c r="AW345" s="12">
        <f t="shared" si="88"/>
        <v>0.74015919818982601</v>
      </c>
      <c r="AX345" s="12">
        <f t="shared" si="89"/>
        <v>0.90807652254400983</v>
      </c>
      <c r="AY345" s="12">
        <f t="shared" si="90"/>
        <v>0.42684120469418391</v>
      </c>
      <c r="AZ345" s="12">
        <f t="shared" si="91"/>
        <v>0.25880893751613288</v>
      </c>
      <c r="BA345" s="12">
        <f t="shared" si="96"/>
        <v>0.61788768072159539</v>
      </c>
      <c r="BB345" s="12">
        <f t="shared" si="97"/>
        <v>0.30535111796584069</v>
      </c>
      <c r="BC345" s="12">
        <f t="shared" si="98"/>
        <v>0.80745480928629987</v>
      </c>
      <c r="BD345" s="12">
        <f t="shared" si="99"/>
        <v>0.80509752415624203</v>
      </c>
      <c r="BE345" s="12">
        <f t="shared" si="100"/>
        <v>0.55181239365983092</v>
      </c>
      <c r="BF345" s="12">
        <f t="shared" si="101"/>
        <v>0.4152678923048172</v>
      </c>
      <c r="BG345" s="12">
        <f t="shared" si="102"/>
        <v>0.88927032357656965</v>
      </c>
      <c r="BH345" s="12">
        <f t="shared" si="103"/>
        <v>0.25550458616820793</v>
      </c>
      <c r="BI345" s="12">
        <f t="shared" si="104"/>
        <v>0.52784521094141945</v>
      </c>
    </row>
    <row r="346" spans="1:61" x14ac:dyDescent="0.55000000000000004">
      <c r="A346" s="12" t="s">
        <v>855</v>
      </c>
      <c r="B346" s="12" t="s">
        <v>856</v>
      </c>
      <c r="C346" s="12" t="s">
        <v>322</v>
      </c>
      <c r="D346" s="12" t="s">
        <v>9</v>
      </c>
      <c r="E346" s="12">
        <v>1823</v>
      </c>
      <c r="F346" s="12">
        <v>68.475504367905316</v>
      </c>
      <c r="G346" s="12">
        <v>70.518292167206027</v>
      </c>
      <c r="H346" s="14">
        <f t="shared" si="92"/>
        <v>128554.84662081659</v>
      </c>
      <c r="I346" s="12">
        <v>32.320686248841561</v>
      </c>
      <c r="J346" s="12">
        <v>17.887194685495281</v>
      </c>
      <c r="K346" s="12">
        <v>29.26577733148358</v>
      </c>
      <c r="L346" s="12">
        <v>38.40947548126379</v>
      </c>
      <c r="M346" s="12">
        <v>36.379404173730968</v>
      </c>
      <c r="N346" s="12">
        <v>18.140479591195231</v>
      </c>
      <c r="O346" s="12">
        <v>13.866325119725371</v>
      </c>
      <c r="P346" s="12">
        <v>40.913010693996078</v>
      </c>
      <c r="Q346" s="12">
        <v>395.62729299402781</v>
      </c>
      <c r="R346" s="15">
        <v>60.68743539082999</v>
      </c>
      <c r="S346" s="15">
        <v>1020.0766703525569</v>
      </c>
      <c r="T346" s="15">
        <v>1082.9707000706007</v>
      </c>
      <c r="U346" s="12">
        <v>23.271081222105465</v>
      </c>
      <c r="V346" s="12">
        <v>11.985397861993995</v>
      </c>
      <c r="W346" s="12">
        <v>54.414373911891218</v>
      </c>
      <c r="X346" s="12">
        <v>58.920324905125369</v>
      </c>
      <c r="Y346" s="12">
        <v>32.689463748304249</v>
      </c>
      <c r="Z346" s="12">
        <v>28.043376349488351</v>
      </c>
      <c r="AA346" s="12">
        <v>26.21263956488087</v>
      </c>
      <c r="AB346" s="12">
        <v>45.170199611078949</v>
      </c>
      <c r="AC346" s="12">
        <v>34.637838768601753</v>
      </c>
      <c r="AD346" s="12">
        <v>25.182710102439263</v>
      </c>
      <c r="AE346" s="12">
        <v>44.164015843282243</v>
      </c>
      <c r="AF346" s="12">
        <v>52.575730935411428</v>
      </c>
      <c r="AG346" s="12">
        <v>779.89065664902705</v>
      </c>
      <c r="AH346" s="12">
        <v>317.53235472461108</v>
      </c>
      <c r="AI346" s="12">
        <v>1930.4046301270057</v>
      </c>
      <c r="AJ346" s="12">
        <v>2063.0347159328635</v>
      </c>
      <c r="AK346" s="12">
        <v>972.2232927268609</v>
      </c>
      <c r="AL346" s="12">
        <v>3131.8554252139452</v>
      </c>
      <c r="AM346" s="12">
        <v>1434.1387074425265</v>
      </c>
      <c r="AN346" s="12">
        <v>3225.6632715908136</v>
      </c>
      <c r="AP346" s="12">
        <f t="shared" si="84"/>
        <v>0.54467393212233539</v>
      </c>
      <c r="AQ346" s="12">
        <f t="shared" si="85"/>
        <v>0.5801758584423341</v>
      </c>
      <c r="AR346" s="12">
        <f t="shared" si="93"/>
        <v>0.83553249936086516</v>
      </c>
      <c r="AS346" s="12">
        <f t="shared" si="94"/>
        <v>0.64054585303875233</v>
      </c>
      <c r="AT346" s="12">
        <f t="shared" si="95"/>
        <v>0.74556160280724093</v>
      </c>
      <c r="AU346" s="12">
        <f t="shared" si="86"/>
        <v>0.84147689714241602</v>
      </c>
      <c r="AV346" s="12">
        <f t="shared" si="87"/>
        <v>0.46569744734526997</v>
      </c>
      <c r="AW346" s="12">
        <f t="shared" si="88"/>
        <v>0.76194160333586114</v>
      </c>
      <c r="AX346" s="12">
        <f t="shared" si="89"/>
        <v>0.88918912484408263</v>
      </c>
      <c r="AY346" s="12">
        <f t="shared" si="90"/>
        <v>0.44339146113872568</v>
      </c>
      <c r="AZ346" s="12">
        <f t="shared" si="91"/>
        <v>0.33892213954716938</v>
      </c>
      <c r="BA346" s="12">
        <f t="shared" si="96"/>
        <v>0.39495846738077234</v>
      </c>
      <c r="BB346" s="12">
        <f t="shared" si="97"/>
        <v>0.20341703616354986</v>
      </c>
      <c r="BC346" s="12">
        <f t="shared" si="98"/>
        <v>0.92352467505076186</v>
      </c>
      <c r="BD346" s="12">
        <f t="shared" si="99"/>
        <v>0.7236953573321484</v>
      </c>
      <c r="BE346" s="12">
        <f t="shared" si="100"/>
        <v>0.62083799918852067</v>
      </c>
      <c r="BF346" s="12">
        <f t="shared" si="101"/>
        <v>0.58030825169193334</v>
      </c>
      <c r="BG346" s="12">
        <f t="shared" si="102"/>
        <v>0.65881801645618332</v>
      </c>
      <c r="BH346" s="12">
        <f t="shared" si="103"/>
        <v>0.47897974320843739</v>
      </c>
      <c r="BI346" s="12">
        <f t="shared" si="104"/>
        <v>0.84000764340370537</v>
      </c>
    </row>
    <row r="347" spans="1:61" x14ac:dyDescent="0.55000000000000004">
      <c r="A347" s="12" t="s">
        <v>857</v>
      </c>
      <c r="B347" s="12" t="s">
        <v>858</v>
      </c>
      <c r="C347" s="12" t="s">
        <v>8</v>
      </c>
      <c r="D347" s="12" t="s">
        <v>9</v>
      </c>
      <c r="E347" s="12">
        <v>2241</v>
      </c>
      <c r="F347" s="12">
        <v>67.747006755434398</v>
      </c>
      <c r="G347" s="12">
        <v>37.944602136650914</v>
      </c>
      <c r="H347" s="14">
        <f t="shared" si="92"/>
        <v>85033.853388234696</v>
      </c>
      <c r="I347" s="12">
        <v>33.737453546488297</v>
      </c>
      <c r="J347" s="12">
        <v>9.8208031374878555</v>
      </c>
      <c r="K347" s="12">
        <v>29.291770142884495</v>
      </c>
      <c r="L347" s="12">
        <v>43.866311126770839</v>
      </c>
      <c r="M347" s="12">
        <v>38.36437344413946</v>
      </c>
      <c r="N347" s="12">
        <v>8.9519922347921685</v>
      </c>
      <c r="O347" s="12">
        <v>12.617219498963014</v>
      </c>
      <c r="P347" s="12">
        <v>39.477852274712099</v>
      </c>
      <c r="Q347" s="12">
        <v>452.0269912222268</v>
      </c>
      <c r="R347" s="15">
        <v>120.49377834540127</v>
      </c>
      <c r="S347" s="15">
        <v>679.26737728915703</v>
      </c>
      <c r="T347" s="15">
        <v>690.80583679884239</v>
      </c>
      <c r="U347" s="12">
        <v>37.511299359409065</v>
      </c>
      <c r="V347" s="12">
        <v>14.236010396266209</v>
      </c>
      <c r="W347" s="12">
        <v>39.319644053510999</v>
      </c>
      <c r="X347" s="12">
        <v>44.719295788989747</v>
      </c>
      <c r="Y347" s="12">
        <v>26.592224374005099</v>
      </c>
      <c r="Z347" s="12">
        <v>24.283540562502075</v>
      </c>
      <c r="AA347" s="12">
        <v>18.089386444766351</v>
      </c>
      <c r="AB347" s="12">
        <v>36.309489026000811</v>
      </c>
      <c r="AC347" s="12">
        <v>25.688131927227598</v>
      </c>
      <c r="AD347" s="12">
        <v>18.593902632801349</v>
      </c>
      <c r="AE347" s="12">
        <v>28.310938555331418</v>
      </c>
      <c r="AF347" s="12">
        <v>41.330605269732843</v>
      </c>
      <c r="AG347" s="12">
        <v>803.5649595488868</v>
      </c>
      <c r="AH347" s="12">
        <v>611.26676647248053</v>
      </c>
      <c r="AI347" s="12">
        <v>1360.7509538712748</v>
      </c>
      <c r="AJ347" s="12">
        <v>1408.380628715945</v>
      </c>
      <c r="AK347" s="12">
        <v>1024.6859620251453</v>
      </c>
      <c r="AL347" s="12">
        <v>3010.9835555628515</v>
      </c>
      <c r="AM347" s="12">
        <v>1903.7198759646285</v>
      </c>
      <c r="AN347" s="12">
        <v>3099.2950092624419</v>
      </c>
      <c r="AP347" s="12">
        <f t="shared" si="84"/>
        <v>1.1560619602438817</v>
      </c>
      <c r="AQ347" s="12">
        <f t="shared" si="85"/>
        <v>1.040407595592634</v>
      </c>
      <c r="AR347" s="12">
        <f t="shared" si="93"/>
        <v>1.1785416968648386</v>
      </c>
      <c r="AS347" s="12">
        <f t="shared" si="94"/>
        <v>0.95690788627163548</v>
      </c>
      <c r="AT347" s="12">
        <f t="shared" si="95"/>
        <v>1.0892354364630792</v>
      </c>
      <c r="AU347" s="12">
        <f t="shared" si="86"/>
        <v>0.76909711986014073</v>
      </c>
      <c r="AV347" s="12">
        <f t="shared" si="87"/>
        <v>0.223880305528914</v>
      </c>
      <c r="AW347" s="12">
        <f t="shared" si="88"/>
        <v>0.6677509321044377</v>
      </c>
      <c r="AX347" s="12">
        <f t="shared" si="89"/>
        <v>0.9717948478345696</v>
      </c>
      <c r="AY347" s="12">
        <f t="shared" si="90"/>
        <v>0.2267598594902907</v>
      </c>
      <c r="AZ347" s="12">
        <f t="shared" si="91"/>
        <v>0.31960248017456333</v>
      </c>
      <c r="BA347" s="12">
        <f t="shared" si="96"/>
        <v>0.83881686188458837</v>
      </c>
      <c r="BB347" s="12">
        <f t="shared" si="97"/>
        <v>0.31834156028394417</v>
      </c>
      <c r="BC347" s="12">
        <f t="shared" si="98"/>
        <v>0.87925454459396502</v>
      </c>
      <c r="BD347" s="12">
        <f t="shared" si="99"/>
        <v>0.73237671714307817</v>
      </c>
      <c r="BE347" s="12">
        <f t="shared" si="100"/>
        <v>0.66879323322652406</v>
      </c>
      <c r="BF347" s="12">
        <f t="shared" si="101"/>
        <v>0.49819997278983319</v>
      </c>
      <c r="BG347" s="12">
        <f t="shared" si="102"/>
        <v>0.62152808456544639</v>
      </c>
      <c r="BH347" s="12">
        <f t="shared" si="103"/>
        <v>0.4498821759675028</v>
      </c>
      <c r="BI347" s="12">
        <f t="shared" si="104"/>
        <v>0.68498727203649346</v>
      </c>
    </row>
    <row r="348" spans="1:61" x14ac:dyDescent="0.55000000000000004">
      <c r="A348" s="12" t="s">
        <v>859</v>
      </c>
      <c r="B348" s="12" t="s">
        <v>860</v>
      </c>
      <c r="C348" s="12" t="s">
        <v>51</v>
      </c>
      <c r="D348" s="12" t="s">
        <v>9</v>
      </c>
      <c r="E348" s="12">
        <v>1628</v>
      </c>
      <c r="F348" s="12">
        <v>68.095289066082756</v>
      </c>
      <c r="G348" s="12">
        <v>51.955734343710681</v>
      </c>
      <c r="H348" s="14">
        <f t="shared" si="92"/>
        <v>84583.935511560994</v>
      </c>
      <c r="I348" s="12">
        <v>31.522531544808537</v>
      </c>
      <c r="J348" s="12">
        <v>21.833267253288916</v>
      </c>
      <c r="K348" s="12">
        <v>25.43164343987808</v>
      </c>
      <c r="L348" s="12">
        <v>37.109296468174215</v>
      </c>
      <c r="M348" s="12">
        <v>31.010932888251581</v>
      </c>
      <c r="N348" s="12">
        <v>18.944193231208462</v>
      </c>
      <c r="O348" s="12">
        <v>7.2024271665683148</v>
      </c>
      <c r="P348" s="12">
        <v>35.028779650986138</v>
      </c>
      <c r="Q348" s="12">
        <v>504.47862242587001</v>
      </c>
      <c r="R348" s="15">
        <v>209.96820149078337</v>
      </c>
      <c r="S348" s="15">
        <v>1092.543338932285</v>
      </c>
      <c r="T348" s="15">
        <v>1103.5742485201795</v>
      </c>
      <c r="U348" s="12">
        <v>23.00389654029194</v>
      </c>
      <c r="V348" s="12">
        <v>12.069559605765615</v>
      </c>
      <c r="W348" s="12">
        <v>51.364198771798058</v>
      </c>
      <c r="X348" s="12">
        <v>55.10548646093887</v>
      </c>
      <c r="Y348" s="12">
        <v>30.391289584534086</v>
      </c>
      <c r="Z348" s="12">
        <v>29.0903575254538</v>
      </c>
      <c r="AA348" s="12">
        <v>16.094413176046928</v>
      </c>
      <c r="AB348" s="12">
        <v>40.629381065136386</v>
      </c>
      <c r="AC348" s="12">
        <v>33.43918985883581</v>
      </c>
      <c r="AD348" s="12">
        <v>23.297269238348825</v>
      </c>
      <c r="AE348" s="12">
        <v>28.832684748246937</v>
      </c>
      <c r="AF348" s="12">
        <v>43.614219190451507</v>
      </c>
      <c r="AG348" s="12">
        <v>737.47596762716478</v>
      </c>
      <c r="AH348" s="12">
        <v>65.399613324362861</v>
      </c>
      <c r="AI348" s="12">
        <v>1821.4931592776502</v>
      </c>
      <c r="AJ348" s="12">
        <v>1916.043494826469</v>
      </c>
      <c r="AK348" s="12">
        <v>1320.1560468445398</v>
      </c>
      <c r="AL348" s="12">
        <v>2044.8187652402903</v>
      </c>
      <c r="AM348" s="12">
        <v>1474.983494204871</v>
      </c>
      <c r="AN348" s="12">
        <v>2233.1009107333443</v>
      </c>
      <c r="AP348" s="12">
        <f t="shared" si="84"/>
        <v>0.71424832960072193</v>
      </c>
      <c r="AQ348" s="12">
        <f t="shared" si="85"/>
        <v>0.67420430282545751</v>
      </c>
      <c r="AR348" s="12">
        <f t="shared" si="93"/>
        <v>1.0606237628437922</v>
      </c>
      <c r="AS348" s="12">
        <f t="shared" si="94"/>
        <v>0.78199993856991135</v>
      </c>
      <c r="AT348" s="12">
        <f t="shared" si="95"/>
        <v>0.83944957647838681</v>
      </c>
      <c r="AU348" s="12">
        <f t="shared" si="86"/>
        <v>0.84945106873268228</v>
      </c>
      <c r="AV348" s="12">
        <f t="shared" si="87"/>
        <v>0.58835034159199506</v>
      </c>
      <c r="AW348" s="12">
        <f t="shared" si="88"/>
        <v>0.68531731561359133</v>
      </c>
      <c r="AX348" s="12">
        <f t="shared" si="89"/>
        <v>0.88529869430888253</v>
      </c>
      <c r="AY348" s="12">
        <f t="shared" si="90"/>
        <v>0.54081796225736178</v>
      </c>
      <c r="AZ348" s="12">
        <f t="shared" si="91"/>
        <v>0.20561456146433438</v>
      </c>
      <c r="BA348" s="12">
        <f t="shared" si="96"/>
        <v>0.41745201825952644</v>
      </c>
      <c r="BB348" s="12">
        <f t="shared" si="97"/>
        <v>0.21902645963067646</v>
      </c>
      <c r="BC348" s="12">
        <f t="shared" si="98"/>
        <v>0.93210680225474829</v>
      </c>
      <c r="BD348" s="12">
        <f t="shared" si="99"/>
        <v>0.74801261520108431</v>
      </c>
      <c r="BE348" s="12">
        <f t="shared" si="100"/>
        <v>0.71599312524147474</v>
      </c>
      <c r="BF348" s="12">
        <f t="shared" si="101"/>
        <v>0.39612745146780892</v>
      </c>
      <c r="BG348" s="12">
        <f t="shared" si="102"/>
        <v>0.76670385208126524</v>
      </c>
      <c r="BH348" s="12">
        <f t="shared" si="103"/>
        <v>0.5341668306984001</v>
      </c>
      <c r="BI348" s="12">
        <f t="shared" si="104"/>
        <v>0.66108451058913598</v>
      </c>
    </row>
    <row r="349" spans="1:61" x14ac:dyDescent="0.55000000000000004">
      <c r="A349" s="12" t="s">
        <v>861</v>
      </c>
      <c r="B349" s="12" t="s">
        <v>862</v>
      </c>
      <c r="C349" s="12" t="s">
        <v>322</v>
      </c>
      <c r="D349" s="12" t="s">
        <v>9</v>
      </c>
      <c r="E349" s="12">
        <v>1920</v>
      </c>
      <c r="F349" s="12">
        <v>64.733950725104151</v>
      </c>
      <c r="G349" s="12">
        <v>34.424123146004952</v>
      </c>
      <c r="H349" s="14">
        <f t="shared" si="92"/>
        <v>66094.316440329509</v>
      </c>
      <c r="I349" s="12">
        <v>32.204874312630011</v>
      </c>
      <c r="J349" s="12">
        <v>24.50537375411669</v>
      </c>
      <c r="K349" s="12">
        <v>23.368145450742038</v>
      </c>
      <c r="L349" s="12">
        <v>36.754617693560846</v>
      </c>
      <c r="M349" s="12">
        <v>34.583009374284742</v>
      </c>
      <c r="N349" s="12">
        <v>21.463709786349082</v>
      </c>
      <c r="O349" s="12">
        <v>5.768134097095313</v>
      </c>
      <c r="P349" s="12">
        <v>39.88043562158898</v>
      </c>
      <c r="Q349" s="12">
        <v>430.96660823319871</v>
      </c>
      <c r="R349" s="15">
        <v>301.46049198007279</v>
      </c>
      <c r="S349" s="15">
        <v>1014.8171190827544</v>
      </c>
      <c r="T349" s="15">
        <v>1015.9352079225189</v>
      </c>
      <c r="U349" s="12">
        <v>23.669147816888142</v>
      </c>
      <c r="V349" s="12">
        <v>14.310972758785898</v>
      </c>
      <c r="W349" s="12">
        <v>55.246733068614219</v>
      </c>
      <c r="X349" s="12">
        <v>58.834657338431832</v>
      </c>
      <c r="Y349" s="12">
        <v>29.594389905128512</v>
      </c>
      <c r="Z349" s="12">
        <v>29.001356888777114</v>
      </c>
      <c r="AA349" s="12">
        <v>28.116373252832116</v>
      </c>
      <c r="AB349" s="12">
        <v>42.100386328135038</v>
      </c>
      <c r="AC349" s="12">
        <v>32.64774082496789</v>
      </c>
      <c r="AD349" s="12">
        <v>22.597633015868517</v>
      </c>
      <c r="AE349" s="12">
        <v>42.20665827664088</v>
      </c>
      <c r="AF349" s="12">
        <v>48.698684015750445</v>
      </c>
      <c r="AG349" s="12">
        <v>740.65008206614561</v>
      </c>
      <c r="AH349" s="12">
        <v>88.091597302608037</v>
      </c>
      <c r="AI349" s="12">
        <v>2002.2188494063594</v>
      </c>
      <c r="AJ349" s="12">
        <v>2079.7997836220361</v>
      </c>
      <c r="AK349" s="12">
        <v>1896.1476520848848</v>
      </c>
      <c r="AL349" s="12">
        <v>3269.6173319652598</v>
      </c>
      <c r="AM349" s="12">
        <v>2466.2708157769648</v>
      </c>
      <c r="AN349" s="12">
        <v>3725.0997576245268</v>
      </c>
      <c r="AP349" s="12">
        <f t="shared" si="84"/>
        <v>1.0676994599883181</v>
      </c>
      <c r="AQ349" s="12">
        <f t="shared" si="85"/>
        <v>1.1585025841454804</v>
      </c>
      <c r="AR349" s="12">
        <f t="shared" si="93"/>
        <v>1.7091112848072592</v>
      </c>
      <c r="AS349" s="12">
        <f t="shared" si="94"/>
        <v>1.2229908122734841</v>
      </c>
      <c r="AT349" s="12">
        <f t="shared" si="95"/>
        <v>1.4146673775596841</v>
      </c>
      <c r="AU349" s="12">
        <f t="shared" si="86"/>
        <v>0.87621301304603372</v>
      </c>
      <c r="AV349" s="12">
        <f t="shared" si="87"/>
        <v>0.66672911573801685</v>
      </c>
      <c r="AW349" s="12">
        <f t="shared" si="88"/>
        <v>0.63578801568750842</v>
      </c>
      <c r="AX349" s="12">
        <f t="shared" si="89"/>
        <v>0.86716729231421652</v>
      </c>
      <c r="AY349" s="12">
        <f t="shared" si="90"/>
        <v>0.53820148781749666</v>
      </c>
      <c r="AZ349" s="12">
        <f t="shared" si="91"/>
        <v>0.14463568431967619</v>
      </c>
      <c r="BA349" s="12">
        <f t="shared" si="96"/>
        <v>0.40229940799582153</v>
      </c>
      <c r="BB349" s="12">
        <f t="shared" si="97"/>
        <v>0.24324052193362089</v>
      </c>
      <c r="BC349" s="12">
        <f t="shared" si="98"/>
        <v>0.93901682389039909</v>
      </c>
      <c r="BD349" s="12">
        <f t="shared" si="99"/>
        <v>0.70294817901352702</v>
      </c>
      <c r="BE349" s="12">
        <f t="shared" si="100"/>
        <v>0.6888620133491733</v>
      </c>
      <c r="BF349" s="12">
        <f t="shared" si="101"/>
        <v>0.66784121726793699</v>
      </c>
      <c r="BG349" s="12">
        <f t="shared" si="102"/>
        <v>0.67040293767299231</v>
      </c>
      <c r="BH349" s="12">
        <f t="shared" si="103"/>
        <v>0.46402964418011466</v>
      </c>
      <c r="BI349" s="12">
        <f t="shared" si="104"/>
        <v>0.86668991431041809</v>
      </c>
    </row>
    <row r="350" spans="1:61" x14ac:dyDescent="0.55000000000000004">
      <c r="A350" s="12" t="s">
        <v>863</v>
      </c>
      <c r="B350" s="12" t="s">
        <v>864</v>
      </c>
      <c r="C350" s="12" t="s">
        <v>322</v>
      </c>
      <c r="D350" s="12" t="s">
        <v>9</v>
      </c>
      <c r="E350" s="12">
        <v>1716</v>
      </c>
      <c r="F350" s="12">
        <v>67.384622920264221</v>
      </c>
      <c r="G350" s="12">
        <v>68.783728841998496</v>
      </c>
      <c r="H350" s="14">
        <f t="shared" si="92"/>
        <v>118032.87869286942</v>
      </c>
      <c r="I350" s="12">
        <v>35.291503645469327</v>
      </c>
      <c r="J350" s="12">
        <v>23.977681007997688</v>
      </c>
      <c r="K350" s="12">
        <v>30.014683101232933</v>
      </c>
      <c r="L350" s="12">
        <v>49.290829161506466</v>
      </c>
      <c r="M350" s="12">
        <v>41.896415301643529</v>
      </c>
      <c r="N350" s="12">
        <v>21.19489719260843</v>
      </c>
      <c r="O350" s="12">
        <v>10.728002935509307</v>
      </c>
      <c r="P350" s="12">
        <v>47.314390941570977</v>
      </c>
      <c r="Q350" s="12">
        <v>356.36542290831227</v>
      </c>
      <c r="R350" s="15">
        <v>34.003965174052873</v>
      </c>
      <c r="S350" s="15">
        <v>1039.7275861456546</v>
      </c>
      <c r="T350" s="15">
        <v>1067.1721153534274</v>
      </c>
      <c r="U350" s="12">
        <v>23.139050686420145</v>
      </c>
      <c r="V350" s="12">
        <v>9.7177633011100113</v>
      </c>
      <c r="W350" s="12">
        <v>45.640138925191337</v>
      </c>
      <c r="X350" s="12">
        <v>51.150416628732877</v>
      </c>
      <c r="Y350" s="12">
        <v>26.02596194959267</v>
      </c>
      <c r="Z350" s="12">
        <v>25.068643175230285</v>
      </c>
      <c r="AA350" s="12">
        <v>16.097711652722502</v>
      </c>
      <c r="AB350" s="12">
        <v>35.047452415368241</v>
      </c>
      <c r="AC350" s="12">
        <v>35.029252347278117</v>
      </c>
      <c r="AD350" s="12">
        <v>23.805146053884982</v>
      </c>
      <c r="AE350" s="12">
        <v>28.246932125985037</v>
      </c>
      <c r="AF350" s="12">
        <v>43.41712166931481</v>
      </c>
      <c r="AG350" s="12">
        <v>737.8806305668495</v>
      </c>
      <c r="AH350" s="12">
        <v>103.26436090076402</v>
      </c>
      <c r="AI350" s="12">
        <v>1655.3267499250719</v>
      </c>
      <c r="AJ350" s="12">
        <v>1791.6282808928022</v>
      </c>
      <c r="AK350" s="12">
        <v>817.12783498845693</v>
      </c>
      <c r="AL350" s="12">
        <v>2613.8574305264269</v>
      </c>
      <c r="AM350" s="12">
        <v>886.18002339713007</v>
      </c>
      <c r="AN350" s="12">
        <v>2637.5634704580007</v>
      </c>
      <c r="AP350" s="12">
        <f t="shared" si="84"/>
        <v>0.71660594723980842</v>
      </c>
      <c r="AQ350" s="12">
        <f t="shared" si="85"/>
        <v>0.68787185193544487</v>
      </c>
      <c r="AR350" s="12">
        <f t="shared" si="93"/>
        <v>0.74364122867239879</v>
      </c>
      <c r="AS350" s="12">
        <f t="shared" si="94"/>
        <v>0.50953114937800081</v>
      </c>
      <c r="AT350" s="12">
        <f t="shared" si="95"/>
        <v>0.63121209623641183</v>
      </c>
      <c r="AU350" s="12">
        <f t="shared" si="86"/>
        <v>0.71598518924956789</v>
      </c>
      <c r="AV350" s="12">
        <f t="shared" si="87"/>
        <v>0.48645318847107144</v>
      </c>
      <c r="AW350" s="12">
        <f t="shared" si="88"/>
        <v>0.60893037532167982</v>
      </c>
      <c r="AX350" s="12">
        <f t="shared" si="89"/>
        <v>0.88548989996261052</v>
      </c>
      <c r="AY350" s="12">
        <f t="shared" si="90"/>
        <v>0.44795878739688783</v>
      </c>
      <c r="AZ350" s="12">
        <f t="shared" si="91"/>
        <v>0.22673868820920526</v>
      </c>
      <c r="BA350" s="12">
        <f t="shared" si="96"/>
        <v>0.45237267282437299</v>
      </c>
      <c r="BB350" s="12">
        <f t="shared" si="97"/>
        <v>0.18998404982005998</v>
      </c>
      <c r="BC350" s="12">
        <f t="shared" si="98"/>
        <v>0.89227306312014998</v>
      </c>
      <c r="BD350" s="12">
        <f t="shared" si="99"/>
        <v>0.74259211885484533</v>
      </c>
      <c r="BE350" s="12">
        <f t="shared" si="100"/>
        <v>0.71527718700140763</v>
      </c>
      <c r="BF350" s="12">
        <f t="shared" si="101"/>
        <v>0.45931189125928268</v>
      </c>
      <c r="BG350" s="12">
        <f t="shared" si="102"/>
        <v>0.8068073377612951</v>
      </c>
      <c r="BH350" s="12">
        <f t="shared" si="103"/>
        <v>0.5482893646243101</v>
      </c>
      <c r="BI350" s="12">
        <f t="shared" si="104"/>
        <v>0.65059430565496579</v>
      </c>
    </row>
    <row r="351" spans="1:61" x14ac:dyDescent="0.55000000000000004">
      <c r="A351" s="12" t="s">
        <v>865</v>
      </c>
      <c r="B351" s="12" t="s">
        <v>866</v>
      </c>
      <c r="C351" s="12" t="s">
        <v>322</v>
      </c>
      <c r="D351" s="12" t="s">
        <v>9</v>
      </c>
      <c r="E351" s="12">
        <v>2401</v>
      </c>
      <c r="F351" s="12">
        <v>64.054690673510763</v>
      </c>
      <c r="G351" s="12">
        <v>27.178638761019762</v>
      </c>
      <c r="H351" s="14">
        <f t="shared" si="92"/>
        <v>65255.911665208449</v>
      </c>
      <c r="I351" s="12">
        <v>19.904221244627074</v>
      </c>
      <c r="J351" s="12">
        <v>14.735984877803098</v>
      </c>
      <c r="K351" s="12">
        <v>15.526317231202531</v>
      </c>
      <c r="L351" s="12">
        <v>27.631444987059403</v>
      </c>
      <c r="M351" s="12">
        <v>26.414272681229107</v>
      </c>
      <c r="N351" s="12">
        <v>12.679169516819016</v>
      </c>
      <c r="O351" s="12">
        <v>6.1569811080504699</v>
      </c>
      <c r="P351" s="12">
        <v>27.080336457995138</v>
      </c>
      <c r="Q351" s="12">
        <v>395.90247257401973</v>
      </c>
      <c r="R351" s="15">
        <v>35.002461570328066</v>
      </c>
      <c r="S351" s="15">
        <v>878.60577186993748</v>
      </c>
      <c r="T351" s="15">
        <v>921.42857187217908</v>
      </c>
      <c r="U351" s="12">
        <v>28.923204753224635</v>
      </c>
      <c r="V351" s="12">
        <v>15.761779649838736</v>
      </c>
      <c r="W351" s="12">
        <v>33.966553414076714</v>
      </c>
      <c r="X351" s="12">
        <v>40.709287789248826</v>
      </c>
      <c r="Y351" s="12">
        <v>20.161361900327833</v>
      </c>
      <c r="Z351" s="12">
        <v>21.909911760084935</v>
      </c>
      <c r="AA351" s="12">
        <v>6.9321469292010462</v>
      </c>
      <c r="AB351" s="12">
        <v>29.691628851762886</v>
      </c>
      <c r="AC351" s="12">
        <v>25.709612137826074</v>
      </c>
      <c r="AD351" s="12">
        <v>15.516539077627987</v>
      </c>
      <c r="AE351" s="12">
        <v>20.08457819143986</v>
      </c>
      <c r="AF351" s="12">
        <v>35.3585855610797</v>
      </c>
      <c r="AG351" s="12">
        <v>686.60868437138549</v>
      </c>
      <c r="AH351" s="12">
        <v>240.04052873780995</v>
      </c>
      <c r="AI351" s="12">
        <v>1070.577830593204</v>
      </c>
      <c r="AJ351" s="12">
        <v>1236.0885552742789</v>
      </c>
      <c r="AK351" s="12">
        <v>405.68678446772969</v>
      </c>
      <c r="AL351" s="12">
        <v>1419.9569267469672</v>
      </c>
      <c r="AM351" s="12">
        <v>603.55834250186422</v>
      </c>
      <c r="AN351" s="12">
        <v>1463.5519557902473</v>
      </c>
      <c r="AP351" s="12">
        <f t="shared" si="84"/>
        <v>1.016660371772889</v>
      </c>
      <c r="AQ351" s="12">
        <f t="shared" si="85"/>
        <v>0.99638310425003285</v>
      </c>
      <c r="AR351" s="12">
        <f t="shared" si="93"/>
        <v>1.4978413064467024</v>
      </c>
      <c r="AS351" s="12">
        <f t="shared" si="94"/>
        <v>1.0924619556129982</v>
      </c>
      <c r="AT351" s="12">
        <f t="shared" si="95"/>
        <v>1.3009697016832134</v>
      </c>
      <c r="AU351" s="12">
        <f t="shared" si="86"/>
        <v>0.72034673734756871</v>
      </c>
      <c r="AV351" s="12">
        <f t="shared" si="87"/>
        <v>0.53330489537207992</v>
      </c>
      <c r="AW351" s="12">
        <f t="shared" si="88"/>
        <v>0.56190753825845696</v>
      </c>
      <c r="AX351" s="12">
        <f t="shared" si="89"/>
        <v>0.97540415430956051</v>
      </c>
      <c r="AY351" s="12">
        <f t="shared" si="90"/>
        <v>0.46820576016424076</v>
      </c>
      <c r="AZ351" s="12">
        <f t="shared" si="91"/>
        <v>0.22735984531066256</v>
      </c>
      <c r="BA351" s="12">
        <f t="shared" si="96"/>
        <v>0.71048171864267173</v>
      </c>
      <c r="BB351" s="12">
        <f t="shared" si="97"/>
        <v>0.3871789585570044</v>
      </c>
      <c r="BC351" s="12">
        <f t="shared" si="98"/>
        <v>0.83436864800781796</v>
      </c>
      <c r="BD351" s="12">
        <f t="shared" si="99"/>
        <v>0.67902512189494746</v>
      </c>
      <c r="BE351" s="12">
        <f t="shared" si="100"/>
        <v>0.73791545318956375</v>
      </c>
      <c r="BF351" s="12">
        <f t="shared" si="101"/>
        <v>0.23347142603089163</v>
      </c>
      <c r="BG351" s="12">
        <f t="shared" si="102"/>
        <v>0.72711087646349315</v>
      </c>
      <c r="BH351" s="12">
        <f t="shared" si="103"/>
        <v>0.43883370421659418</v>
      </c>
      <c r="BI351" s="12">
        <f t="shared" si="104"/>
        <v>0.56802549855239637</v>
      </c>
    </row>
    <row r="352" spans="1:61" x14ac:dyDescent="0.55000000000000004">
      <c r="A352" s="12" t="s">
        <v>867</v>
      </c>
      <c r="B352" s="12" t="s">
        <v>868</v>
      </c>
      <c r="C352" s="12" t="s">
        <v>322</v>
      </c>
      <c r="D352" s="12" t="s">
        <v>9</v>
      </c>
      <c r="E352" s="12">
        <v>1805</v>
      </c>
      <c r="F352" s="12">
        <v>69.484660684381808</v>
      </c>
      <c r="G352" s="12">
        <v>49.719863234168535</v>
      </c>
      <c r="H352" s="14">
        <f t="shared" si="92"/>
        <v>89744.353137674203</v>
      </c>
      <c r="I352" s="12">
        <v>36.586426607306279</v>
      </c>
      <c r="J352" s="12">
        <v>46.541768707131908</v>
      </c>
      <c r="K352" s="12">
        <v>27.467387659326093</v>
      </c>
      <c r="L352" s="12">
        <v>51.923766835880429</v>
      </c>
      <c r="M352" s="12">
        <v>42.425398600753105</v>
      </c>
      <c r="N352" s="12">
        <v>15.504366329745931</v>
      </c>
      <c r="O352" s="12">
        <v>20.968426773977587</v>
      </c>
      <c r="P352" s="12">
        <v>47.300436125855889</v>
      </c>
      <c r="Q352" s="12">
        <v>657.95888859156571</v>
      </c>
      <c r="R352" s="15">
        <v>220.07908217482043</v>
      </c>
      <c r="S352" s="15">
        <v>1252.1590424136482</v>
      </c>
      <c r="T352" s="15">
        <v>1406.2716446193519</v>
      </c>
      <c r="U352" s="12">
        <v>32.424433815152611</v>
      </c>
      <c r="V352" s="12">
        <v>17.944262437509249</v>
      </c>
      <c r="W352" s="12">
        <v>48.877134912500289</v>
      </c>
      <c r="X352" s="12">
        <v>59.292588834732804</v>
      </c>
      <c r="Y352" s="12">
        <v>30.987524964925107</v>
      </c>
      <c r="Z352" s="12">
        <v>33.156044578189373</v>
      </c>
      <c r="AA352" s="12">
        <v>20.016752460022321</v>
      </c>
      <c r="AB352" s="12">
        <v>43.221077745716464</v>
      </c>
      <c r="AC352" s="12">
        <v>28.453274382709314</v>
      </c>
      <c r="AD352" s="12">
        <v>27.895348032032672</v>
      </c>
      <c r="AE352" s="12">
        <v>34.151237697754162</v>
      </c>
      <c r="AF352" s="12">
        <v>42.002630626972568</v>
      </c>
      <c r="AG352" s="12">
        <v>993.54514156630898</v>
      </c>
      <c r="AH352" s="12">
        <v>520.42207356753568</v>
      </c>
      <c r="AI352" s="12">
        <v>1683.0642658625352</v>
      </c>
      <c r="AJ352" s="12">
        <v>1905.7425452072091</v>
      </c>
      <c r="AK352" s="12">
        <v>2586.0919530716747</v>
      </c>
      <c r="AL352" s="12">
        <v>2100.3766752647616</v>
      </c>
      <c r="AM352" s="12">
        <v>1786.1007935887992</v>
      </c>
      <c r="AN352" s="12">
        <v>3083.3155653582953</v>
      </c>
      <c r="AP352" s="12">
        <f t="shared" si="84"/>
        <v>1.044326421239979</v>
      </c>
      <c r="AQ352" s="12">
        <f t="shared" si="85"/>
        <v>0.95133882213396825</v>
      </c>
      <c r="AR352" s="12">
        <f t="shared" si="93"/>
        <v>1.192533224708987</v>
      </c>
      <c r="AS352" s="12">
        <f t="shared" si="94"/>
        <v>0.8692919677223494</v>
      </c>
      <c r="AT352" s="12">
        <f t="shared" si="95"/>
        <v>0.84478572334662971</v>
      </c>
      <c r="AU352" s="12">
        <f t="shared" si="86"/>
        <v>0.70461811299145349</v>
      </c>
      <c r="AV352" s="12">
        <f t="shared" si="87"/>
        <v>0.89634807995036592</v>
      </c>
      <c r="AW352" s="12">
        <f t="shared" si="88"/>
        <v>0.52899451124461838</v>
      </c>
      <c r="AX352" s="12">
        <f t="shared" si="89"/>
        <v>0.89693461785148454</v>
      </c>
      <c r="AY352" s="12">
        <f t="shared" si="90"/>
        <v>0.32778484935090824</v>
      </c>
      <c r="AZ352" s="12">
        <f t="shared" si="91"/>
        <v>0.44330303251719055</v>
      </c>
      <c r="BA352" s="12">
        <f t="shared" si="96"/>
        <v>0.5468547495122833</v>
      </c>
      <c r="BB352" s="12">
        <f t="shared" si="97"/>
        <v>0.3026392132670338</v>
      </c>
      <c r="BC352" s="12">
        <f t="shared" si="98"/>
        <v>0.82433801379016058</v>
      </c>
      <c r="BD352" s="12">
        <f t="shared" si="99"/>
        <v>0.71695400904241002</v>
      </c>
      <c r="BE352" s="12">
        <f t="shared" si="100"/>
        <v>0.76712674249487889</v>
      </c>
      <c r="BF352" s="12">
        <f t="shared" si="101"/>
        <v>0.46312478781272715</v>
      </c>
      <c r="BG352" s="12">
        <f t="shared" si="102"/>
        <v>0.67741648458650705</v>
      </c>
      <c r="BH352" s="12">
        <f t="shared" si="103"/>
        <v>0.66413335583127242</v>
      </c>
      <c r="BI352" s="12">
        <f t="shared" si="104"/>
        <v>0.81307378104607275</v>
      </c>
    </row>
    <row r="353" spans="1:61" x14ac:dyDescent="0.55000000000000004">
      <c r="A353" s="12" t="s">
        <v>869</v>
      </c>
      <c r="B353" s="12" t="s">
        <v>870</v>
      </c>
      <c r="C353" s="12" t="s">
        <v>322</v>
      </c>
      <c r="D353" s="12" t="s">
        <v>9</v>
      </c>
      <c r="E353" s="12">
        <v>1681</v>
      </c>
      <c r="F353" s="12">
        <v>68.359331168678239</v>
      </c>
      <c r="G353" s="12">
        <v>39.077687548099888</v>
      </c>
      <c r="H353" s="14">
        <f t="shared" si="92"/>
        <v>65689.592768355913</v>
      </c>
      <c r="I353" s="12">
        <v>44.080677718184148</v>
      </c>
      <c r="J353" s="12">
        <v>24.498020717446366</v>
      </c>
      <c r="K353" s="12">
        <v>22.85824906710447</v>
      </c>
      <c r="L353" s="12">
        <v>50.066893356836395</v>
      </c>
      <c r="M353" s="12">
        <v>29.997849485241012</v>
      </c>
      <c r="N353" s="12">
        <v>13.472020061649722</v>
      </c>
      <c r="O353" s="12">
        <v>12.768813911890762</v>
      </c>
      <c r="P353" s="12">
        <v>33.4664513112671</v>
      </c>
      <c r="Q353" s="12">
        <v>557.55944759099839</v>
      </c>
      <c r="R353" s="15">
        <v>76.704346763692371</v>
      </c>
      <c r="S353" s="15">
        <v>976.68226581520094</v>
      </c>
      <c r="T353" s="15">
        <v>1115.2715681423949</v>
      </c>
      <c r="U353" s="12">
        <v>23.856598465844375</v>
      </c>
      <c r="V353" s="12">
        <v>10.337643482812814</v>
      </c>
      <c r="W353" s="12">
        <v>43.544681477753201</v>
      </c>
      <c r="X353" s="12">
        <v>49.032178467474047</v>
      </c>
      <c r="Y353" s="12">
        <v>28.893349068957015</v>
      </c>
      <c r="Z353" s="12">
        <v>27.892152313916959</v>
      </c>
      <c r="AA353" s="12">
        <v>8.518920766985687</v>
      </c>
      <c r="AB353" s="12">
        <v>39.899395261407307</v>
      </c>
      <c r="AC353" s="12">
        <v>33.649976006162113</v>
      </c>
      <c r="AD353" s="12">
        <v>19.089788439018292</v>
      </c>
      <c r="AE353" s="12">
        <v>31.424373687508549</v>
      </c>
      <c r="AF353" s="12">
        <v>45.401621170459784</v>
      </c>
      <c r="AG353" s="12">
        <v>814.85157584277852</v>
      </c>
      <c r="AH353" s="12">
        <v>39.506967437274547</v>
      </c>
      <c r="AI353" s="12">
        <v>1563.0325683163555</v>
      </c>
      <c r="AJ353" s="12">
        <v>1749.7816669186407</v>
      </c>
      <c r="AK353" s="12">
        <v>546.69404933736951</v>
      </c>
      <c r="AL353" s="12">
        <v>1598.9148275769305</v>
      </c>
      <c r="AM353" s="12">
        <v>1027.8514131322083</v>
      </c>
      <c r="AN353" s="12">
        <v>1599.6358494337817</v>
      </c>
      <c r="AP353" s="12">
        <f t="shared" si="84"/>
        <v>1.2812143322250102</v>
      </c>
      <c r="AQ353" s="12">
        <f t="shared" si="85"/>
        <v>0.85640818101311555</v>
      </c>
      <c r="AR353" s="12">
        <f t="shared" si="93"/>
        <v>1.2547359258943198</v>
      </c>
      <c r="AS353" s="12">
        <f t="shared" si="94"/>
        <v>1.0210275419264765</v>
      </c>
      <c r="AT353" s="12">
        <f t="shared" si="95"/>
        <v>1.161829781114246</v>
      </c>
      <c r="AU353" s="12">
        <f t="shared" si="86"/>
        <v>0.88043564844362654</v>
      </c>
      <c r="AV353" s="12">
        <f t="shared" si="87"/>
        <v>0.48930578821506365</v>
      </c>
      <c r="AW353" s="12">
        <f t="shared" si="88"/>
        <v>0.45655417251854086</v>
      </c>
      <c r="AX353" s="12">
        <f t="shared" si="89"/>
        <v>0.89635585220060909</v>
      </c>
      <c r="AY353" s="12">
        <f t="shared" si="90"/>
        <v>0.4025529906457132</v>
      </c>
      <c r="AZ353" s="12">
        <f t="shared" si="91"/>
        <v>0.3815407194844081</v>
      </c>
      <c r="BA353" s="12">
        <f t="shared" si="96"/>
        <v>0.48654983750456593</v>
      </c>
      <c r="BB353" s="12">
        <f t="shared" si="97"/>
        <v>0.2108338606588811</v>
      </c>
      <c r="BC353" s="12">
        <f t="shared" si="98"/>
        <v>0.88808376129237199</v>
      </c>
      <c r="BD353" s="12">
        <f t="shared" si="99"/>
        <v>0.72415506249299244</v>
      </c>
      <c r="BE353" s="12">
        <f t="shared" si="100"/>
        <v>0.69906203167183456</v>
      </c>
      <c r="BF353" s="12">
        <f t="shared" si="101"/>
        <v>0.21351002217383513</v>
      </c>
      <c r="BG353" s="12">
        <f t="shared" si="102"/>
        <v>0.74116243294096762</v>
      </c>
      <c r="BH353" s="12">
        <f t="shared" si="103"/>
        <v>0.42046490735090569</v>
      </c>
      <c r="BI353" s="12">
        <f t="shared" si="104"/>
        <v>0.69214210588485714</v>
      </c>
    </row>
    <row r="354" spans="1:61" x14ac:dyDescent="0.55000000000000004">
      <c r="A354" s="12" t="s">
        <v>871</v>
      </c>
      <c r="B354" s="12" t="s">
        <v>872</v>
      </c>
      <c r="C354" s="12" t="s">
        <v>8</v>
      </c>
      <c r="D354" s="12" t="s">
        <v>9</v>
      </c>
      <c r="E354" s="12">
        <v>1610</v>
      </c>
      <c r="F354" s="12">
        <v>69.02326154046338</v>
      </c>
      <c r="G354" s="12">
        <v>40.412001488287721</v>
      </c>
      <c r="H354" s="14">
        <f t="shared" si="92"/>
        <v>65063.32239614323</v>
      </c>
      <c r="I354" s="12">
        <v>48.249474358924225</v>
      </c>
      <c r="J354" s="12">
        <v>26.25395453920251</v>
      </c>
      <c r="K354" s="12">
        <v>21.08288061560155</v>
      </c>
      <c r="L354" s="12">
        <v>53.592038846791979</v>
      </c>
      <c r="M354" s="12">
        <v>39.687761480932153</v>
      </c>
      <c r="N354" s="12">
        <v>19.610890023036319</v>
      </c>
      <c r="O354" s="12">
        <v>13.824341003698835</v>
      </c>
      <c r="P354" s="12">
        <v>43.932405673262345</v>
      </c>
      <c r="Q354" s="12">
        <v>585.12763081852427</v>
      </c>
      <c r="R354" s="15">
        <v>225.60626404543535</v>
      </c>
      <c r="S354" s="15">
        <v>839.04065279408655</v>
      </c>
      <c r="T354" s="15">
        <v>996.28534453871634</v>
      </c>
      <c r="U354" s="12">
        <v>143.23556069955998</v>
      </c>
      <c r="V354" s="12">
        <v>39.579918873650399</v>
      </c>
      <c r="W354" s="12">
        <v>58.521750458559097</v>
      </c>
      <c r="X354" s="12">
        <v>159.58816249207737</v>
      </c>
      <c r="Y354" s="12">
        <v>28.551137165151925</v>
      </c>
      <c r="Z354" s="12">
        <v>18.468576925869527</v>
      </c>
      <c r="AA354" s="12">
        <v>16.207456525971654</v>
      </c>
      <c r="AB354" s="12">
        <v>35.653187978592186</v>
      </c>
      <c r="AC354" s="12">
        <v>29.357311551137791</v>
      </c>
      <c r="AD354" s="12">
        <v>19.347026990178218</v>
      </c>
      <c r="AE354" s="12">
        <v>26.911475421552556</v>
      </c>
      <c r="AF354" s="12">
        <v>43.159513552801947</v>
      </c>
      <c r="AG354" s="12">
        <v>716.58483645791489</v>
      </c>
      <c r="AH354" s="12">
        <v>1976.4022099003037</v>
      </c>
      <c r="AI354" s="12">
        <v>1764.2727931371685</v>
      </c>
      <c r="AJ354" s="12">
        <v>1987.9523571986203</v>
      </c>
      <c r="AK354" s="12">
        <v>2594.9152616869396</v>
      </c>
      <c r="AL354" s="12">
        <v>1312.1755072222304</v>
      </c>
      <c r="AM354" s="12">
        <v>3080.5368297713908</v>
      </c>
      <c r="AN354" s="12">
        <v>3907.5643505835028</v>
      </c>
      <c r="AP354" s="12">
        <f t="shared" si="84"/>
        <v>1.3261416627019604</v>
      </c>
      <c r="AQ354" s="12">
        <f t="shared" si="85"/>
        <v>1.0871128391399993</v>
      </c>
      <c r="AR354" s="12">
        <f t="shared" si="93"/>
        <v>3.9490289175192053</v>
      </c>
      <c r="AS354" s="12">
        <f t="shared" si="94"/>
        <v>0.88224256818671198</v>
      </c>
      <c r="AT354" s="12">
        <f t="shared" si="95"/>
        <v>1.067987527549471</v>
      </c>
      <c r="AU354" s="12">
        <f t="shared" si="86"/>
        <v>0.90031048262334279</v>
      </c>
      <c r="AV354" s="12">
        <f t="shared" si="87"/>
        <v>0.48988534685640295</v>
      </c>
      <c r="AW354" s="12">
        <f t="shared" si="88"/>
        <v>0.3933957555873725</v>
      </c>
      <c r="AX354" s="12">
        <f t="shared" si="89"/>
        <v>0.90338238648029423</v>
      </c>
      <c r="AY354" s="12">
        <f t="shared" si="90"/>
        <v>0.44638780240918341</v>
      </c>
      <c r="AZ354" s="12">
        <f t="shared" si="91"/>
        <v>0.31467297981618275</v>
      </c>
      <c r="BA354" s="12">
        <f t="shared" si="96"/>
        <v>0.89753248901948346</v>
      </c>
      <c r="BB354" s="12">
        <f t="shared" si="97"/>
        <v>0.24801287423567717</v>
      </c>
      <c r="BC354" s="12">
        <f t="shared" si="98"/>
        <v>0.36670483289425909</v>
      </c>
      <c r="BD354" s="12">
        <f t="shared" si="99"/>
        <v>0.80080180157508896</v>
      </c>
      <c r="BE354" s="12">
        <f t="shared" si="100"/>
        <v>0.51800632630548804</v>
      </c>
      <c r="BF354" s="12">
        <f t="shared" si="101"/>
        <v>0.45458646042265161</v>
      </c>
      <c r="BG354" s="12">
        <f t="shared" si="102"/>
        <v>0.68020487569262444</v>
      </c>
      <c r="BH354" s="12">
        <f t="shared" si="103"/>
        <v>0.44826795757345128</v>
      </c>
      <c r="BI354" s="12">
        <f t="shared" si="104"/>
        <v>0.62353518856575352</v>
      </c>
    </row>
    <row r="355" spans="1:61" x14ac:dyDescent="0.55000000000000004">
      <c r="A355" s="12" t="s">
        <v>873</v>
      </c>
      <c r="B355" s="12" t="s">
        <v>874</v>
      </c>
      <c r="C355" s="12" t="s">
        <v>322</v>
      </c>
      <c r="D355" s="12" t="s">
        <v>9</v>
      </c>
      <c r="E355" s="12">
        <v>1750</v>
      </c>
      <c r="F355" s="12">
        <v>66.483467905339253</v>
      </c>
      <c r="G355" s="12">
        <v>72.951682380244662</v>
      </c>
      <c r="H355" s="14">
        <f t="shared" si="92"/>
        <v>127665.44416542815</v>
      </c>
      <c r="I355" s="12">
        <v>44.290472216204904</v>
      </c>
      <c r="J355" s="12">
        <v>8.8510985360650096</v>
      </c>
      <c r="K355" s="12">
        <v>19.756237433933165</v>
      </c>
      <c r="L355" s="12">
        <v>47.533937713581786</v>
      </c>
      <c r="M355" s="12">
        <v>36.052026595478459</v>
      </c>
      <c r="N355" s="12">
        <v>22.843535699737465</v>
      </c>
      <c r="O355" s="12">
        <v>9.3220941342824162</v>
      </c>
      <c r="P355" s="12">
        <v>36.838468557022402</v>
      </c>
      <c r="Q355" s="12">
        <v>744.6630881198173</v>
      </c>
      <c r="R355" s="15">
        <v>18.78496098227216</v>
      </c>
      <c r="S355" s="15">
        <v>724.00167165661617</v>
      </c>
      <c r="T355" s="15">
        <v>840.28560467164061</v>
      </c>
      <c r="U355" s="12">
        <v>30.327742554382947</v>
      </c>
      <c r="V355" s="12">
        <v>12.467244929043215</v>
      </c>
      <c r="W355" s="12">
        <v>38.32899526476394</v>
      </c>
      <c r="X355" s="12">
        <v>44.145501210442191</v>
      </c>
      <c r="Y355" s="12">
        <v>24.292701781392417</v>
      </c>
      <c r="Z355" s="12">
        <v>24.981333505965157</v>
      </c>
      <c r="AA355" s="12">
        <v>19.30674179113376</v>
      </c>
      <c r="AB355" s="12">
        <v>33.481335278434734</v>
      </c>
      <c r="AC355" s="12">
        <v>34.89198404526374</v>
      </c>
      <c r="AD355" s="12">
        <v>21.783231974196475</v>
      </c>
      <c r="AE355" s="12">
        <v>26.194341277366728</v>
      </c>
      <c r="AF355" s="12">
        <v>43.174105512604648</v>
      </c>
      <c r="AG355" s="12">
        <v>722.25305312013347</v>
      </c>
      <c r="AH355" s="12">
        <v>63.352968380718806</v>
      </c>
      <c r="AI355" s="12">
        <v>1453.7232850408791</v>
      </c>
      <c r="AJ355" s="12">
        <v>1594.6174278888591</v>
      </c>
      <c r="AK355" s="12">
        <v>707.66496400539063</v>
      </c>
      <c r="AL355" s="12">
        <v>3255.3093851632188</v>
      </c>
      <c r="AM355" s="12">
        <v>528.84479842985809</v>
      </c>
      <c r="AN355" s="12">
        <v>3265.5564846218385</v>
      </c>
      <c r="AP355" s="12">
        <f t="shared" si="84"/>
        <v>0.6515811035833492</v>
      </c>
      <c r="AQ355" s="12">
        <f t="shared" si="85"/>
        <v>0.50497078826791075</v>
      </c>
      <c r="AR355" s="12">
        <f t="shared" si="93"/>
        <v>0.6051334221511635</v>
      </c>
      <c r="AS355" s="12">
        <f t="shared" si="94"/>
        <v>0.45895220214279103</v>
      </c>
      <c r="AT355" s="12">
        <f t="shared" si="95"/>
        <v>0.59181781836872627</v>
      </c>
      <c r="AU355" s="12">
        <f t="shared" si="86"/>
        <v>0.93176526807182369</v>
      </c>
      <c r="AV355" s="12">
        <f t="shared" si="87"/>
        <v>0.18620587651285622</v>
      </c>
      <c r="AW355" s="12">
        <f t="shared" si="88"/>
        <v>0.41562383392210006</v>
      </c>
      <c r="AX355" s="12">
        <f t="shared" si="89"/>
        <v>0.97865161087446928</v>
      </c>
      <c r="AY355" s="12">
        <f t="shared" si="90"/>
        <v>0.6201000365793673</v>
      </c>
      <c r="AZ355" s="12">
        <f t="shared" si="91"/>
        <v>0.25305324839583687</v>
      </c>
      <c r="BA355" s="12">
        <f t="shared" si="96"/>
        <v>0.68699508948398147</v>
      </c>
      <c r="BB355" s="12">
        <f t="shared" si="97"/>
        <v>0.28241258083381343</v>
      </c>
      <c r="BC355" s="12">
        <f t="shared" si="98"/>
        <v>0.86824238515379204</v>
      </c>
      <c r="BD355" s="12">
        <f t="shared" si="99"/>
        <v>0.72555952680415647</v>
      </c>
      <c r="BE355" s="12">
        <f t="shared" si="100"/>
        <v>0.74612715706280652</v>
      </c>
      <c r="BF355" s="12">
        <f t="shared" si="101"/>
        <v>0.57664192991637331</v>
      </c>
      <c r="BG355" s="12">
        <f t="shared" si="102"/>
        <v>0.80816924012651636</v>
      </c>
      <c r="BH355" s="12">
        <f t="shared" si="103"/>
        <v>0.50454390926146409</v>
      </c>
      <c r="BI355" s="12">
        <f t="shared" si="104"/>
        <v>0.60671416272235934</v>
      </c>
    </row>
    <row r="356" spans="1:61" x14ac:dyDescent="0.55000000000000004">
      <c r="A356" s="12" t="s">
        <v>875</v>
      </c>
      <c r="B356" s="12" t="s">
        <v>876</v>
      </c>
      <c r="C356" s="12" t="s">
        <v>322</v>
      </c>
      <c r="D356" s="12" t="s">
        <v>9</v>
      </c>
      <c r="E356" s="12">
        <v>2361</v>
      </c>
      <c r="F356" s="12">
        <v>67.414219872391996</v>
      </c>
      <c r="G356" s="12">
        <v>30.145817779583911</v>
      </c>
      <c r="H356" s="14">
        <f t="shared" si="92"/>
        <v>71174.275777597621</v>
      </c>
      <c r="I356" s="12">
        <v>39.619602796597064</v>
      </c>
      <c r="J356" s="12">
        <v>13.990534625079979</v>
      </c>
      <c r="K356" s="12">
        <v>17.740634837532451</v>
      </c>
      <c r="L356" s="12">
        <v>42.1328782745531</v>
      </c>
      <c r="M356" s="12">
        <v>33.750133352632645</v>
      </c>
      <c r="N356" s="12">
        <v>10.173385418471973</v>
      </c>
      <c r="O356" s="12">
        <v>7.5063902943331531</v>
      </c>
      <c r="P356" s="12">
        <v>35.344309114763057</v>
      </c>
      <c r="Q356" s="12">
        <v>472.23170041735</v>
      </c>
      <c r="R356" s="15">
        <v>24.659362586095089</v>
      </c>
      <c r="S356" s="15">
        <v>757.47242068746073</v>
      </c>
      <c r="T356" s="15">
        <v>759.04083427671014</v>
      </c>
      <c r="U356" s="12">
        <v>48.90060577570992</v>
      </c>
      <c r="V356" s="12">
        <v>10.945045920383226</v>
      </c>
      <c r="W356" s="12">
        <v>48.118149845452784</v>
      </c>
      <c r="X356" s="12">
        <v>52.496927249841526</v>
      </c>
      <c r="Y356" s="12">
        <v>22.227314099746568</v>
      </c>
      <c r="Z356" s="12">
        <v>26.05282931567217</v>
      </c>
      <c r="AA356" s="12">
        <v>11.923961436614228</v>
      </c>
      <c r="AB356" s="12">
        <v>35.046803969036944</v>
      </c>
      <c r="AC356" s="12">
        <v>27.295900973798894</v>
      </c>
      <c r="AD356" s="12">
        <v>13.941576058343822</v>
      </c>
      <c r="AE356" s="12">
        <v>27.916145640692875</v>
      </c>
      <c r="AF356" s="12">
        <v>38.925433902399519</v>
      </c>
      <c r="AG356" s="12">
        <v>671.46753851637652</v>
      </c>
      <c r="AH356" s="12">
        <v>138.35783255099827</v>
      </c>
      <c r="AI356" s="12">
        <v>1691.8246789658381</v>
      </c>
      <c r="AJ356" s="12">
        <v>1775.6488276019259</v>
      </c>
      <c r="AK356" s="12">
        <v>1272.6145351028817</v>
      </c>
      <c r="AL356" s="12">
        <v>1933.2876304116639</v>
      </c>
      <c r="AM356" s="12">
        <v>1096.8372372540825</v>
      </c>
      <c r="AN356" s="12">
        <v>1936.389344792542</v>
      </c>
      <c r="AP356" s="12">
        <f t="shared" si="84"/>
        <v>1.3976359368524864</v>
      </c>
      <c r="AQ356" s="12">
        <f t="shared" si="85"/>
        <v>1.1724448602850575</v>
      </c>
      <c r="AR356" s="12">
        <f t="shared" si="93"/>
        <v>1.7414331776859204</v>
      </c>
      <c r="AS356" s="12">
        <f t="shared" si="94"/>
        <v>1.1625759906494293</v>
      </c>
      <c r="AT356" s="12">
        <f t="shared" si="95"/>
        <v>1.2912382801159752</v>
      </c>
      <c r="AU356" s="12">
        <f t="shared" si="86"/>
        <v>0.9403488301563776</v>
      </c>
      <c r="AV356" s="12">
        <f t="shared" si="87"/>
        <v>0.33205741449498388</v>
      </c>
      <c r="AW356" s="12">
        <f t="shared" si="88"/>
        <v>0.42106391882197192</v>
      </c>
      <c r="AX356" s="12">
        <f t="shared" si="89"/>
        <v>0.95489582900166137</v>
      </c>
      <c r="AY356" s="12">
        <f t="shared" si="90"/>
        <v>0.28783659019727803</v>
      </c>
      <c r="AZ356" s="12">
        <f t="shared" si="91"/>
        <v>0.21237903589966592</v>
      </c>
      <c r="BA356" s="12">
        <f t="shared" si="96"/>
        <v>0.93149462906626668</v>
      </c>
      <c r="BB356" s="12">
        <f t="shared" si="97"/>
        <v>0.20848926772978443</v>
      </c>
      <c r="BC356" s="12">
        <f t="shared" si="98"/>
        <v>0.91658983422878415</v>
      </c>
      <c r="BD356" s="12">
        <f t="shared" si="99"/>
        <v>0.63421800513918181</v>
      </c>
      <c r="BE356" s="12">
        <f t="shared" si="100"/>
        <v>0.74337247238547788</v>
      </c>
      <c r="BF356" s="12">
        <f t="shared" si="101"/>
        <v>0.34022963826170216</v>
      </c>
      <c r="BG356" s="12">
        <f t="shared" si="102"/>
        <v>0.70123562507330883</v>
      </c>
      <c r="BH356" s="12">
        <f t="shared" si="103"/>
        <v>0.35816109573243338</v>
      </c>
      <c r="BI356" s="12">
        <f t="shared" si="104"/>
        <v>0.71716979984575102</v>
      </c>
    </row>
    <row r="357" spans="1:61" x14ac:dyDescent="0.55000000000000004">
      <c r="A357" s="12" t="s">
        <v>877</v>
      </c>
      <c r="B357" s="12" t="s">
        <v>878</v>
      </c>
      <c r="C357" s="12" t="s">
        <v>322</v>
      </c>
      <c r="D357" s="12" t="s">
        <v>9</v>
      </c>
      <c r="E357" s="12">
        <v>1848</v>
      </c>
      <c r="F357" s="12">
        <v>65.033507565844985</v>
      </c>
      <c r="G357" s="12">
        <v>41.050601592276905</v>
      </c>
      <c r="H357" s="14">
        <f t="shared" si="92"/>
        <v>75861.511742527728</v>
      </c>
      <c r="I357" s="12">
        <v>21.208042274379601</v>
      </c>
      <c r="J357" s="12">
        <v>15.332519113986557</v>
      </c>
      <c r="K357" s="12">
        <v>34.872982894991878</v>
      </c>
      <c r="L357" s="12">
        <v>42.127531515059722</v>
      </c>
      <c r="M357" s="12">
        <v>34.171978880264014</v>
      </c>
      <c r="N357" s="12">
        <v>14.904138036155729</v>
      </c>
      <c r="O357" s="12">
        <v>15.102724153576141</v>
      </c>
      <c r="P357" s="12">
        <v>39.860205172732201</v>
      </c>
      <c r="Q357" s="12">
        <v>671.99483565112575</v>
      </c>
      <c r="R357" s="15">
        <v>38.53309504348109</v>
      </c>
      <c r="S357" s="15">
        <v>1295.3393190935665</v>
      </c>
      <c r="T357" s="15">
        <v>1308.5774422756842</v>
      </c>
      <c r="U357" s="12">
        <v>44.145574708733641</v>
      </c>
      <c r="V357" s="12">
        <v>8.2223491245134088</v>
      </c>
      <c r="W357" s="12">
        <v>44.856859412917856</v>
      </c>
      <c r="X357" s="12">
        <v>48.17966741047352</v>
      </c>
      <c r="Y357" s="12">
        <v>28.008751991050289</v>
      </c>
      <c r="Z357" s="12">
        <v>21.701596934218504</v>
      </c>
      <c r="AA357" s="12">
        <v>13.31306709802047</v>
      </c>
      <c r="AB357" s="12">
        <v>34.509890804479603</v>
      </c>
      <c r="AC357" s="12">
        <v>42.741840090819124</v>
      </c>
      <c r="AD357" s="12">
        <v>21.79807124178059</v>
      </c>
      <c r="AE357" s="12">
        <v>32.779095579598007</v>
      </c>
      <c r="AF357" s="12">
        <v>53.217911674928594</v>
      </c>
      <c r="AG357" s="12">
        <v>670.58969122612348</v>
      </c>
      <c r="AH357" s="12">
        <v>160.86555058360287</v>
      </c>
      <c r="AI357" s="12">
        <v>1599.1035261520019</v>
      </c>
      <c r="AJ357" s="12">
        <v>1698.267294913715</v>
      </c>
      <c r="AK357" s="12">
        <v>1173.693639424891</v>
      </c>
      <c r="AL357" s="12">
        <v>2994.0440545591705</v>
      </c>
      <c r="AM357" s="12">
        <v>862.53970309032331</v>
      </c>
      <c r="AN357" s="12">
        <v>3005.2116769791928</v>
      </c>
      <c r="AP357" s="12">
        <f t="shared" si="84"/>
        <v>1.0262342056147948</v>
      </c>
      <c r="AQ357" s="12">
        <f t="shared" si="85"/>
        <v>0.97100173022144798</v>
      </c>
      <c r="AR357" s="12">
        <f t="shared" si="93"/>
        <v>1.1736653189398776</v>
      </c>
      <c r="AS357" s="12">
        <f t="shared" si="94"/>
        <v>0.84066711487541645</v>
      </c>
      <c r="AT357" s="12">
        <f t="shared" si="95"/>
        <v>1.2963978507184848</v>
      </c>
      <c r="AU357" s="12">
        <f t="shared" si="86"/>
        <v>0.50342475601254166</v>
      </c>
      <c r="AV357" s="12">
        <f t="shared" si="87"/>
        <v>0.36395484289188645</v>
      </c>
      <c r="AW357" s="12">
        <f t="shared" si="88"/>
        <v>0.8277955446434242</v>
      </c>
      <c r="AX357" s="12">
        <f t="shared" si="89"/>
        <v>0.8572956092970786</v>
      </c>
      <c r="AY357" s="12">
        <f t="shared" si="90"/>
        <v>0.37391021876504132</v>
      </c>
      <c r="AZ357" s="12">
        <f t="shared" si="91"/>
        <v>0.37889228337208108</v>
      </c>
      <c r="BA357" s="12">
        <f t="shared" si="96"/>
        <v>0.91626981009705077</v>
      </c>
      <c r="BB357" s="12">
        <f t="shared" si="97"/>
        <v>0.17066014703800128</v>
      </c>
      <c r="BC357" s="12">
        <f t="shared" si="98"/>
        <v>0.93103298183346661</v>
      </c>
      <c r="BD357" s="12">
        <f t="shared" si="99"/>
        <v>0.81161520184858349</v>
      </c>
      <c r="BE357" s="12">
        <f t="shared" si="100"/>
        <v>0.62885150976489035</v>
      </c>
      <c r="BF357" s="12">
        <f t="shared" si="101"/>
        <v>0.38577540489616241</v>
      </c>
      <c r="BG357" s="12">
        <f t="shared" si="102"/>
        <v>0.80314763856010463</v>
      </c>
      <c r="BH357" s="12">
        <f t="shared" si="103"/>
        <v>0.40960027471445942</v>
      </c>
      <c r="BI357" s="12">
        <f t="shared" si="104"/>
        <v>0.61594103466184136</v>
      </c>
    </row>
    <row r="358" spans="1:61" x14ac:dyDescent="0.55000000000000004">
      <c r="A358" s="12" t="s">
        <v>879</v>
      </c>
      <c r="B358" s="12" t="s">
        <v>880</v>
      </c>
      <c r="C358" s="12" t="s">
        <v>51</v>
      </c>
      <c r="D358" s="12" t="s">
        <v>9</v>
      </c>
      <c r="E358" s="12">
        <v>1687</v>
      </c>
      <c r="F358" s="12">
        <v>66.964550380502956</v>
      </c>
      <c r="G358" s="12">
        <v>39.498244994432788</v>
      </c>
      <c r="H358" s="14">
        <f t="shared" si="92"/>
        <v>66633.539305608108</v>
      </c>
      <c r="I358" s="12">
        <v>39.040336565794043</v>
      </c>
      <c r="J358" s="12">
        <v>16.360196115711098</v>
      </c>
      <c r="K358" s="12">
        <v>29.505193657135823</v>
      </c>
      <c r="L358" s="12">
        <v>43.399945846595394</v>
      </c>
      <c r="M358" s="12">
        <v>31.83384755809519</v>
      </c>
      <c r="N358" s="12">
        <v>13.838071131180754</v>
      </c>
      <c r="O358" s="12">
        <v>9.8636928118752749</v>
      </c>
      <c r="P358" s="12">
        <v>33.551157284152602</v>
      </c>
      <c r="Q358" s="12">
        <v>259.16204559720774</v>
      </c>
      <c r="R358" s="15">
        <v>208.55609233287112</v>
      </c>
      <c r="S358" s="15">
        <v>1068.4000523235136</v>
      </c>
      <c r="T358" s="15">
        <v>1070.2369612167136</v>
      </c>
      <c r="U358" s="12">
        <v>37.624313233966852</v>
      </c>
      <c r="V358" s="12">
        <v>11.570536109537388</v>
      </c>
      <c r="W358" s="12">
        <v>45.596985760543035</v>
      </c>
      <c r="X358" s="12">
        <v>50.941917965556833</v>
      </c>
      <c r="Y358" s="12">
        <v>24.197159959934751</v>
      </c>
      <c r="Z358" s="12">
        <v>27.184058363275419</v>
      </c>
      <c r="AA358" s="12">
        <v>15.175489073073386</v>
      </c>
      <c r="AB358" s="12">
        <v>36.043624419310028</v>
      </c>
      <c r="AC358" s="12">
        <v>27.635770873286532</v>
      </c>
      <c r="AD358" s="12">
        <v>23.622511350473943</v>
      </c>
      <c r="AE358" s="12">
        <v>29.303233573487397</v>
      </c>
      <c r="AF358" s="12">
        <v>43.205011010631054</v>
      </c>
      <c r="AG358" s="12">
        <v>704.00067803766149</v>
      </c>
      <c r="AH358" s="12">
        <v>61.371770440014885</v>
      </c>
      <c r="AI358" s="12">
        <v>1655.644486114953</v>
      </c>
      <c r="AJ358" s="12">
        <v>1784.9627407452936</v>
      </c>
      <c r="AK358" s="12">
        <v>839.59160446483941</v>
      </c>
      <c r="AL358" s="12">
        <v>2655.9397112271049</v>
      </c>
      <c r="AM358" s="12">
        <v>724.65014534277805</v>
      </c>
      <c r="AN358" s="12">
        <v>2657.2606046489755</v>
      </c>
      <c r="AP358" s="12">
        <f t="shared" si="84"/>
        <v>1.0987816256826739</v>
      </c>
      <c r="AQ358" s="12">
        <f t="shared" si="85"/>
        <v>0.84943412774115867</v>
      </c>
      <c r="AR358" s="12">
        <f t="shared" si="93"/>
        <v>1.2897261124573258</v>
      </c>
      <c r="AS358" s="12">
        <f t="shared" si="94"/>
        <v>0.91253736525231222</v>
      </c>
      <c r="AT358" s="12">
        <f t="shared" si="95"/>
        <v>1.0938463472673463</v>
      </c>
      <c r="AU358" s="12">
        <f t="shared" si="86"/>
        <v>0.89954804791206089</v>
      </c>
      <c r="AV358" s="12">
        <f t="shared" si="87"/>
        <v>0.37696351450619403</v>
      </c>
      <c r="AW358" s="12">
        <f t="shared" si="88"/>
        <v>0.67984402011530221</v>
      </c>
      <c r="AX358" s="12">
        <f t="shared" si="89"/>
        <v>0.94881518656679664</v>
      </c>
      <c r="AY358" s="12">
        <f t="shared" si="90"/>
        <v>0.41244690947566703</v>
      </c>
      <c r="AZ358" s="12">
        <f t="shared" si="91"/>
        <v>0.2939896447784901</v>
      </c>
      <c r="BA358" s="12">
        <f t="shared" si="96"/>
        <v>0.73857276554458817</v>
      </c>
      <c r="BB358" s="12">
        <f t="shared" si="97"/>
        <v>0.22713192929564471</v>
      </c>
      <c r="BC358" s="12">
        <f t="shared" si="98"/>
        <v>0.89507791582115837</v>
      </c>
      <c r="BD358" s="12">
        <f t="shared" si="99"/>
        <v>0.6713298218414282</v>
      </c>
      <c r="BE358" s="12">
        <f t="shared" si="100"/>
        <v>0.75419880218016644</v>
      </c>
      <c r="BF358" s="12">
        <f t="shared" si="101"/>
        <v>0.42103116203106539</v>
      </c>
      <c r="BG358" s="12">
        <f t="shared" si="102"/>
        <v>0.63964272261119104</v>
      </c>
      <c r="BH358" s="12">
        <f t="shared" si="103"/>
        <v>0.54675397130812842</v>
      </c>
      <c r="BI358" s="12">
        <f t="shared" si="104"/>
        <v>0.67823691946929543</v>
      </c>
    </row>
    <row r="359" spans="1:61" x14ac:dyDescent="0.55000000000000004">
      <c r="A359" s="12" t="s">
        <v>881</v>
      </c>
      <c r="B359" s="12" t="s">
        <v>880</v>
      </c>
      <c r="C359" s="12" t="s">
        <v>8</v>
      </c>
      <c r="D359" s="12" t="s">
        <v>9</v>
      </c>
      <c r="E359" s="12">
        <v>1624</v>
      </c>
      <c r="F359" s="12">
        <v>65.393298308284756</v>
      </c>
      <c r="G359" s="12">
        <v>38.694587779940335</v>
      </c>
      <c r="H359" s="14">
        <f t="shared" si="92"/>
        <v>62840.010554623106</v>
      </c>
      <c r="I359" s="12">
        <v>40.542404707804849</v>
      </c>
      <c r="J359" s="12">
        <v>19.256454249093821</v>
      </c>
      <c r="K359" s="12">
        <v>42.680545229202707</v>
      </c>
      <c r="L359" s="12">
        <v>53.216534931085832</v>
      </c>
      <c r="M359" s="12">
        <v>32.276495348139655</v>
      </c>
      <c r="N359" s="12">
        <v>16.74477456974445</v>
      </c>
      <c r="O359" s="12">
        <v>12.852062321728045</v>
      </c>
      <c r="P359" s="12">
        <v>36.604778939989977</v>
      </c>
      <c r="Q359" s="12">
        <v>381.53163905651388</v>
      </c>
      <c r="R359" s="15">
        <v>71.21449526335914</v>
      </c>
      <c r="S359" s="15">
        <v>1443.2920017306153</v>
      </c>
      <c r="T359" s="15">
        <v>1448.426841052009</v>
      </c>
      <c r="U359" s="12">
        <v>26.581146283456071</v>
      </c>
      <c r="V359" s="12">
        <v>10.508211634709809</v>
      </c>
      <c r="W359" s="12">
        <v>48.497898366369419</v>
      </c>
      <c r="X359" s="12">
        <v>53.833574969972723</v>
      </c>
      <c r="Y359" s="12">
        <v>26.2559385817232</v>
      </c>
      <c r="Z359" s="12">
        <v>25.386819969371427</v>
      </c>
      <c r="AA359" s="12">
        <v>13.299812088867444</v>
      </c>
      <c r="AB359" s="12">
        <v>34.910438498496923</v>
      </c>
      <c r="AC359" s="12">
        <v>31.434184105595939</v>
      </c>
      <c r="AD359" s="12">
        <v>22.765321911403472</v>
      </c>
      <c r="AE359" s="12">
        <v>27.614029958329326</v>
      </c>
      <c r="AF359" s="12">
        <v>46.235166077512687</v>
      </c>
      <c r="AG359" s="12">
        <v>735.57812994372262</v>
      </c>
      <c r="AH359" s="12">
        <v>258.14746204783586</v>
      </c>
      <c r="AI359" s="12">
        <v>1741.913131460195</v>
      </c>
      <c r="AJ359" s="12">
        <v>1888.2627207739488</v>
      </c>
      <c r="AK359" s="12">
        <v>966.86754563781631</v>
      </c>
      <c r="AL359" s="12">
        <v>2432.401032410381</v>
      </c>
      <c r="AM359" s="12">
        <v>1186.4467129197731</v>
      </c>
      <c r="AN359" s="12">
        <v>2472.4183889026458</v>
      </c>
      <c r="AP359" s="12">
        <f t="shared" si="84"/>
        <v>1.3752965979049354</v>
      </c>
      <c r="AQ359" s="12">
        <f t="shared" si="85"/>
        <v>0.94599221855430293</v>
      </c>
      <c r="AR359" s="12">
        <f t="shared" si="93"/>
        <v>1.3912430150730433</v>
      </c>
      <c r="AS359" s="12">
        <f t="shared" si="94"/>
        <v>0.90220468808288601</v>
      </c>
      <c r="AT359" s="12">
        <f t="shared" si="95"/>
        <v>1.1948742377217276</v>
      </c>
      <c r="AU359" s="12">
        <f t="shared" si="86"/>
        <v>0.76183849174521256</v>
      </c>
      <c r="AV359" s="12">
        <f t="shared" si="87"/>
        <v>0.36185095993248112</v>
      </c>
      <c r="AW359" s="12">
        <f t="shared" si="88"/>
        <v>0.80201661540859459</v>
      </c>
      <c r="AX359" s="12">
        <f t="shared" si="89"/>
        <v>0.88175632479720401</v>
      </c>
      <c r="AY359" s="12">
        <f t="shared" si="90"/>
        <v>0.45744777197523584</v>
      </c>
      <c r="AZ359" s="12">
        <f t="shared" si="91"/>
        <v>0.35110339944403895</v>
      </c>
      <c r="BA359" s="12">
        <f t="shared" si="96"/>
        <v>0.49376520690447356</v>
      </c>
      <c r="BB359" s="12">
        <f t="shared" si="97"/>
        <v>0.19519810156711823</v>
      </c>
      <c r="BC359" s="12">
        <f t="shared" si="98"/>
        <v>0.90088570921438083</v>
      </c>
      <c r="BD359" s="12">
        <f t="shared" si="99"/>
        <v>0.75209420766380963</v>
      </c>
      <c r="BE359" s="12">
        <f t="shared" si="100"/>
        <v>0.72719854179042931</v>
      </c>
      <c r="BF359" s="12">
        <f t="shared" si="101"/>
        <v>0.3809694939649661</v>
      </c>
      <c r="BG359" s="12">
        <f t="shared" si="102"/>
        <v>0.67987609372694624</v>
      </c>
      <c r="BH359" s="12">
        <f t="shared" si="103"/>
        <v>0.49238109955607579</v>
      </c>
      <c r="BI359" s="12">
        <f t="shared" si="104"/>
        <v>0.59725166579989664</v>
      </c>
    </row>
    <row r="360" spans="1:61" x14ac:dyDescent="0.55000000000000004">
      <c r="A360" s="12" t="s">
        <v>882</v>
      </c>
      <c r="B360" s="12" t="s">
        <v>883</v>
      </c>
      <c r="C360" s="12" t="s">
        <v>322</v>
      </c>
      <c r="D360" s="12" t="s">
        <v>9</v>
      </c>
      <c r="E360" s="12">
        <v>2183</v>
      </c>
      <c r="F360" s="12">
        <v>68.352189820100023</v>
      </c>
      <c r="G360" s="12">
        <v>46.790630004346845</v>
      </c>
      <c r="H360" s="14">
        <f t="shared" si="92"/>
        <v>102143.94529948916</v>
      </c>
      <c r="I360" s="12">
        <v>33.350537111181261</v>
      </c>
      <c r="J360" s="12">
        <v>10.483098450667898</v>
      </c>
      <c r="K360" s="12">
        <v>26.662264025444273</v>
      </c>
      <c r="L360" s="12">
        <v>42.506514739117648</v>
      </c>
      <c r="M360" s="12">
        <v>37.119608499040481</v>
      </c>
      <c r="N360" s="12">
        <v>8.0617345921767676</v>
      </c>
      <c r="O360" s="12">
        <v>8.9198218336239155</v>
      </c>
      <c r="P360" s="12">
        <v>38.050572505717412</v>
      </c>
      <c r="Q360" s="12">
        <v>450.2438657155958</v>
      </c>
      <c r="R360" s="15">
        <v>48.674675635667413</v>
      </c>
      <c r="S360" s="15">
        <v>792.04436109298604</v>
      </c>
      <c r="T360" s="15">
        <v>793.22582947414264</v>
      </c>
      <c r="U360" s="12">
        <v>42.997197894600752</v>
      </c>
      <c r="V360" s="12">
        <v>24.028353748365038</v>
      </c>
      <c r="W360" s="12">
        <v>46.865920344278464</v>
      </c>
      <c r="X360" s="12">
        <v>62.357379065423224</v>
      </c>
      <c r="Y360" s="12">
        <v>25.322624887182364</v>
      </c>
      <c r="Z360" s="12">
        <v>36.768487961789972</v>
      </c>
      <c r="AA360" s="12">
        <v>26.637453500757847</v>
      </c>
      <c r="AB360" s="12">
        <v>43.725433721815463</v>
      </c>
      <c r="AC360" s="12">
        <v>30.246152414958118</v>
      </c>
      <c r="AD360" s="12">
        <v>24.69203547401851</v>
      </c>
      <c r="AE360" s="12">
        <v>40.677234610069689</v>
      </c>
      <c r="AF360" s="12">
        <v>49.020199753366597</v>
      </c>
      <c r="AG360" s="12">
        <v>1239.4870156896727</v>
      </c>
      <c r="AH360" s="12">
        <v>37.237520724759577</v>
      </c>
      <c r="AI360" s="12">
        <v>2114.3490763842465</v>
      </c>
      <c r="AJ360" s="12">
        <v>2351.8834262962</v>
      </c>
      <c r="AK360" s="12">
        <v>2627.7513097897527</v>
      </c>
      <c r="AL360" s="12">
        <v>3214.9283532411</v>
      </c>
      <c r="AM360" s="12">
        <v>1357.4761676399144</v>
      </c>
      <c r="AN360" s="12">
        <v>3414.2762971682178</v>
      </c>
      <c r="AP360" s="12">
        <f t="shared" si="84"/>
        <v>0.90844074412267584</v>
      </c>
      <c r="AQ360" s="12">
        <f t="shared" si="85"/>
        <v>0.81320923659678268</v>
      </c>
      <c r="AR360" s="12">
        <f t="shared" si="93"/>
        <v>1.3326894521324084</v>
      </c>
      <c r="AS360" s="12">
        <f t="shared" si="94"/>
        <v>0.93449123719328797</v>
      </c>
      <c r="AT360" s="12">
        <f t="shared" si="95"/>
        <v>1.0476499194136224</v>
      </c>
      <c r="AU360" s="12">
        <f t="shared" si="86"/>
        <v>0.78459825078271173</v>
      </c>
      <c r="AV360" s="12">
        <f t="shared" si="87"/>
        <v>0.24662333562296446</v>
      </c>
      <c r="AW360" s="12">
        <f t="shared" si="88"/>
        <v>0.62725123875911848</v>
      </c>
      <c r="AX360" s="12">
        <f t="shared" si="89"/>
        <v>0.97553350855530374</v>
      </c>
      <c r="AY360" s="12">
        <f t="shared" si="90"/>
        <v>0.21186894339015333</v>
      </c>
      <c r="AZ360" s="12">
        <f t="shared" si="91"/>
        <v>0.23442017415857905</v>
      </c>
      <c r="BA360" s="12">
        <f t="shared" si="96"/>
        <v>0.68952862578604479</v>
      </c>
      <c r="BB360" s="12">
        <f t="shared" si="97"/>
        <v>0.38533296473469986</v>
      </c>
      <c r="BC360" s="12">
        <f t="shared" si="98"/>
        <v>0.7515697588108754</v>
      </c>
      <c r="BD360" s="12">
        <f t="shared" si="99"/>
        <v>0.5791280436069961</v>
      </c>
      <c r="BE360" s="12">
        <f t="shared" si="100"/>
        <v>0.84089475694429683</v>
      </c>
      <c r="BF360" s="12">
        <f t="shared" si="101"/>
        <v>0.60919815387601073</v>
      </c>
      <c r="BG360" s="12">
        <f t="shared" si="102"/>
        <v>0.61701405883971083</v>
      </c>
      <c r="BH360" s="12">
        <f t="shared" si="103"/>
        <v>0.50371144137010004</v>
      </c>
      <c r="BI360" s="12">
        <f t="shared" si="104"/>
        <v>0.82980556616920087</v>
      </c>
    </row>
    <row r="361" spans="1:61" x14ac:dyDescent="0.55000000000000004">
      <c r="A361" s="12" t="s">
        <v>884</v>
      </c>
      <c r="B361" s="12" t="s">
        <v>885</v>
      </c>
      <c r="C361" s="12" t="s">
        <v>322</v>
      </c>
      <c r="D361" s="12" t="s">
        <v>9</v>
      </c>
      <c r="E361" s="12">
        <v>2384</v>
      </c>
      <c r="F361" s="12">
        <v>68.674016582999911</v>
      </c>
      <c r="G361" s="12">
        <v>36.519531369619976</v>
      </c>
      <c r="H361" s="14">
        <f t="shared" si="92"/>
        <v>87062.562785174028</v>
      </c>
      <c r="I361" s="12">
        <v>33.781773024875648</v>
      </c>
      <c r="J361" s="12">
        <v>23.071344376881694</v>
      </c>
      <c r="K361" s="12">
        <v>29.610129494757672</v>
      </c>
      <c r="L361" s="12">
        <v>48.998041088499996</v>
      </c>
      <c r="M361" s="12">
        <v>35.688492243212039</v>
      </c>
      <c r="N361" s="12">
        <v>16.124981643960453</v>
      </c>
      <c r="O361" s="12">
        <v>18.855142184861926</v>
      </c>
      <c r="P361" s="12">
        <v>42.733750159690736</v>
      </c>
      <c r="Q361" s="12">
        <v>671.02447502021403</v>
      </c>
      <c r="R361" s="15">
        <v>185.13109389094512</v>
      </c>
      <c r="S361" s="15">
        <v>1081.8973685398139</v>
      </c>
      <c r="T361" s="15">
        <v>1190.1979231341049</v>
      </c>
      <c r="U361" s="12">
        <v>25.343054027509371</v>
      </c>
      <c r="V361" s="12">
        <v>12.851209801945412</v>
      </c>
      <c r="W361" s="12">
        <v>56.516522836659647</v>
      </c>
      <c r="X361" s="12">
        <v>62.249470053783718</v>
      </c>
      <c r="Y361" s="12">
        <v>26.753942836993485</v>
      </c>
      <c r="Z361" s="12">
        <v>27.931181262768941</v>
      </c>
      <c r="AA361" s="12">
        <v>10.501903376678497</v>
      </c>
      <c r="AB361" s="12">
        <v>38.676876607491359</v>
      </c>
      <c r="AC361" s="12">
        <v>34.444385905141523</v>
      </c>
      <c r="AD361" s="12">
        <v>23.139120427076541</v>
      </c>
      <c r="AE361" s="12">
        <v>32.969158255096119</v>
      </c>
      <c r="AF361" s="12">
        <v>51.525440488432011</v>
      </c>
      <c r="AG361" s="12">
        <v>851.9239423788207</v>
      </c>
      <c r="AH361" s="12">
        <v>35.724417381589568</v>
      </c>
      <c r="AI361" s="12">
        <v>1997.5891461075225</v>
      </c>
      <c r="AJ361" s="12">
        <v>2144.0009036910892</v>
      </c>
      <c r="AK361" s="12">
        <v>1522.6276305728973</v>
      </c>
      <c r="AL361" s="12">
        <v>2037.4084152859105</v>
      </c>
      <c r="AM361" s="12">
        <v>1790.8594523184538</v>
      </c>
      <c r="AN361" s="12">
        <v>2333.8284727027153</v>
      </c>
      <c r="AP361" s="12">
        <f t="shared" si="84"/>
        <v>1.3416941360113042</v>
      </c>
      <c r="AQ361" s="12">
        <f t="shared" si="85"/>
        <v>1.1701615151403688</v>
      </c>
      <c r="AR361" s="12">
        <f t="shared" si="93"/>
        <v>1.7045528165119905</v>
      </c>
      <c r="AS361" s="12">
        <f t="shared" si="94"/>
        <v>1.0590737382699835</v>
      </c>
      <c r="AT361" s="12">
        <f t="shared" si="95"/>
        <v>1.4109009222198075</v>
      </c>
      <c r="AU361" s="12">
        <f t="shared" si="86"/>
        <v>0.68945150202758498</v>
      </c>
      <c r="AV361" s="12">
        <f t="shared" si="87"/>
        <v>0.47086258683710147</v>
      </c>
      <c r="AW361" s="12">
        <f t="shared" si="88"/>
        <v>0.60431251611214454</v>
      </c>
      <c r="AX361" s="12">
        <f t="shared" si="89"/>
        <v>0.83513597823379793</v>
      </c>
      <c r="AY361" s="12">
        <f t="shared" si="90"/>
        <v>0.37733598347215941</v>
      </c>
      <c r="AZ361" s="12">
        <f t="shared" si="91"/>
        <v>0.44122367249311356</v>
      </c>
      <c r="BA361" s="12">
        <f t="shared" si="96"/>
        <v>0.40712079967287917</v>
      </c>
      <c r="BB361" s="12">
        <f t="shared" si="97"/>
        <v>0.20644689490275067</v>
      </c>
      <c r="BC361" s="12">
        <f t="shared" si="98"/>
        <v>0.90790367834182706</v>
      </c>
      <c r="BD361" s="12">
        <f t="shared" si="99"/>
        <v>0.69172966339819408</v>
      </c>
      <c r="BE361" s="12">
        <f t="shared" si="100"/>
        <v>0.72216744765162666</v>
      </c>
      <c r="BF361" s="12">
        <f t="shared" si="101"/>
        <v>0.27152925204524853</v>
      </c>
      <c r="BG361" s="12">
        <f t="shared" si="102"/>
        <v>0.6684927984822302</v>
      </c>
      <c r="BH361" s="12">
        <f t="shared" si="103"/>
        <v>0.44908146747957467</v>
      </c>
      <c r="BI361" s="12">
        <f t="shared" si="104"/>
        <v>0.63986174485006164</v>
      </c>
    </row>
    <row r="362" spans="1:61" x14ac:dyDescent="0.55000000000000004">
      <c r="A362" s="12" t="s">
        <v>886</v>
      </c>
      <c r="B362" s="12" t="s">
        <v>887</v>
      </c>
      <c r="C362" s="12" t="s">
        <v>8</v>
      </c>
      <c r="D362" s="12" t="s">
        <v>9</v>
      </c>
      <c r="E362" s="12">
        <v>1505</v>
      </c>
      <c r="F362" s="12">
        <v>69.226281805677658</v>
      </c>
      <c r="G362" s="12">
        <v>38.857829509425947</v>
      </c>
      <c r="H362" s="14">
        <f t="shared" si="92"/>
        <v>58481.033411686054</v>
      </c>
      <c r="I362" s="12">
        <v>37.746303073704453</v>
      </c>
      <c r="J362" s="12">
        <v>8.0731297002419886</v>
      </c>
      <c r="K362" s="12">
        <v>18.067077451110151</v>
      </c>
      <c r="L362" s="12">
        <v>40.496142140348439</v>
      </c>
      <c r="M362" s="12">
        <v>43.127400224338842</v>
      </c>
      <c r="N362" s="12">
        <v>14.67920482999126</v>
      </c>
      <c r="O362" s="12">
        <v>8.3528084846553607</v>
      </c>
      <c r="P362" s="12">
        <v>45.168495070204656</v>
      </c>
      <c r="Q362" s="12">
        <v>601.80701472298813</v>
      </c>
      <c r="R362" s="15">
        <v>51.010495768745002</v>
      </c>
      <c r="S362" s="15">
        <v>898.91815409243361</v>
      </c>
      <c r="T362" s="15">
        <v>936.65239712580603</v>
      </c>
      <c r="U362" s="12">
        <v>60.650119356279177</v>
      </c>
      <c r="V362" s="12">
        <v>21.13194929642302</v>
      </c>
      <c r="W362" s="12">
        <v>38.687224787497676</v>
      </c>
      <c r="X362" s="12">
        <v>63.265664286685769</v>
      </c>
      <c r="Y362" s="12">
        <v>27.232689217615192</v>
      </c>
      <c r="Z362" s="12">
        <v>30.138817212689027</v>
      </c>
      <c r="AA362" s="12">
        <v>27.304945729817305</v>
      </c>
      <c r="AB362" s="12">
        <v>40.183967189786529</v>
      </c>
      <c r="AC362" s="12">
        <v>41.167137804801435</v>
      </c>
      <c r="AD362" s="12">
        <v>23.930313393947124</v>
      </c>
      <c r="AE362" s="12">
        <v>34.9850940177014</v>
      </c>
      <c r="AF362" s="12">
        <v>46.021300901822322</v>
      </c>
      <c r="AG362" s="12">
        <v>1020.3263733211866</v>
      </c>
      <c r="AH362" s="12">
        <v>486.94458636874066</v>
      </c>
      <c r="AI362" s="12">
        <v>1650.9565172690957</v>
      </c>
      <c r="AJ362" s="12">
        <v>1827.0071350282294</v>
      </c>
      <c r="AK362" s="12">
        <v>3390.0231412657022</v>
      </c>
      <c r="AL362" s="12">
        <v>4348.5233185718844</v>
      </c>
      <c r="AM362" s="12">
        <v>1033.97257354303</v>
      </c>
      <c r="AN362" s="12">
        <v>4657.3973140513317</v>
      </c>
      <c r="AP362" s="12">
        <f t="shared" si="84"/>
        <v>1.0421617123654598</v>
      </c>
      <c r="AQ362" s="12">
        <f t="shared" si="85"/>
        <v>1.1624039644120601</v>
      </c>
      <c r="AR362" s="12">
        <f t="shared" si="93"/>
        <v>1.6281317069276626</v>
      </c>
      <c r="AS362" s="12">
        <f t="shared" si="94"/>
        <v>1.0341279401629702</v>
      </c>
      <c r="AT362" s="12">
        <f t="shared" si="95"/>
        <v>1.1843507854873545</v>
      </c>
      <c r="AU362" s="12">
        <f t="shared" si="86"/>
        <v>0.93209627087158564</v>
      </c>
      <c r="AV362" s="12">
        <f t="shared" si="87"/>
        <v>0.19935552557729455</v>
      </c>
      <c r="AW362" s="12">
        <f t="shared" si="88"/>
        <v>0.44614317552755156</v>
      </c>
      <c r="AX362" s="12">
        <f t="shared" si="89"/>
        <v>0.95481153749547387</v>
      </c>
      <c r="AY362" s="12">
        <f t="shared" si="90"/>
        <v>0.32498768903359765</v>
      </c>
      <c r="AZ362" s="12">
        <f t="shared" si="91"/>
        <v>0.18492554316172646</v>
      </c>
      <c r="BA362" s="12">
        <f t="shared" si="96"/>
        <v>0.95865774966727046</v>
      </c>
      <c r="BB362" s="12">
        <f t="shared" si="97"/>
        <v>0.33401924305519748</v>
      </c>
      <c r="BC362" s="12">
        <f t="shared" si="98"/>
        <v>0.61150428472841289</v>
      </c>
      <c r="BD362" s="12">
        <f t="shared" si="99"/>
        <v>0.67770036465032912</v>
      </c>
      <c r="BE362" s="12">
        <f t="shared" si="100"/>
        <v>0.75002094915977691</v>
      </c>
      <c r="BF362" s="12">
        <f t="shared" si="101"/>
        <v>0.6794985074733324</v>
      </c>
      <c r="BG362" s="12">
        <f t="shared" si="102"/>
        <v>0.89452355752879908</v>
      </c>
      <c r="BH362" s="12">
        <f t="shared" si="103"/>
        <v>0.51998341909103984</v>
      </c>
      <c r="BI362" s="12">
        <f t="shared" si="104"/>
        <v>0.76019350457596657</v>
      </c>
    </row>
    <row r="363" spans="1:61" x14ac:dyDescent="0.55000000000000004">
      <c r="A363" s="12" t="s">
        <v>888</v>
      </c>
      <c r="B363" s="12" t="s">
        <v>889</v>
      </c>
      <c r="C363" s="12" t="s">
        <v>322</v>
      </c>
      <c r="D363" s="12" t="s">
        <v>9</v>
      </c>
      <c r="E363" s="12">
        <v>2876</v>
      </c>
      <c r="F363" s="12">
        <v>68.495249435866597</v>
      </c>
      <c r="G363" s="12">
        <v>32.827087700681822</v>
      </c>
      <c r="H363" s="14">
        <f t="shared" si="92"/>
        <v>94410.704227160924</v>
      </c>
      <c r="I363" s="12">
        <v>56.791526822893168</v>
      </c>
      <c r="J363" s="12">
        <v>29.076360190013428</v>
      </c>
      <c r="K363" s="12">
        <v>34.760681432441174</v>
      </c>
      <c r="L363" s="12">
        <v>72.223959381036536</v>
      </c>
      <c r="M363" s="12">
        <v>29.463902999791404</v>
      </c>
      <c r="N363" s="12">
        <v>8.5112438812095093</v>
      </c>
      <c r="O363" s="12">
        <v>23.96064258125547</v>
      </c>
      <c r="P363" s="12">
        <v>31.439627721350682</v>
      </c>
      <c r="Q363" s="12">
        <v>972.18165453978543</v>
      </c>
      <c r="R363" s="15">
        <v>425.67195258969491</v>
      </c>
      <c r="S363" s="15">
        <v>694.30513856443167</v>
      </c>
      <c r="T363" s="15">
        <v>977.15422551722293</v>
      </c>
      <c r="U363" s="12">
        <v>39.72369934530839</v>
      </c>
      <c r="V363" s="12">
        <v>5.9995179931225771</v>
      </c>
      <c r="W363" s="12">
        <v>54.649131632070393</v>
      </c>
      <c r="X363" s="12">
        <v>61.343734234313111</v>
      </c>
      <c r="Y363" s="12">
        <v>39.215827444886088</v>
      </c>
      <c r="Z363" s="12">
        <v>15.674398320279797</v>
      </c>
      <c r="AA363" s="12">
        <v>8.9429132521978438</v>
      </c>
      <c r="AB363" s="12">
        <v>41.117270759490943</v>
      </c>
      <c r="AC363" s="12">
        <v>36.359390406584644</v>
      </c>
      <c r="AD363" s="12">
        <v>10.996097483814317</v>
      </c>
      <c r="AE363" s="12">
        <v>17.427253000467864</v>
      </c>
      <c r="AF363" s="12">
        <v>39.948160802732424</v>
      </c>
      <c r="AG363" s="12">
        <v>998.61769853458577</v>
      </c>
      <c r="AH363" s="12">
        <v>58.174963045722862</v>
      </c>
      <c r="AI363" s="12">
        <v>2028.3119951003243</v>
      </c>
      <c r="AJ363" s="12">
        <v>2226.2966427927163</v>
      </c>
      <c r="AK363" s="12">
        <v>940.09178376731995</v>
      </c>
      <c r="AL363" s="12">
        <v>908.42469490009807</v>
      </c>
      <c r="AM363" s="12">
        <v>850.27548709724749</v>
      </c>
      <c r="AN363" s="12">
        <v>1096.5807558735366</v>
      </c>
      <c r="AP363" s="12">
        <f t="shared" si="84"/>
        <v>2.2001330133082879</v>
      </c>
      <c r="AQ363" s="12">
        <f t="shared" si="85"/>
        <v>0.95773429577481761</v>
      </c>
      <c r="AR363" s="12">
        <f t="shared" si="93"/>
        <v>1.868692550300129</v>
      </c>
      <c r="AS363" s="12">
        <f t="shared" si="94"/>
        <v>1.2525409239588723</v>
      </c>
      <c r="AT363" s="12">
        <f t="shared" si="95"/>
        <v>1.2169267394957701</v>
      </c>
      <c r="AU363" s="12">
        <f t="shared" si="86"/>
        <v>0.78632530409021884</v>
      </c>
      <c r="AV363" s="12">
        <f t="shared" si="87"/>
        <v>0.40258607308709599</v>
      </c>
      <c r="AW363" s="12">
        <f t="shared" si="88"/>
        <v>0.48129016645365613</v>
      </c>
      <c r="AX363" s="12">
        <f t="shared" si="89"/>
        <v>0.93715813879635856</v>
      </c>
      <c r="AY363" s="12">
        <f t="shared" si="90"/>
        <v>0.27071706944638901</v>
      </c>
      <c r="AZ363" s="12">
        <f t="shared" si="91"/>
        <v>0.76211597648733531</v>
      </c>
      <c r="BA363" s="12">
        <f t="shared" si="96"/>
        <v>0.64755919803605011</v>
      </c>
      <c r="BB363" s="12">
        <f t="shared" si="97"/>
        <v>9.7801642955193599E-2</v>
      </c>
      <c r="BC363" s="12">
        <f t="shared" si="98"/>
        <v>0.8908673773156438</v>
      </c>
      <c r="BD363" s="12">
        <f t="shared" si="99"/>
        <v>0.95375560489588307</v>
      </c>
      <c r="BE363" s="12">
        <f t="shared" si="100"/>
        <v>0.38121203160503392</v>
      </c>
      <c r="BF363" s="12">
        <f t="shared" si="101"/>
        <v>0.21749773482067958</v>
      </c>
      <c r="BG363" s="12">
        <f t="shared" si="102"/>
        <v>0.91016431485120308</v>
      </c>
      <c r="BH363" s="12">
        <f t="shared" si="103"/>
        <v>0.27525916745238976</v>
      </c>
      <c r="BI363" s="12">
        <f t="shared" si="104"/>
        <v>0.4362466919697553</v>
      </c>
    </row>
    <row r="364" spans="1:61" x14ac:dyDescent="0.55000000000000004">
      <c r="A364" s="12" t="s">
        <v>890</v>
      </c>
      <c r="B364" s="12" t="s">
        <v>891</v>
      </c>
      <c r="C364" s="12" t="s">
        <v>322</v>
      </c>
      <c r="D364" s="12" t="s">
        <v>9</v>
      </c>
      <c r="E364" s="12">
        <v>2733</v>
      </c>
      <c r="F364" s="12">
        <v>68.865219262479698</v>
      </c>
      <c r="G364" s="12">
        <v>48.776651331537401</v>
      </c>
      <c r="H364" s="14">
        <f t="shared" si="92"/>
        <v>133306.5880890917</v>
      </c>
      <c r="I364" s="12">
        <v>45.427333516108128</v>
      </c>
      <c r="J364" s="12">
        <v>6.7866454842504291</v>
      </c>
      <c r="K364" s="12">
        <v>26.976802749523223</v>
      </c>
      <c r="L364" s="12">
        <v>53.012991643099781</v>
      </c>
      <c r="M364" s="12">
        <v>30.788299427207832</v>
      </c>
      <c r="N364" s="12">
        <v>8.034592308532039</v>
      </c>
      <c r="O364" s="12">
        <v>19.719896669167941</v>
      </c>
      <c r="P364" s="12">
        <v>36.66250479176027</v>
      </c>
      <c r="Q364" s="12">
        <v>687.2438802250615</v>
      </c>
      <c r="R364" s="15">
        <v>344.39829681982104</v>
      </c>
      <c r="S364" s="15">
        <v>1158.8910838202441</v>
      </c>
      <c r="T364" s="15">
        <v>1267.9796008505866</v>
      </c>
      <c r="U364" s="12">
        <v>30.28984243857364</v>
      </c>
      <c r="V364" s="12">
        <v>11.029956691056482</v>
      </c>
      <c r="W364" s="12">
        <v>45.778759223126677</v>
      </c>
      <c r="X364" s="12">
        <v>55.728924252686895</v>
      </c>
      <c r="Y364" s="12">
        <v>35.100991229191251</v>
      </c>
      <c r="Z364" s="12">
        <v>27.466666720276493</v>
      </c>
      <c r="AA364" s="12">
        <v>10.179163694551901</v>
      </c>
      <c r="AB364" s="12">
        <v>44.805196567978101</v>
      </c>
      <c r="AC364" s="12">
        <v>28.635876676890152</v>
      </c>
      <c r="AD364" s="12">
        <v>15.658474484494102</v>
      </c>
      <c r="AE364" s="12">
        <v>24.953380761120037</v>
      </c>
      <c r="AF364" s="12">
        <v>37.5866005914299</v>
      </c>
      <c r="AG364" s="12">
        <v>889.7510243493881</v>
      </c>
      <c r="AH364" s="12">
        <v>65.497328819655436</v>
      </c>
      <c r="AI364" s="12">
        <v>1875.5485350525746</v>
      </c>
      <c r="AJ364" s="12">
        <v>2056.3331616702103</v>
      </c>
      <c r="AK364" s="12">
        <v>753.00331114156336</v>
      </c>
      <c r="AL364" s="12">
        <v>1431.3033264901219</v>
      </c>
      <c r="AM364" s="12">
        <v>625.33840418939394</v>
      </c>
      <c r="AN364" s="12">
        <v>1442.3568811406699</v>
      </c>
      <c r="AP364" s="12">
        <f t="shared" si="84"/>
        <v>1.0868518070821991</v>
      </c>
      <c r="AQ364" s="12">
        <f t="shared" si="85"/>
        <v>0.75164046302734777</v>
      </c>
      <c r="AR364" s="12">
        <f t="shared" si="93"/>
        <v>1.1425328047613301</v>
      </c>
      <c r="AS364" s="12">
        <f t="shared" si="94"/>
        <v>0.91857877375457531</v>
      </c>
      <c r="AT364" s="12">
        <f t="shared" si="95"/>
        <v>0.77058591693701661</v>
      </c>
      <c r="AU364" s="12">
        <f t="shared" si="86"/>
        <v>0.85690945008233643</v>
      </c>
      <c r="AV364" s="12">
        <f t="shared" si="87"/>
        <v>0.1280185342102606</v>
      </c>
      <c r="AW364" s="12">
        <f t="shared" si="88"/>
        <v>0.50887154098262533</v>
      </c>
      <c r="AX364" s="12">
        <f t="shared" si="89"/>
        <v>0.83977621283877368</v>
      </c>
      <c r="AY364" s="12">
        <f t="shared" si="90"/>
        <v>0.2191501195613284</v>
      </c>
      <c r="AZ364" s="12">
        <f t="shared" si="91"/>
        <v>0.53787641573250877</v>
      </c>
      <c r="BA364" s="12">
        <f t="shared" si="96"/>
        <v>0.54352103229613757</v>
      </c>
      <c r="BB364" s="12">
        <f t="shared" si="97"/>
        <v>0.19792157912548775</v>
      </c>
      <c r="BC364" s="12">
        <f t="shared" si="98"/>
        <v>0.82145420599823471</v>
      </c>
      <c r="BD364" s="12">
        <f t="shared" si="99"/>
        <v>0.78341339661207143</v>
      </c>
      <c r="BE364" s="12">
        <f t="shared" si="100"/>
        <v>0.61302413166750147</v>
      </c>
      <c r="BF364" s="12">
        <f t="shared" si="101"/>
        <v>0.22718712279519079</v>
      </c>
      <c r="BG364" s="12">
        <f t="shared" si="102"/>
        <v>0.761863968177516</v>
      </c>
      <c r="BH364" s="12">
        <f t="shared" si="103"/>
        <v>0.41659725109762608</v>
      </c>
      <c r="BI364" s="12">
        <f t="shared" si="104"/>
        <v>0.66389033241834705</v>
      </c>
    </row>
    <row r="365" spans="1:61" x14ac:dyDescent="0.55000000000000004">
      <c r="A365" s="12" t="s">
        <v>892</v>
      </c>
      <c r="B365" s="12" t="s">
        <v>893</v>
      </c>
      <c r="C365" s="12" t="s">
        <v>322</v>
      </c>
      <c r="D365" s="12" t="s">
        <v>9</v>
      </c>
      <c r="E365" s="12">
        <v>2822</v>
      </c>
      <c r="F365" s="12">
        <v>72.048628985416954</v>
      </c>
      <c r="G365" s="12">
        <v>99.791237818914666</v>
      </c>
      <c r="H365" s="14">
        <f t="shared" si="92"/>
        <v>281610.87312497717</v>
      </c>
      <c r="I365" s="12">
        <v>39.847439545746909</v>
      </c>
      <c r="J365" s="12">
        <v>15.461317045629109</v>
      </c>
      <c r="K365" s="12">
        <v>17.543284070211779</v>
      </c>
      <c r="L365" s="12">
        <v>42.396503790956515</v>
      </c>
      <c r="M365" s="12">
        <v>30.445282043733105</v>
      </c>
      <c r="N365" s="12">
        <v>6.3080019165375774</v>
      </c>
      <c r="O365" s="12">
        <v>8.0555671116683314</v>
      </c>
      <c r="P365" s="12">
        <v>30.989503562155775</v>
      </c>
      <c r="Q365" s="12">
        <v>505.35916094896754</v>
      </c>
      <c r="R365" s="15">
        <v>84.361446817547517</v>
      </c>
      <c r="S365" s="15">
        <v>1038.1299049958768</v>
      </c>
      <c r="T365" s="15">
        <v>1046.8439718129023</v>
      </c>
      <c r="U365" s="12">
        <v>43.206685397881522</v>
      </c>
      <c r="V365" s="12">
        <v>24.103078745549283</v>
      </c>
      <c r="W365" s="12">
        <v>62.741641107966032</v>
      </c>
      <c r="X365" s="12">
        <v>71.734848622223865</v>
      </c>
      <c r="Y365" s="12">
        <v>40.827164174117527</v>
      </c>
      <c r="Z365" s="12">
        <v>25.541400383474876</v>
      </c>
      <c r="AA365" s="12">
        <v>20.466480319038563</v>
      </c>
      <c r="AB365" s="12">
        <v>45.241532660674025</v>
      </c>
      <c r="AC365" s="12">
        <v>38.437956658203582</v>
      </c>
      <c r="AD365" s="12">
        <v>20.630447006321653</v>
      </c>
      <c r="AE365" s="12">
        <v>19.899189743132823</v>
      </c>
      <c r="AF365" s="12">
        <v>42.285429227293378</v>
      </c>
      <c r="AG365" s="12">
        <v>1150.4324687500118</v>
      </c>
      <c r="AH365" s="12">
        <v>383.78770091526837</v>
      </c>
      <c r="AI365" s="12">
        <v>2925.8431058165334</v>
      </c>
      <c r="AJ365" s="12">
        <v>3123.2366633621327</v>
      </c>
      <c r="AK365" s="12">
        <v>1289.6681710757355</v>
      </c>
      <c r="AL365" s="12">
        <v>1419.5808884218438</v>
      </c>
      <c r="AM365" s="12">
        <v>921.06836332143871</v>
      </c>
      <c r="AN365" s="12">
        <v>1471.586702078027</v>
      </c>
      <c r="AP365" s="12">
        <f t="shared" si="84"/>
        <v>0.42485196814464787</v>
      </c>
      <c r="AQ365" s="12">
        <f t="shared" si="85"/>
        <v>0.31054333265602557</v>
      </c>
      <c r="AR365" s="12">
        <f t="shared" si="93"/>
        <v>0.71884917143123239</v>
      </c>
      <c r="AS365" s="12">
        <f t="shared" si="94"/>
        <v>0.45336177453546767</v>
      </c>
      <c r="AT365" s="12">
        <f t="shared" si="95"/>
        <v>0.42373889884025967</v>
      </c>
      <c r="AU365" s="12">
        <f t="shared" si="86"/>
        <v>0.93987560253132618</v>
      </c>
      <c r="AV365" s="12">
        <f t="shared" si="87"/>
        <v>0.36468377491370224</v>
      </c>
      <c r="AW365" s="12">
        <f t="shared" si="88"/>
        <v>0.4137908200334644</v>
      </c>
      <c r="AX365" s="12">
        <f t="shared" si="89"/>
        <v>0.98243852092270134</v>
      </c>
      <c r="AY365" s="12">
        <f t="shared" si="90"/>
        <v>0.20355285472339341</v>
      </c>
      <c r="AZ365" s="12">
        <f t="shared" si="91"/>
        <v>0.25994501962612104</v>
      </c>
      <c r="BA365" s="12">
        <f t="shared" si="96"/>
        <v>0.6023109580312942</v>
      </c>
      <c r="BB365" s="12">
        <f t="shared" si="97"/>
        <v>0.33600236438056708</v>
      </c>
      <c r="BC365" s="12">
        <f t="shared" si="98"/>
        <v>0.87463265502073306</v>
      </c>
      <c r="BD365" s="12">
        <f t="shared" si="99"/>
        <v>0.90242663705348636</v>
      </c>
      <c r="BE365" s="12">
        <f t="shared" si="100"/>
        <v>0.56455647900002759</v>
      </c>
      <c r="BF365" s="12">
        <f t="shared" si="101"/>
        <v>0.45238255902035229</v>
      </c>
      <c r="BG365" s="12">
        <f t="shared" si="102"/>
        <v>0.90901185965480469</v>
      </c>
      <c r="BH365" s="12">
        <f t="shared" si="103"/>
        <v>0.48788548167333279</v>
      </c>
      <c r="BI365" s="12">
        <f t="shared" si="104"/>
        <v>0.47059211900558817</v>
      </c>
    </row>
    <row r="366" spans="1:61" x14ac:dyDescent="0.55000000000000004">
      <c r="A366" s="12" t="s">
        <v>894</v>
      </c>
      <c r="B366" s="12" t="s">
        <v>895</v>
      </c>
      <c r="C366" s="12" t="s">
        <v>8</v>
      </c>
      <c r="D366" s="12" t="s">
        <v>9</v>
      </c>
      <c r="E366" s="12">
        <v>2063</v>
      </c>
      <c r="F366" s="12">
        <v>72.957444512889865</v>
      </c>
      <c r="G366" s="12">
        <v>38.670116032222523</v>
      </c>
      <c r="H366" s="14">
        <f t="shared" si="92"/>
        <v>79776.449374475065</v>
      </c>
      <c r="I366" s="12">
        <v>39.081635339111088</v>
      </c>
      <c r="J366" s="12">
        <v>6.051643190332495</v>
      </c>
      <c r="K366" s="12">
        <v>23.404023314323254</v>
      </c>
      <c r="L366" s="12">
        <v>43.135729091029113</v>
      </c>
      <c r="M366" s="12">
        <v>38.276264363346655</v>
      </c>
      <c r="N366" s="12">
        <v>10.04932852735949</v>
      </c>
      <c r="O366" s="12">
        <v>10.345271067325374</v>
      </c>
      <c r="P366" s="12">
        <v>39.373003902489117</v>
      </c>
      <c r="Q366" s="12">
        <v>515.90924110670767</v>
      </c>
      <c r="R366" s="15">
        <v>67.561537735751088</v>
      </c>
      <c r="S366" s="15">
        <v>1007.4919545288095</v>
      </c>
      <c r="T366" s="15">
        <v>1007.496355115089</v>
      </c>
      <c r="U366" s="12">
        <v>26.32410254064289</v>
      </c>
      <c r="V366" s="12">
        <v>12.204545585861549</v>
      </c>
      <c r="W366" s="12">
        <v>34.874530807953789</v>
      </c>
      <c r="X366" s="12">
        <v>40.404650018022863</v>
      </c>
      <c r="Y366" s="12">
        <v>26.178330315351552</v>
      </c>
      <c r="Z366" s="12">
        <v>24.219297118791605</v>
      </c>
      <c r="AA366" s="12">
        <v>22.366661646928506</v>
      </c>
      <c r="AB366" s="12">
        <v>35.629651500461179</v>
      </c>
      <c r="AC366" s="12">
        <v>41.192289270053529</v>
      </c>
      <c r="AD366" s="12">
        <v>14.703392833350604</v>
      </c>
      <c r="AE366" s="12">
        <v>29.339158511527998</v>
      </c>
      <c r="AF366" s="12">
        <v>42.930866490052935</v>
      </c>
      <c r="AG366" s="12">
        <v>836.65596123266539</v>
      </c>
      <c r="AH366" s="12">
        <v>107.19073335378613</v>
      </c>
      <c r="AI366" s="12">
        <v>1369.0543315169916</v>
      </c>
      <c r="AJ366" s="12">
        <v>1592.8522475695177</v>
      </c>
      <c r="AK366" s="12">
        <v>2822.4574526418846</v>
      </c>
      <c r="AL366" s="12">
        <v>3299.6655889664867</v>
      </c>
      <c r="AM366" s="12">
        <v>1386.7002718046106</v>
      </c>
      <c r="AN366" s="12">
        <v>3549.7136820669507</v>
      </c>
      <c r="AP366" s="12">
        <f t="shared" si="84"/>
        <v>1.1154796912190681</v>
      </c>
      <c r="AQ366" s="12">
        <f t="shared" si="85"/>
        <v>1.0181765130903899</v>
      </c>
      <c r="AR366" s="12">
        <f t="shared" si="93"/>
        <v>1.0448546361835327</v>
      </c>
      <c r="AS366" s="12">
        <f t="shared" si="94"/>
        <v>0.92137431061164066</v>
      </c>
      <c r="AT366" s="12">
        <f t="shared" si="95"/>
        <v>1.1101819930997898</v>
      </c>
      <c r="AU366" s="12">
        <f t="shared" si="86"/>
        <v>0.90601541141537933</v>
      </c>
      <c r="AV366" s="12">
        <f t="shared" si="87"/>
        <v>0.14029305445519982</v>
      </c>
      <c r="AW366" s="12">
        <f t="shared" si="88"/>
        <v>0.54256700437203376</v>
      </c>
      <c r="AX366" s="12">
        <f t="shared" si="89"/>
        <v>0.97214488531637977</v>
      </c>
      <c r="AY366" s="12">
        <f t="shared" si="90"/>
        <v>0.25523398093393079</v>
      </c>
      <c r="AZ366" s="12">
        <f t="shared" si="91"/>
        <v>0.26275036298846777</v>
      </c>
      <c r="BA366" s="12">
        <f t="shared" si="96"/>
        <v>0.65151170790740132</v>
      </c>
      <c r="BB366" s="12">
        <f t="shared" si="97"/>
        <v>0.30205794581607809</v>
      </c>
      <c r="BC366" s="12">
        <f t="shared" si="98"/>
        <v>0.86313161461360721</v>
      </c>
      <c r="BD366" s="12">
        <f t="shared" si="99"/>
        <v>0.7347343915225415</v>
      </c>
      <c r="BE366" s="12">
        <f t="shared" si="100"/>
        <v>0.67975116507884226</v>
      </c>
      <c r="BF366" s="12">
        <f t="shared" si="101"/>
        <v>0.62775415152850988</v>
      </c>
      <c r="BG366" s="12">
        <f t="shared" si="102"/>
        <v>0.95950286210966107</v>
      </c>
      <c r="BH366" s="12">
        <f t="shared" si="103"/>
        <v>0.34249000859922951</v>
      </c>
      <c r="BI366" s="12">
        <f t="shared" si="104"/>
        <v>0.68340476003031225</v>
      </c>
    </row>
    <row r="367" spans="1:61" x14ac:dyDescent="0.55000000000000004">
      <c r="A367" s="12" t="s">
        <v>896</v>
      </c>
      <c r="B367" s="12" t="s">
        <v>897</v>
      </c>
      <c r="C367" s="12" t="s">
        <v>8</v>
      </c>
      <c r="D367" s="12" t="s">
        <v>9</v>
      </c>
      <c r="E367" s="12">
        <v>2510</v>
      </c>
      <c r="F367" s="12">
        <v>68.445549392451355</v>
      </c>
      <c r="G367" s="12">
        <v>24.27665254098315</v>
      </c>
      <c r="H367" s="14">
        <f t="shared" si="92"/>
        <v>60934.397877867705</v>
      </c>
      <c r="I367" s="12">
        <v>29.01535436097193</v>
      </c>
      <c r="J367" s="12">
        <v>7.3528238646350195</v>
      </c>
      <c r="K367" s="12">
        <v>22.205146173133006</v>
      </c>
      <c r="L367" s="12">
        <v>35.507461848514289</v>
      </c>
      <c r="M367" s="12">
        <v>28.840140963780634</v>
      </c>
      <c r="N367" s="12">
        <v>8.4747036693833628</v>
      </c>
      <c r="O367" s="12">
        <v>8.5953846464759369</v>
      </c>
      <c r="P367" s="12">
        <v>30.095738913985265</v>
      </c>
      <c r="Q367" s="12">
        <v>617.3893763008798</v>
      </c>
      <c r="R367" s="15">
        <v>42.79728788552795</v>
      </c>
      <c r="S367" s="15">
        <v>881.02916233622238</v>
      </c>
      <c r="T367" s="15">
        <v>883.08597332365071</v>
      </c>
      <c r="U367" s="12">
        <v>17.543912095831622</v>
      </c>
      <c r="V367" s="12">
        <v>19.74008739480362</v>
      </c>
      <c r="W367" s="12">
        <v>29.451785350649686</v>
      </c>
      <c r="X367" s="12">
        <v>33.333869346858812</v>
      </c>
      <c r="Y367" s="12">
        <v>20.417714466786382</v>
      </c>
      <c r="Z367" s="12">
        <v>12.92060827079532</v>
      </c>
      <c r="AA367" s="12">
        <v>17.28012289748191</v>
      </c>
      <c r="AB367" s="12">
        <v>27.542885690680247</v>
      </c>
      <c r="AC367" s="12">
        <v>29.682542636432455</v>
      </c>
      <c r="AD367" s="12">
        <v>13.502913718347882</v>
      </c>
      <c r="AE367" s="12">
        <v>22.489410570389062</v>
      </c>
      <c r="AF367" s="12">
        <v>38.379248828058302</v>
      </c>
      <c r="AG367" s="12">
        <v>570.08448414545614</v>
      </c>
      <c r="AH367" s="12">
        <v>67.531329879174763</v>
      </c>
      <c r="AI367" s="12">
        <v>1040.8946301153735</v>
      </c>
      <c r="AJ367" s="12">
        <v>1153.4650665233587</v>
      </c>
      <c r="AK367" s="12">
        <v>1159.0327500885369</v>
      </c>
      <c r="AL367" s="12">
        <v>3017.9989489472882</v>
      </c>
      <c r="AM367" s="12">
        <v>807.00252520848926</v>
      </c>
      <c r="AN367" s="12">
        <v>3033.2329563072535</v>
      </c>
      <c r="AP367" s="12">
        <f t="shared" si="84"/>
        <v>1.4626177059860954</v>
      </c>
      <c r="AQ367" s="12">
        <f t="shared" si="85"/>
        <v>1.239698877890125</v>
      </c>
      <c r="AR367" s="12">
        <f t="shared" si="93"/>
        <v>1.3730834302870021</v>
      </c>
      <c r="AS367" s="12">
        <f t="shared" si="94"/>
        <v>1.134542155026651</v>
      </c>
      <c r="AT367" s="12">
        <f t="shared" si="95"/>
        <v>1.5809118972752751</v>
      </c>
      <c r="AU367" s="12">
        <f t="shared" si="86"/>
        <v>0.8171621639631782</v>
      </c>
      <c r="AV367" s="12">
        <f t="shared" si="87"/>
        <v>0.20707827261786321</v>
      </c>
      <c r="AW367" s="12">
        <f t="shared" si="88"/>
        <v>0.62536562787469752</v>
      </c>
      <c r="AX367" s="12">
        <f t="shared" si="89"/>
        <v>0.95827987630431088</v>
      </c>
      <c r="AY367" s="12">
        <f t="shared" si="90"/>
        <v>0.28159148022929026</v>
      </c>
      <c r="AZ367" s="12">
        <f t="shared" si="91"/>
        <v>0.2856013826755297</v>
      </c>
      <c r="BA367" s="12">
        <f t="shared" si="96"/>
        <v>0.52630889961428551</v>
      </c>
      <c r="BB367" s="12">
        <f t="shared" si="97"/>
        <v>0.5921930991387836</v>
      </c>
      <c r="BC367" s="12">
        <f t="shared" si="98"/>
        <v>0.88353935284818796</v>
      </c>
      <c r="BD367" s="12">
        <f t="shared" si="99"/>
        <v>0.74130629216150623</v>
      </c>
      <c r="BE367" s="12">
        <f t="shared" si="100"/>
        <v>0.46910873522476615</v>
      </c>
      <c r="BF367" s="12">
        <f t="shared" si="101"/>
        <v>0.62738970388019388</v>
      </c>
      <c r="BG367" s="12">
        <f t="shared" si="102"/>
        <v>0.77340082317432279</v>
      </c>
      <c r="BH367" s="12">
        <f t="shared" si="103"/>
        <v>0.3518285044827707</v>
      </c>
      <c r="BI367" s="12">
        <f t="shared" si="104"/>
        <v>0.58597839345796432</v>
      </c>
    </row>
    <row r="368" spans="1:61" x14ac:dyDescent="0.55000000000000004">
      <c r="A368" s="12" t="s">
        <v>898</v>
      </c>
      <c r="B368" s="12" t="s">
        <v>899</v>
      </c>
      <c r="C368" s="12" t="s">
        <v>8</v>
      </c>
      <c r="D368" s="12" t="s">
        <v>9</v>
      </c>
      <c r="E368" s="12">
        <v>2519</v>
      </c>
      <c r="F368" s="12">
        <v>71.55629823453468</v>
      </c>
      <c r="G368" s="12">
        <v>47.772279888160064</v>
      </c>
      <c r="H368" s="14">
        <f t="shared" si="92"/>
        <v>120338.3730382752</v>
      </c>
      <c r="I368" s="12">
        <v>49.528672781487252</v>
      </c>
      <c r="J368" s="12">
        <v>5.6780717133950684</v>
      </c>
      <c r="K368" s="12">
        <v>39.464722661751487</v>
      </c>
      <c r="L368" s="12">
        <v>56.645535849227493</v>
      </c>
      <c r="M368" s="12">
        <v>39.731191628360421</v>
      </c>
      <c r="N368" s="12">
        <v>16.844929536220572</v>
      </c>
      <c r="O368" s="12">
        <v>25.87387018220403</v>
      </c>
      <c r="P368" s="12">
        <v>47.101036987515542</v>
      </c>
      <c r="Q368" s="12">
        <v>783.37103737979214</v>
      </c>
      <c r="R368" s="15">
        <v>423.66906967247502</v>
      </c>
      <c r="S368" s="15">
        <v>1297.9891668060905</v>
      </c>
      <c r="T368" s="15">
        <v>1491.4177128179854</v>
      </c>
      <c r="U368" s="12">
        <v>38.973510936372136</v>
      </c>
      <c r="V368" s="12">
        <v>11.960769086780594</v>
      </c>
      <c r="W368" s="12">
        <v>36.305584838492415</v>
      </c>
      <c r="X368" s="12">
        <v>42.595899188458709</v>
      </c>
      <c r="Y368" s="12">
        <v>24.191892401059377</v>
      </c>
      <c r="Z368" s="12">
        <v>23.272809841782806</v>
      </c>
      <c r="AA368" s="12">
        <v>25.739128138724805</v>
      </c>
      <c r="AB368" s="12">
        <v>35.780064690519367</v>
      </c>
      <c r="AC368" s="12">
        <v>32.188775677748829</v>
      </c>
      <c r="AD368" s="12">
        <v>9.3779314065225385</v>
      </c>
      <c r="AE368" s="12">
        <v>35.229816794758072</v>
      </c>
      <c r="AF368" s="12">
        <v>41.141600682716856</v>
      </c>
      <c r="AG368" s="12">
        <v>806.87955004855303</v>
      </c>
      <c r="AH368" s="12">
        <v>378.41263151662838</v>
      </c>
      <c r="AI368" s="12">
        <v>1291.219566885452</v>
      </c>
      <c r="AJ368" s="12">
        <v>1401.2017105793054</v>
      </c>
      <c r="AK368" s="12">
        <v>3538.8198864390342</v>
      </c>
      <c r="AL368" s="12">
        <v>4224.0642225068932</v>
      </c>
      <c r="AM368" s="12">
        <v>1394.5200113576871</v>
      </c>
      <c r="AN368" s="12">
        <v>5064.114407197646</v>
      </c>
      <c r="AP368" s="12">
        <f t="shared" si="84"/>
        <v>1.1857406843851843</v>
      </c>
      <c r="AQ368" s="12">
        <f t="shared" si="85"/>
        <v>0.98594911312133371</v>
      </c>
      <c r="AR368" s="12">
        <f t="shared" si="93"/>
        <v>0.89164467947060921</v>
      </c>
      <c r="AS368" s="12">
        <f t="shared" si="94"/>
        <v>0.7489712606198462</v>
      </c>
      <c r="AT368" s="12">
        <f t="shared" si="95"/>
        <v>0.8612023704758005</v>
      </c>
      <c r="AU368" s="12">
        <f t="shared" si="86"/>
        <v>0.87436144859352938</v>
      </c>
      <c r="AV368" s="12">
        <f t="shared" si="87"/>
        <v>0.10023864419798764</v>
      </c>
      <c r="AW368" s="12">
        <f t="shared" si="88"/>
        <v>0.69669607798916589</v>
      </c>
      <c r="AX368" s="12">
        <f t="shared" si="89"/>
        <v>0.8435311443119915</v>
      </c>
      <c r="AY368" s="12">
        <f t="shared" si="90"/>
        <v>0.35763394212924521</v>
      </c>
      <c r="AZ368" s="12">
        <f t="shared" si="91"/>
        <v>0.54932697530761543</v>
      </c>
      <c r="BA368" s="12">
        <f t="shared" si="96"/>
        <v>0.91495922562733334</v>
      </c>
      <c r="BB368" s="12">
        <f t="shared" si="97"/>
        <v>0.28079625773040012</v>
      </c>
      <c r="BC368" s="12">
        <f t="shared" si="98"/>
        <v>0.85232582314706373</v>
      </c>
      <c r="BD368" s="12">
        <f t="shared" si="99"/>
        <v>0.67612768759105946</v>
      </c>
      <c r="BE368" s="12">
        <f t="shared" si="100"/>
        <v>0.65044068654099985</v>
      </c>
      <c r="BF368" s="12">
        <f t="shared" si="101"/>
        <v>0.71937064288050023</v>
      </c>
      <c r="BG368" s="12">
        <f t="shared" si="102"/>
        <v>0.78238996887816736</v>
      </c>
      <c r="BH368" s="12">
        <f t="shared" si="103"/>
        <v>0.22794279393368636</v>
      </c>
      <c r="BI368" s="12">
        <f t="shared" si="104"/>
        <v>0.85630642002603796</v>
      </c>
    </row>
    <row r="369" spans="1:61" x14ac:dyDescent="0.55000000000000004">
      <c r="A369" s="12" t="s">
        <v>900</v>
      </c>
      <c r="B369" s="12" t="s">
        <v>901</v>
      </c>
      <c r="C369" s="12" t="s">
        <v>322</v>
      </c>
      <c r="D369" s="12" t="s">
        <v>9</v>
      </c>
      <c r="E369" s="12">
        <v>2354</v>
      </c>
      <c r="F369" s="12">
        <v>68.671368044787783</v>
      </c>
      <c r="G369" s="12">
        <v>32.850071047337764</v>
      </c>
      <c r="H369" s="14">
        <f t="shared" si="92"/>
        <v>77329.067245433092</v>
      </c>
      <c r="I369" s="12">
        <v>35.372478996990168</v>
      </c>
      <c r="J369" s="12">
        <v>13.66976206540404</v>
      </c>
      <c r="K369" s="12">
        <v>18.279549719461095</v>
      </c>
      <c r="L369" s="12">
        <v>37.419414821649632</v>
      </c>
      <c r="M369" s="12">
        <v>32.547837206680896</v>
      </c>
      <c r="N369" s="12">
        <v>9.1500450649613008</v>
      </c>
      <c r="O369" s="12">
        <v>8.5820411398515084</v>
      </c>
      <c r="P369" s="12">
        <v>33.738252277008144</v>
      </c>
      <c r="Q369" s="12">
        <v>432.29333709219463</v>
      </c>
      <c r="R369" s="15">
        <v>62.785233057515065</v>
      </c>
      <c r="S369" s="15">
        <v>667.03477210634242</v>
      </c>
      <c r="T369" s="15">
        <v>680.01780101831037</v>
      </c>
      <c r="U369" s="12">
        <v>36.648188001733658</v>
      </c>
      <c r="V369" s="12">
        <v>20.079172280836946</v>
      </c>
      <c r="W369" s="12">
        <v>35.857991201813789</v>
      </c>
      <c r="X369" s="12">
        <v>39.691757805287963</v>
      </c>
      <c r="Y369" s="12">
        <v>21.901698640314102</v>
      </c>
      <c r="Z369" s="12">
        <v>22.078696469987179</v>
      </c>
      <c r="AA369" s="12">
        <v>19.102770873936059</v>
      </c>
      <c r="AB369" s="12">
        <v>31.535985249724867</v>
      </c>
      <c r="AC369" s="12">
        <v>28.936892537519046</v>
      </c>
      <c r="AD369" s="12">
        <v>13.78398669601019</v>
      </c>
      <c r="AE369" s="12">
        <v>26.028365973402963</v>
      </c>
      <c r="AF369" s="12">
        <v>40.369007837397739</v>
      </c>
      <c r="AG369" s="12">
        <v>590.80490222399703</v>
      </c>
      <c r="AH369" s="12">
        <v>336.76373995405561</v>
      </c>
      <c r="AI369" s="12">
        <v>1289.1287318728976</v>
      </c>
      <c r="AJ369" s="12">
        <v>1403.2734828510809</v>
      </c>
      <c r="AK369" s="12">
        <v>1353.0331161504478</v>
      </c>
      <c r="AL369" s="12">
        <v>3358.6790864235227</v>
      </c>
      <c r="AM369" s="12">
        <v>1251.883741580051</v>
      </c>
      <c r="AN369" s="12">
        <v>3390.6510606570578</v>
      </c>
      <c r="AP369" s="12">
        <f t="shared" si="84"/>
        <v>1.1390969221262057</v>
      </c>
      <c r="AQ369" s="12">
        <f t="shared" si="85"/>
        <v>1.0270374218792553</v>
      </c>
      <c r="AR369" s="12">
        <f t="shared" si="93"/>
        <v>1.2082700749137243</v>
      </c>
      <c r="AS369" s="12">
        <f t="shared" si="94"/>
        <v>0.95999747471720021</v>
      </c>
      <c r="AT369" s="12">
        <f t="shared" si="95"/>
        <v>1.2288864696586197</v>
      </c>
      <c r="AU369" s="12">
        <f t="shared" si="86"/>
        <v>0.94529749237352656</v>
      </c>
      <c r="AV369" s="12">
        <f t="shared" si="87"/>
        <v>0.36531202132790086</v>
      </c>
      <c r="AW369" s="12">
        <f t="shared" si="88"/>
        <v>0.48850442495121954</v>
      </c>
      <c r="AX369" s="12">
        <f t="shared" si="89"/>
        <v>0.96471616073786703</v>
      </c>
      <c r="AY369" s="12">
        <f t="shared" si="90"/>
        <v>0.27120684823371394</v>
      </c>
      <c r="AZ369" s="12">
        <f t="shared" si="91"/>
        <v>0.25437124215530205</v>
      </c>
      <c r="BA369" s="12">
        <f t="shared" si="96"/>
        <v>0.92331985349490309</v>
      </c>
      <c r="BB369" s="12">
        <f t="shared" si="97"/>
        <v>0.50587762777696588</v>
      </c>
      <c r="BC369" s="12">
        <f t="shared" si="98"/>
        <v>0.90341151877724557</v>
      </c>
      <c r="BD369" s="12">
        <f t="shared" si="99"/>
        <v>0.69449863281202484</v>
      </c>
      <c r="BE369" s="12">
        <f t="shared" si="100"/>
        <v>0.70011119979769154</v>
      </c>
      <c r="BF369" s="12">
        <f t="shared" si="101"/>
        <v>0.60574517405010264</v>
      </c>
      <c r="BG369" s="12">
        <f t="shared" si="102"/>
        <v>0.71680960438943431</v>
      </c>
      <c r="BH369" s="12">
        <f t="shared" si="103"/>
        <v>0.34144972676887897</v>
      </c>
      <c r="BI369" s="12">
        <f t="shared" si="104"/>
        <v>0.64476110183937574</v>
      </c>
    </row>
    <row r="370" spans="1:61" x14ac:dyDescent="0.55000000000000004">
      <c r="A370" s="12" t="s">
        <v>902</v>
      </c>
      <c r="B370" s="12" t="s">
        <v>903</v>
      </c>
      <c r="C370" s="12" t="s">
        <v>322</v>
      </c>
      <c r="D370" s="12" t="s">
        <v>9</v>
      </c>
      <c r="E370" s="12">
        <v>2229</v>
      </c>
      <c r="F370" s="12">
        <v>72.433501168923172</v>
      </c>
      <c r="G370" s="12">
        <v>38.032430151792113</v>
      </c>
      <c r="H370" s="14">
        <f t="shared" si="92"/>
        <v>84774.286808344623</v>
      </c>
      <c r="I370" s="12">
        <v>38.907670713303098</v>
      </c>
      <c r="J370" s="12">
        <v>14.271077769068214</v>
      </c>
      <c r="K370" s="12">
        <v>30.267695592869046</v>
      </c>
      <c r="L370" s="12">
        <v>41.239452277611385</v>
      </c>
      <c r="M370" s="12">
        <v>36.225886188790966</v>
      </c>
      <c r="N370" s="12">
        <v>13.77699229936259</v>
      </c>
      <c r="O370" s="12">
        <v>17.833286399198236</v>
      </c>
      <c r="P370" s="12">
        <v>37.974119567396542</v>
      </c>
      <c r="Q370" s="12">
        <v>526.18822711036501</v>
      </c>
      <c r="R370" s="15">
        <v>327.99032133599974</v>
      </c>
      <c r="S370" s="15">
        <v>1601.0829990175969</v>
      </c>
      <c r="T370" s="15">
        <v>1674.8509622322485</v>
      </c>
      <c r="U370" s="12">
        <v>23.449748836258166</v>
      </c>
      <c r="V370" s="12">
        <v>9.3609392704602232</v>
      </c>
      <c r="W370" s="12">
        <v>50.549946870375287</v>
      </c>
      <c r="X370" s="12">
        <v>53.387839119563807</v>
      </c>
      <c r="Y370" s="12">
        <v>34.326239912106274</v>
      </c>
      <c r="Z370" s="12">
        <v>21.258006099641971</v>
      </c>
      <c r="AA370" s="12">
        <v>18.449598573974352</v>
      </c>
      <c r="AB370" s="12">
        <v>37.943012455941144</v>
      </c>
      <c r="AC370" s="12">
        <v>44.168033590807283</v>
      </c>
      <c r="AD370" s="12">
        <v>27.28504821343509</v>
      </c>
      <c r="AE370" s="12">
        <v>29.35958485244948</v>
      </c>
      <c r="AF370" s="12">
        <v>54.103073332123287</v>
      </c>
      <c r="AG370" s="12">
        <v>803.20102936831984</v>
      </c>
      <c r="AH370" s="12">
        <v>41.341079988066227</v>
      </c>
      <c r="AI370" s="12">
        <v>1803.8548756018158</v>
      </c>
      <c r="AJ370" s="12">
        <v>1882.337273602232</v>
      </c>
      <c r="AK370" s="12">
        <v>1952.6907437351711</v>
      </c>
      <c r="AL370" s="12">
        <v>1328.4208384243459</v>
      </c>
      <c r="AM370" s="12">
        <v>2637.3913390584753</v>
      </c>
      <c r="AN370" s="12">
        <v>3218.5356882236019</v>
      </c>
      <c r="AP370" s="12">
        <f t="shared" si="84"/>
        <v>1.0843233554369167</v>
      </c>
      <c r="AQ370" s="12">
        <f t="shared" si="85"/>
        <v>0.99846681939169157</v>
      </c>
      <c r="AR370" s="12">
        <f t="shared" si="93"/>
        <v>1.403745143460104</v>
      </c>
      <c r="AS370" s="12">
        <f t="shared" si="94"/>
        <v>0.99764890922052329</v>
      </c>
      <c r="AT370" s="12">
        <f t="shared" si="95"/>
        <v>1.4225510469930862</v>
      </c>
      <c r="AU370" s="12">
        <f t="shared" si="86"/>
        <v>0.94345750402766149</v>
      </c>
      <c r="AV370" s="12">
        <f t="shared" si="87"/>
        <v>0.34605400850136614</v>
      </c>
      <c r="AW370" s="12">
        <f t="shared" si="88"/>
        <v>0.73394999014817586</v>
      </c>
      <c r="AX370" s="12">
        <f t="shared" si="89"/>
        <v>0.95396250397582472</v>
      </c>
      <c r="AY370" s="12">
        <f t="shared" si="90"/>
        <v>0.36279951862771054</v>
      </c>
      <c r="AZ370" s="12">
        <f t="shared" si="91"/>
        <v>0.46961684964275957</v>
      </c>
      <c r="BA370" s="12">
        <f t="shared" si="96"/>
        <v>0.43923390088408876</v>
      </c>
      <c r="BB370" s="12">
        <f t="shared" si="97"/>
        <v>0.17533841835209127</v>
      </c>
      <c r="BC370" s="12">
        <f t="shared" si="98"/>
        <v>0.94684384504057251</v>
      </c>
      <c r="BD370" s="12">
        <f t="shared" si="99"/>
        <v>0.90467882464433702</v>
      </c>
      <c r="BE370" s="12">
        <f t="shared" si="100"/>
        <v>0.56026142163399517</v>
      </c>
      <c r="BF370" s="12">
        <f t="shared" si="101"/>
        <v>0.48624496000146927</v>
      </c>
      <c r="BG370" s="12">
        <f t="shared" si="102"/>
        <v>0.81636829241977371</v>
      </c>
      <c r="BH370" s="12">
        <f t="shared" si="103"/>
        <v>0.50431604958816267</v>
      </c>
      <c r="BI370" s="12">
        <f t="shared" si="104"/>
        <v>0.54266020475804377</v>
      </c>
    </row>
    <row r="371" spans="1:61" x14ac:dyDescent="0.55000000000000004">
      <c r="A371" s="12" t="s">
        <v>904</v>
      </c>
      <c r="B371" s="12" t="s">
        <v>905</v>
      </c>
      <c r="C371" s="12" t="s">
        <v>515</v>
      </c>
      <c r="D371" s="12" t="s">
        <v>9</v>
      </c>
      <c r="E371" s="12">
        <v>3269</v>
      </c>
      <c r="F371" s="12">
        <v>69.256483162769442</v>
      </c>
      <c r="G371" s="12">
        <v>41.822718107249337</v>
      </c>
      <c r="H371" s="14">
        <f t="shared" si="92"/>
        <v>136718.46549259807</v>
      </c>
      <c r="I371" s="12">
        <v>40.028963637408879</v>
      </c>
      <c r="J371" s="12">
        <v>6.4245713192004299</v>
      </c>
      <c r="K371" s="12">
        <v>23.118362746019478</v>
      </c>
      <c r="L371" s="12">
        <v>43.339090883603994</v>
      </c>
      <c r="M371" s="12">
        <v>28.068726053173275</v>
      </c>
      <c r="N371" s="12">
        <v>5.852649154734392</v>
      </c>
      <c r="O371" s="12">
        <v>14.202032054139769</v>
      </c>
      <c r="P371" s="12">
        <v>29.635662573558648</v>
      </c>
      <c r="Q371" s="12">
        <v>492.57564606311468</v>
      </c>
      <c r="R371" s="15">
        <v>64.685641238489737</v>
      </c>
      <c r="S371" s="15">
        <v>1131.8684486261391</v>
      </c>
      <c r="T371" s="15">
        <v>1158.2912277271485</v>
      </c>
      <c r="U371" s="12">
        <v>32.657563448791322</v>
      </c>
      <c r="V371" s="12">
        <v>11.547613108730197</v>
      </c>
      <c r="W371" s="12">
        <v>33.387635251315572</v>
      </c>
      <c r="X371" s="12">
        <v>39.197282152035662</v>
      </c>
      <c r="Y371" s="12">
        <v>25.068991788423773</v>
      </c>
      <c r="Z371" s="12">
        <v>18.656534092022888</v>
      </c>
      <c r="AA371" s="12">
        <v>12.289007191684497</v>
      </c>
      <c r="AB371" s="12">
        <v>30.932754820528881</v>
      </c>
      <c r="AC371" s="12">
        <v>22.870702890999389</v>
      </c>
      <c r="AD371" s="12">
        <v>11.293314159480115</v>
      </c>
      <c r="AE371" s="12">
        <v>15.440791653879646</v>
      </c>
      <c r="AF371" s="12">
        <v>27.290404185036707</v>
      </c>
      <c r="AG371" s="12">
        <v>760.69479238902272</v>
      </c>
      <c r="AH371" s="12">
        <v>268.82480981490932</v>
      </c>
      <c r="AI371" s="12">
        <v>1375.804571782722</v>
      </c>
      <c r="AJ371" s="12">
        <v>1531.4346156345912</v>
      </c>
      <c r="AK371" s="12">
        <v>540.70877295333412</v>
      </c>
      <c r="AL371" s="12">
        <v>1582.5890387340264</v>
      </c>
      <c r="AM371" s="12">
        <v>738.67747546743919</v>
      </c>
      <c r="AN371" s="12">
        <v>1606.5030450174056</v>
      </c>
      <c r="AP371" s="12">
        <f t="shared" si="84"/>
        <v>1.0362571550817454</v>
      </c>
      <c r="AQ371" s="12">
        <f t="shared" si="85"/>
        <v>0.70860202097724856</v>
      </c>
      <c r="AR371" s="12">
        <f t="shared" si="93"/>
        <v>0.93722464550292839</v>
      </c>
      <c r="AS371" s="12">
        <f t="shared" si="94"/>
        <v>0.73961607997848311</v>
      </c>
      <c r="AT371" s="12">
        <f t="shared" si="95"/>
        <v>0.65252583811156761</v>
      </c>
      <c r="AU371" s="12">
        <f t="shared" si="86"/>
        <v>0.92362259616646925</v>
      </c>
      <c r="AV371" s="12">
        <f t="shared" si="87"/>
        <v>0.14823964204636714</v>
      </c>
      <c r="AW371" s="12">
        <f t="shared" si="88"/>
        <v>0.53342980377942351</v>
      </c>
      <c r="AX371" s="12">
        <f t="shared" si="89"/>
        <v>0.94712665807636054</v>
      </c>
      <c r="AY371" s="12">
        <f t="shared" si="90"/>
        <v>0.19748669833878482</v>
      </c>
      <c r="AZ371" s="12">
        <f t="shared" si="91"/>
        <v>0.47922100674783025</v>
      </c>
      <c r="BA371" s="12">
        <f t="shared" si="96"/>
        <v>0.83315887367194141</v>
      </c>
      <c r="BB371" s="12">
        <f t="shared" si="97"/>
        <v>0.29460239268478172</v>
      </c>
      <c r="BC371" s="12">
        <f t="shared" si="98"/>
        <v>0.85178444571268896</v>
      </c>
      <c r="BD371" s="12">
        <f t="shared" si="99"/>
        <v>0.8104351498556619</v>
      </c>
      <c r="BE371" s="12">
        <f t="shared" si="100"/>
        <v>0.60313199390961658</v>
      </c>
      <c r="BF371" s="12">
        <f t="shared" si="101"/>
        <v>0.39728136931175478</v>
      </c>
      <c r="BG371" s="12">
        <f t="shared" si="102"/>
        <v>0.83804925481973502</v>
      </c>
      <c r="BH371" s="12">
        <f t="shared" si="103"/>
        <v>0.41381996700775231</v>
      </c>
      <c r="BI371" s="12">
        <f t="shared" si="104"/>
        <v>0.56579563824656776</v>
      </c>
    </row>
    <row r="372" spans="1:61" x14ac:dyDescent="0.55000000000000004">
      <c r="A372" s="12" t="s">
        <v>906</v>
      </c>
      <c r="B372" s="12" t="s">
        <v>907</v>
      </c>
      <c r="C372" s="12" t="s">
        <v>322</v>
      </c>
      <c r="D372" s="12" t="s">
        <v>9</v>
      </c>
      <c r="E372" s="12">
        <v>2131</v>
      </c>
      <c r="F372" s="12">
        <v>71.727955300142042</v>
      </c>
      <c r="G372" s="12">
        <v>37.426403669894036</v>
      </c>
      <c r="H372" s="14">
        <f t="shared" si="92"/>
        <v>79755.666220544197</v>
      </c>
      <c r="I372" s="12">
        <v>43.441128557938022</v>
      </c>
      <c r="J372" s="12">
        <v>12.466453574091471</v>
      </c>
      <c r="K372" s="12">
        <v>17.075259382120993</v>
      </c>
      <c r="L372" s="12">
        <v>46.00825665374559</v>
      </c>
      <c r="M372" s="12">
        <v>40.254330145237098</v>
      </c>
      <c r="N372" s="12">
        <v>12.657279567305302</v>
      </c>
      <c r="O372" s="12">
        <v>10.60586910485431</v>
      </c>
      <c r="P372" s="12">
        <v>40.955720199482357</v>
      </c>
      <c r="Q372" s="12">
        <v>668.45062611377318</v>
      </c>
      <c r="R372" s="15">
        <v>230.81186886990685</v>
      </c>
      <c r="S372" s="15">
        <v>925.82844964396099</v>
      </c>
      <c r="T372" s="15">
        <v>1045.6623608927298</v>
      </c>
      <c r="U372" s="12">
        <v>42.386871685496878</v>
      </c>
      <c r="V372" s="12">
        <v>10.141189556387971</v>
      </c>
      <c r="W372" s="12">
        <v>76.800093714762028</v>
      </c>
      <c r="X372" s="12">
        <v>80.846268921579366</v>
      </c>
      <c r="Y372" s="12">
        <v>36.921077917284492</v>
      </c>
      <c r="Z372" s="12">
        <v>29.066505131520877</v>
      </c>
      <c r="AA372" s="12">
        <v>30.550096218705654</v>
      </c>
      <c r="AB372" s="12">
        <v>47.272675805969072</v>
      </c>
      <c r="AC372" s="12">
        <v>30.185696040205826</v>
      </c>
      <c r="AD372" s="12">
        <v>16.702536994503127</v>
      </c>
      <c r="AE372" s="12">
        <v>44.076722004498109</v>
      </c>
      <c r="AF372" s="12">
        <v>49.358864588318021</v>
      </c>
      <c r="AG372" s="12">
        <v>889.04665042483123</v>
      </c>
      <c r="AH372" s="12">
        <v>185.33026014736009</v>
      </c>
      <c r="AI372" s="12">
        <v>2755.2103435367526</v>
      </c>
      <c r="AJ372" s="12">
        <v>2876.6179337918384</v>
      </c>
      <c r="AK372" s="12">
        <v>1930.3957295628998</v>
      </c>
      <c r="AL372" s="12">
        <v>1713.6060362571286</v>
      </c>
      <c r="AM372" s="12">
        <v>4775.2347149581419</v>
      </c>
      <c r="AN372" s="12">
        <v>5150.1545683843024</v>
      </c>
      <c r="AP372" s="12">
        <f t="shared" si="84"/>
        <v>1.2292994288081929</v>
      </c>
      <c r="AQ372" s="12">
        <f t="shared" si="85"/>
        <v>1.0943001780432171</v>
      </c>
      <c r="AR372" s="12">
        <f t="shared" si="93"/>
        <v>2.1601399278075029</v>
      </c>
      <c r="AS372" s="12">
        <f t="shared" si="94"/>
        <v>1.2630835765819366</v>
      </c>
      <c r="AT372" s="12">
        <f t="shared" si="95"/>
        <v>1.3188246731817972</v>
      </c>
      <c r="AU372" s="12">
        <f t="shared" si="86"/>
        <v>0.9442028826450094</v>
      </c>
      <c r="AV372" s="12">
        <f t="shared" si="87"/>
        <v>0.27096122480608187</v>
      </c>
      <c r="AW372" s="12">
        <f t="shared" si="88"/>
        <v>0.37113467503513581</v>
      </c>
      <c r="AX372" s="12">
        <f t="shared" si="89"/>
        <v>0.98287442997390817</v>
      </c>
      <c r="AY372" s="12">
        <f t="shared" si="90"/>
        <v>0.30904790602278992</v>
      </c>
      <c r="AZ372" s="12">
        <f t="shared" si="91"/>
        <v>0.25895940916669213</v>
      </c>
      <c r="BA372" s="12">
        <f t="shared" si="96"/>
        <v>0.52428976934745142</v>
      </c>
      <c r="BB372" s="12">
        <f t="shared" si="97"/>
        <v>0.12543794156072799</v>
      </c>
      <c r="BC372" s="12">
        <f t="shared" si="98"/>
        <v>0.94995223328435707</v>
      </c>
      <c r="BD372" s="12">
        <f t="shared" si="99"/>
        <v>0.78102365241238381</v>
      </c>
      <c r="BE372" s="12">
        <f t="shared" si="100"/>
        <v>0.61486904720233082</v>
      </c>
      <c r="BF372" s="12">
        <f t="shared" si="101"/>
        <v>0.64625273898390423</v>
      </c>
      <c r="BG372" s="12">
        <f t="shared" si="102"/>
        <v>0.611555721388089</v>
      </c>
      <c r="BH372" s="12">
        <f t="shared" si="103"/>
        <v>0.33838981374089772</v>
      </c>
      <c r="BI372" s="12">
        <f t="shared" si="104"/>
        <v>0.89298492524339668</v>
      </c>
    </row>
    <row r="373" spans="1:61" x14ac:dyDescent="0.55000000000000004">
      <c r="A373" s="12" t="s">
        <v>908</v>
      </c>
      <c r="B373" s="12" t="s">
        <v>909</v>
      </c>
      <c r="C373" s="12" t="s">
        <v>134</v>
      </c>
      <c r="D373" s="12" t="s">
        <v>9</v>
      </c>
      <c r="E373" s="12">
        <v>1705</v>
      </c>
      <c r="F373" s="12">
        <v>70.161189612007362</v>
      </c>
      <c r="G373" s="12">
        <v>50.955420518900475</v>
      </c>
      <c r="H373" s="14">
        <f t="shared" si="92"/>
        <v>86878.991984725304</v>
      </c>
      <c r="I373" s="12">
        <v>41.736259265607032</v>
      </c>
      <c r="J373" s="12">
        <v>15.952726893450423</v>
      </c>
      <c r="K373" s="12">
        <v>27.413230152025811</v>
      </c>
      <c r="L373" s="12">
        <v>44.690870283809886</v>
      </c>
      <c r="M373" s="12">
        <v>33.845669466209934</v>
      </c>
      <c r="N373" s="12">
        <v>12.938958939513313</v>
      </c>
      <c r="O373" s="12">
        <v>14.841334665707995</v>
      </c>
      <c r="P373" s="12">
        <v>37.702127723550241</v>
      </c>
      <c r="Q373" s="12">
        <v>417.64756550402672</v>
      </c>
      <c r="R373" s="15">
        <v>51.360193352357989</v>
      </c>
      <c r="S373" s="15">
        <v>1343.7459453656654</v>
      </c>
      <c r="T373" s="15">
        <v>1349.5595183109428</v>
      </c>
      <c r="U373" s="12">
        <v>24.486146697878876</v>
      </c>
      <c r="V373" s="12">
        <v>13.36631551613247</v>
      </c>
      <c r="W373" s="12">
        <v>35.192098250109709</v>
      </c>
      <c r="X373" s="12">
        <v>40.781700411609613</v>
      </c>
      <c r="Y373" s="12">
        <v>31.585219225108325</v>
      </c>
      <c r="Z373" s="12">
        <v>24.49420350406227</v>
      </c>
      <c r="AA373" s="12">
        <v>28.26547161210236</v>
      </c>
      <c r="AB373" s="12">
        <v>47.692096242300615</v>
      </c>
      <c r="AC373" s="12">
        <v>38.619635012764832</v>
      </c>
      <c r="AD373" s="12">
        <v>20.458274648531507</v>
      </c>
      <c r="AE373" s="12">
        <v>34.438276013866563</v>
      </c>
      <c r="AF373" s="12">
        <v>45.996074806985938</v>
      </c>
      <c r="AG373" s="12">
        <v>800.39183550559665</v>
      </c>
      <c r="AH373" s="12">
        <v>320.79723415502224</v>
      </c>
      <c r="AI373" s="12">
        <v>1232.5447827456737</v>
      </c>
      <c r="AJ373" s="12">
        <v>1376.1689533399638</v>
      </c>
      <c r="AK373" s="12">
        <v>3252.6108749020764</v>
      </c>
      <c r="AL373" s="12">
        <v>2647.6462012239822</v>
      </c>
      <c r="AM373" s="12">
        <v>1018.9788876825355</v>
      </c>
      <c r="AN373" s="12">
        <v>3711.2304499423744</v>
      </c>
      <c r="AP373" s="12">
        <f t="shared" si="84"/>
        <v>0.87705821733397471</v>
      </c>
      <c r="AQ373" s="12">
        <f t="shared" si="85"/>
        <v>0.73990416210117826</v>
      </c>
      <c r="AR373" s="12">
        <f t="shared" si="93"/>
        <v>0.80034076838759072</v>
      </c>
      <c r="AS373" s="12">
        <f t="shared" si="94"/>
        <v>0.93595726924892275</v>
      </c>
      <c r="AT373" s="12">
        <f t="shared" si="95"/>
        <v>0.90267285283074039</v>
      </c>
      <c r="AU373" s="12">
        <f t="shared" si="86"/>
        <v>0.93388781647259134</v>
      </c>
      <c r="AV373" s="12">
        <f t="shared" si="87"/>
        <v>0.35695717698363105</v>
      </c>
      <c r="AW373" s="12">
        <f t="shared" si="88"/>
        <v>0.61339665076866434</v>
      </c>
      <c r="AX373" s="12">
        <f t="shared" si="89"/>
        <v>0.89771245045856096</v>
      </c>
      <c r="AY373" s="12">
        <f t="shared" si="90"/>
        <v>0.34318909092844452</v>
      </c>
      <c r="AZ373" s="12">
        <f t="shared" si="91"/>
        <v>0.39364713775656512</v>
      </c>
      <c r="BA373" s="12">
        <f t="shared" si="96"/>
        <v>0.60041995431137618</v>
      </c>
      <c r="BB373" s="12">
        <f t="shared" si="97"/>
        <v>0.32775277590748492</v>
      </c>
      <c r="BC373" s="12">
        <f t="shared" si="98"/>
        <v>0.86293847227839782</v>
      </c>
      <c r="BD373" s="12">
        <f t="shared" si="99"/>
        <v>0.6622736619635885</v>
      </c>
      <c r="BE373" s="12">
        <f t="shared" si="100"/>
        <v>0.51359041505785352</v>
      </c>
      <c r="BF373" s="12">
        <f t="shared" si="101"/>
        <v>0.59266574210743617</v>
      </c>
      <c r="BG373" s="12">
        <f t="shared" si="102"/>
        <v>0.83962892866021765</v>
      </c>
      <c r="BH373" s="12">
        <f t="shared" si="103"/>
        <v>0.44478305451891037</v>
      </c>
      <c r="BI373" s="12">
        <f t="shared" si="104"/>
        <v>0.74872206287994025</v>
      </c>
    </row>
    <row r="374" spans="1:61" x14ac:dyDescent="0.55000000000000004">
      <c r="A374" s="12" t="s">
        <v>910</v>
      </c>
      <c r="B374" s="12" t="s">
        <v>911</v>
      </c>
      <c r="C374" s="12" t="s">
        <v>134</v>
      </c>
      <c r="D374" s="12" t="s">
        <v>9</v>
      </c>
      <c r="E374" s="12">
        <v>1700</v>
      </c>
      <c r="F374" s="12">
        <v>69.023756286136489</v>
      </c>
      <c r="G374" s="12">
        <v>46.449851612461273</v>
      </c>
      <c r="H374" s="14">
        <f t="shared" si="92"/>
        <v>78964.747741184168</v>
      </c>
      <c r="I374" s="12">
        <v>47.193808848416559</v>
      </c>
      <c r="J374" s="12">
        <v>40.858884479301047</v>
      </c>
      <c r="K374" s="12">
        <v>26.410217309724697</v>
      </c>
      <c r="L374" s="12">
        <v>62.519052607645925</v>
      </c>
      <c r="M374" s="12">
        <v>39.946900888601817</v>
      </c>
      <c r="N374" s="12">
        <v>14.3489825410687</v>
      </c>
      <c r="O374" s="12">
        <v>12.881188015068785</v>
      </c>
      <c r="P374" s="12">
        <v>42.287254564002176</v>
      </c>
      <c r="Q374" s="12">
        <v>648.02274176774858</v>
      </c>
      <c r="R374" s="15">
        <v>294.07723711515348</v>
      </c>
      <c r="S374" s="15">
        <v>1198.1919673790344</v>
      </c>
      <c r="T374" s="15">
        <v>1200.0624943536588</v>
      </c>
      <c r="U374" s="12">
        <v>29.920176258068704</v>
      </c>
      <c r="V374" s="12">
        <v>14.50135382741332</v>
      </c>
      <c r="W374" s="12">
        <v>40.090968399722371</v>
      </c>
      <c r="X374" s="12">
        <v>45.098062069854244</v>
      </c>
      <c r="Y374" s="12">
        <v>34.65210876773434</v>
      </c>
      <c r="Z374" s="12">
        <v>28.421214041756162</v>
      </c>
      <c r="AA374" s="12">
        <v>30.606628235122393</v>
      </c>
      <c r="AB374" s="12">
        <v>42.34224280808774</v>
      </c>
      <c r="AC374" s="12">
        <v>40.700043865532919</v>
      </c>
      <c r="AD374" s="12">
        <v>23.672276152981105</v>
      </c>
      <c r="AE374" s="12">
        <v>34.27601682471176</v>
      </c>
      <c r="AF374" s="12">
        <v>53.056670237313284</v>
      </c>
      <c r="AG374" s="12">
        <v>943.17257560017583</v>
      </c>
      <c r="AH374" s="12">
        <v>198.60806269107326</v>
      </c>
      <c r="AI374" s="12">
        <v>1458.4949903270667</v>
      </c>
      <c r="AJ374" s="12">
        <v>1580.8189429883757</v>
      </c>
      <c r="AK374" s="12">
        <v>3116.7538431453377</v>
      </c>
      <c r="AL374" s="12">
        <v>2766.7636067294748</v>
      </c>
      <c r="AM374" s="12">
        <v>1295.8325555334395</v>
      </c>
      <c r="AN374" s="12">
        <v>3742.0277807456855</v>
      </c>
      <c r="AP374" s="12">
        <f t="shared" si="84"/>
        <v>1.34594730526273</v>
      </c>
      <c r="AQ374" s="12">
        <f t="shared" si="85"/>
        <v>0.91038513786463027</v>
      </c>
      <c r="AR374" s="12">
        <f t="shared" si="93"/>
        <v>0.97089787166845587</v>
      </c>
      <c r="AS374" s="12">
        <f t="shared" si="94"/>
        <v>0.91156895745019839</v>
      </c>
      <c r="AT374" s="12">
        <f t="shared" si="95"/>
        <v>1.1422355162719093</v>
      </c>
      <c r="AU374" s="12">
        <f t="shared" si="86"/>
        <v>0.75487082545209383</v>
      </c>
      <c r="AV374" s="12">
        <f t="shared" si="87"/>
        <v>0.65354292451808693</v>
      </c>
      <c r="AW374" s="12">
        <f t="shared" si="88"/>
        <v>0.42243470123369709</v>
      </c>
      <c r="AX374" s="12">
        <f t="shared" si="89"/>
        <v>0.94465581415652766</v>
      </c>
      <c r="AY374" s="12">
        <f t="shared" si="90"/>
        <v>0.33932168661721407</v>
      </c>
      <c r="AZ374" s="12">
        <f t="shared" si="91"/>
        <v>0.30461159391591575</v>
      </c>
      <c r="BA374" s="12">
        <f t="shared" si="96"/>
        <v>0.66344705037932916</v>
      </c>
      <c r="BB374" s="12">
        <f t="shared" si="97"/>
        <v>0.32155159583025045</v>
      </c>
      <c r="BC374" s="12">
        <f t="shared" si="98"/>
        <v>0.88897319662259144</v>
      </c>
      <c r="BD374" s="12">
        <f t="shared" si="99"/>
        <v>0.81838151381805135</v>
      </c>
      <c r="BE374" s="12">
        <f t="shared" si="100"/>
        <v>0.67122599458353349</v>
      </c>
      <c r="BF374" s="12">
        <f t="shared" si="101"/>
        <v>0.72283908941347474</v>
      </c>
      <c r="BG374" s="12">
        <f t="shared" si="102"/>
        <v>0.76710512897791516</v>
      </c>
      <c r="BH374" s="12">
        <f t="shared" si="103"/>
        <v>0.44616965307282042</v>
      </c>
      <c r="BI374" s="12">
        <f t="shared" si="104"/>
        <v>0.64602653486170691</v>
      </c>
    </row>
    <row r="375" spans="1:61" x14ac:dyDescent="0.55000000000000004">
      <c r="A375" s="12" t="s">
        <v>912</v>
      </c>
      <c r="B375" s="12" t="s">
        <v>913</v>
      </c>
      <c r="C375" s="12" t="s">
        <v>322</v>
      </c>
      <c r="D375" s="12" t="s">
        <v>9</v>
      </c>
      <c r="E375" s="12">
        <v>2230</v>
      </c>
      <c r="F375" s="12">
        <v>71.442768661487506</v>
      </c>
      <c r="G375" s="12">
        <v>57.457627091954457</v>
      </c>
      <c r="H375" s="14">
        <f t="shared" si="92"/>
        <v>128130.50841505844</v>
      </c>
      <c r="I375" s="12">
        <v>23.681539569277437</v>
      </c>
      <c r="J375" s="12">
        <v>22.381555871282302</v>
      </c>
      <c r="K375" s="12">
        <v>23.73202183386308</v>
      </c>
      <c r="L375" s="12">
        <v>37.820777432614598</v>
      </c>
      <c r="M375" s="12">
        <v>35.520379760330535</v>
      </c>
      <c r="N375" s="12">
        <v>16.520129920251584</v>
      </c>
      <c r="O375" s="12">
        <v>21.716642029417031</v>
      </c>
      <c r="P375" s="12">
        <v>41.087004386854851</v>
      </c>
      <c r="Q375" s="12">
        <v>803.52612369564349</v>
      </c>
      <c r="R375" s="15">
        <v>421.65478750248406</v>
      </c>
      <c r="S375" s="15">
        <v>1028.2792997866884</v>
      </c>
      <c r="T375" s="15">
        <v>1185.8986051649892</v>
      </c>
      <c r="U375" s="12">
        <v>30.534864989766806</v>
      </c>
      <c r="V375" s="12">
        <v>8.8004274968268668</v>
      </c>
      <c r="W375" s="12">
        <v>36.250433020405481</v>
      </c>
      <c r="X375" s="12">
        <v>38.854680816953305</v>
      </c>
      <c r="Y375" s="12">
        <v>27.464099847889546</v>
      </c>
      <c r="Z375" s="12">
        <v>18.568825350796317</v>
      </c>
      <c r="AA375" s="12">
        <v>17.539182200355359</v>
      </c>
      <c r="AB375" s="12">
        <v>32.041138890105977</v>
      </c>
      <c r="AC375" s="12">
        <v>34.353037446636357</v>
      </c>
      <c r="AD375" s="12">
        <v>12.117279764898562</v>
      </c>
      <c r="AE375" s="12">
        <v>33.845416986942723</v>
      </c>
      <c r="AF375" s="12">
        <v>46.682545683225101</v>
      </c>
      <c r="AG375" s="12">
        <v>525.92672687484969</v>
      </c>
      <c r="AH375" s="12">
        <v>330.44276850845222</v>
      </c>
      <c r="AI375" s="12">
        <v>1258.9250605174154</v>
      </c>
      <c r="AJ375" s="12">
        <v>1336.7726288366812</v>
      </c>
      <c r="AK375" s="12">
        <v>1980.6922480547637</v>
      </c>
      <c r="AL375" s="12">
        <v>1898.1750266526353</v>
      </c>
      <c r="AM375" s="12">
        <v>2280.9842524652145</v>
      </c>
      <c r="AN375" s="12">
        <v>2967.479568170656</v>
      </c>
      <c r="AP375" s="12">
        <f t="shared" si="84"/>
        <v>0.65823771963444833</v>
      </c>
      <c r="AQ375" s="12">
        <f t="shared" si="85"/>
        <v>0.71508355750751296</v>
      </c>
      <c r="AR375" s="12">
        <f t="shared" ref="AR375:AR406" si="105">X375/G375</f>
        <v>0.67623190833778724</v>
      </c>
      <c r="AS375" s="12">
        <f t="shared" ref="AS375:AS406" si="106">AB375/G375</f>
        <v>0.55764814023432863</v>
      </c>
      <c r="AT375" s="12">
        <f t="shared" ref="AT375:AT406" si="107">AF375/G375</f>
        <v>0.81246908453972433</v>
      </c>
      <c r="AU375" s="12">
        <f t="shared" si="86"/>
        <v>0.62615158060859311</v>
      </c>
      <c r="AV375" s="12">
        <f t="shared" si="87"/>
        <v>0.591779370774691</v>
      </c>
      <c r="AW375" s="12">
        <f t="shared" si="88"/>
        <v>0.62748635657071039</v>
      </c>
      <c r="AX375" s="12">
        <f t="shared" si="89"/>
        <v>0.8645161722156296</v>
      </c>
      <c r="AY375" s="12">
        <f t="shared" si="90"/>
        <v>0.40207676774646883</v>
      </c>
      <c r="AZ375" s="12">
        <f t="shared" si="91"/>
        <v>0.52855257650190079</v>
      </c>
      <c r="BA375" s="12">
        <f t="shared" ref="BA375:BA406" si="108">U375/$X375</f>
        <v>0.78587352534481902</v>
      </c>
      <c r="BB375" s="12">
        <f t="shared" ref="BB375:BB406" si="109">V375/$X375</f>
        <v>0.22649594107557336</v>
      </c>
      <c r="BC375" s="12">
        <f t="shared" ref="BC375:BC406" si="110">W375/$X375</f>
        <v>0.93297467018667357</v>
      </c>
      <c r="BD375" s="12">
        <f t="shared" ref="BD375:BD406" si="111">Y375/$AB375</f>
        <v>0.85715117499678573</v>
      </c>
      <c r="BE375" s="12">
        <f t="shared" ref="BE375:BE406" si="112">Z375/$AB375</f>
        <v>0.57953075308849922</v>
      </c>
      <c r="BF375" s="12">
        <f t="shared" ref="BF375:BF406" si="113">AA375/$AB375</f>
        <v>0.54739571712824808</v>
      </c>
      <c r="BG375" s="12">
        <f t="shared" ref="BG375:BG406" si="114">AC375/$AF375</f>
        <v>0.73588612068730375</v>
      </c>
      <c r="BH375" s="12">
        <f t="shared" ref="BH375:BH406" si="115">AD375/$AF375</f>
        <v>0.25956767326107461</v>
      </c>
      <c r="BI375" s="12">
        <f t="shared" ref="BI375:BI406" si="116">AE375/$AF375</f>
        <v>0.72501223940546011</v>
      </c>
    </row>
    <row r="376" spans="1:61" x14ac:dyDescent="0.55000000000000004">
      <c r="A376" s="12" t="s">
        <v>914</v>
      </c>
      <c r="B376" s="12" t="s">
        <v>915</v>
      </c>
      <c r="C376" s="12" t="s">
        <v>322</v>
      </c>
      <c r="D376" s="12" t="s">
        <v>9</v>
      </c>
      <c r="E376" s="12">
        <v>1815</v>
      </c>
      <c r="F376" s="12">
        <v>66.411974170547481</v>
      </c>
      <c r="G376" s="12">
        <v>43.812534228223193</v>
      </c>
      <c r="H376" s="14">
        <f t="shared" si="92"/>
        <v>79519.749624225093</v>
      </c>
      <c r="I376" s="12">
        <v>25.322421679312406</v>
      </c>
      <c r="J376" s="12">
        <v>9.8131266000804906</v>
      </c>
      <c r="K376" s="12">
        <v>29.517894184367695</v>
      </c>
      <c r="L376" s="12">
        <v>37.170362856377309</v>
      </c>
      <c r="M376" s="12">
        <v>30.917028223937997</v>
      </c>
      <c r="N376" s="12">
        <v>15.224321532356853</v>
      </c>
      <c r="O376" s="12">
        <v>11.654955896976315</v>
      </c>
      <c r="P376" s="12">
        <v>36.120865016360511</v>
      </c>
      <c r="Q376" s="12">
        <v>606.24928752716482</v>
      </c>
      <c r="R376" s="15">
        <v>221.36223978421941</v>
      </c>
      <c r="S376" s="15">
        <v>1248.9429886408434</v>
      </c>
      <c r="T376" s="15">
        <v>1249.378696500225</v>
      </c>
      <c r="U376" s="12">
        <v>23.364388078034526</v>
      </c>
      <c r="V376" s="12">
        <v>12.727898821768516</v>
      </c>
      <c r="W376" s="12">
        <v>51.163545280186888</v>
      </c>
      <c r="X376" s="12">
        <v>56.283144884690735</v>
      </c>
      <c r="Y376" s="12">
        <v>27.746765465081879</v>
      </c>
      <c r="Z376" s="12">
        <v>26.989096380880891</v>
      </c>
      <c r="AA376" s="12">
        <v>19.025909917302819</v>
      </c>
      <c r="AB376" s="12">
        <v>37.126320126565766</v>
      </c>
      <c r="AC376" s="12">
        <v>45.274818952958597</v>
      </c>
      <c r="AD376" s="12">
        <v>23.644353075446588</v>
      </c>
      <c r="AE376" s="12">
        <v>36.01156671162213</v>
      </c>
      <c r="AF376" s="12">
        <v>54.462719466418889</v>
      </c>
      <c r="AG376" s="12">
        <v>764.10611306185365</v>
      </c>
      <c r="AH376" s="12">
        <v>491.37740933222051</v>
      </c>
      <c r="AI376" s="12">
        <v>1817.173621417149</v>
      </c>
      <c r="AJ376" s="12">
        <v>1947.3161039117415</v>
      </c>
      <c r="AK376" s="12">
        <v>622.88148510513429</v>
      </c>
      <c r="AL376" s="12">
        <v>3116.9675312967152</v>
      </c>
      <c r="AM376" s="12">
        <v>1287.3236048213191</v>
      </c>
      <c r="AN376" s="12">
        <v>3123.7450912631271</v>
      </c>
      <c r="AP376" s="12">
        <f t="shared" si="84"/>
        <v>0.84839563634355752</v>
      </c>
      <c r="AQ376" s="12">
        <f t="shared" si="85"/>
        <v>0.82444135343104952</v>
      </c>
      <c r="AR376" s="12">
        <f t="shared" si="105"/>
        <v>1.284635684197291</v>
      </c>
      <c r="AS376" s="12">
        <f t="shared" si="106"/>
        <v>0.84739038224019703</v>
      </c>
      <c r="AT376" s="12">
        <f t="shared" si="107"/>
        <v>1.2430853504779702</v>
      </c>
      <c r="AU376" s="12">
        <f t="shared" si="86"/>
        <v>0.68125301270681149</v>
      </c>
      <c r="AV376" s="12">
        <f t="shared" si="87"/>
        <v>0.26400405715697378</v>
      </c>
      <c r="AW376" s="12">
        <f t="shared" si="88"/>
        <v>0.79412445604639337</v>
      </c>
      <c r="AX376" s="12">
        <f t="shared" si="89"/>
        <v>0.85593266412458568</v>
      </c>
      <c r="AY376" s="12">
        <f t="shared" si="90"/>
        <v>0.4214827503566479</v>
      </c>
      <c r="AZ376" s="12">
        <f t="shared" si="91"/>
        <v>0.32266547026759584</v>
      </c>
      <c r="BA376" s="12">
        <f t="shared" si="108"/>
        <v>0.41512229151199659</v>
      </c>
      <c r="BB376" s="12">
        <f t="shared" si="109"/>
        <v>0.22614050525862781</v>
      </c>
      <c r="BC376" s="12">
        <f t="shared" si="110"/>
        <v>0.90903849429536054</v>
      </c>
      <c r="BD376" s="12">
        <f t="shared" si="111"/>
        <v>0.7473610465699686</v>
      </c>
      <c r="BE376" s="12">
        <f t="shared" si="112"/>
        <v>0.72695317739203635</v>
      </c>
      <c r="BF376" s="12">
        <f t="shared" si="113"/>
        <v>0.51246419931849951</v>
      </c>
      <c r="BG376" s="12">
        <f t="shared" si="114"/>
        <v>0.83129927033618933</v>
      </c>
      <c r="BH376" s="12">
        <f t="shared" si="115"/>
        <v>0.43413831162113442</v>
      </c>
      <c r="BI376" s="12">
        <f t="shared" si="116"/>
        <v>0.66121499375047665</v>
      </c>
    </row>
    <row r="377" spans="1:61" x14ac:dyDescent="0.55000000000000004">
      <c r="A377" s="12" t="s">
        <v>916</v>
      </c>
      <c r="B377" s="12" t="s">
        <v>917</v>
      </c>
      <c r="C377" s="12" t="s">
        <v>322</v>
      </c>
      <c r="D377" s="12" t="s">
        <v>9</v>
      </c>
      <c r="E377" s="12">
        <v>1985</v>
      </c>
      <c r="F377" s="12">
        <v>67.344151151105478</v>
      </c>
      <c r="G377" s="12">
        <v>39.831890910904896</v>
      </c>
      <c r="H377" s="14">
        <f t="shared" si="92"/>
        <v>79066.303458146213</v>
      </c>
      <c r="I377" s="12">
        <v>41.621849727063363</v>
      </c>
      <c r="J377" s="12">
        <v>19.351101411028225</v>
      </c>
      <c r="K377" s="12">
        <v>23.983640951419151</v>
      </c>
      <c r="L377" s="12">
        <v>48.791891989186141</v>
      </c>
      <c r="M377" s="12">
        <v>39.948718298530963</v>
      </c>
      <c r="N377" s="12">
        <v>16.997528825766771</v>
      </c>
      <c r="O377" s="12">
        <v>6.9447652221734018</v>
      </c>
      <c r="P377" s="12">
        <v>41.853457303620338</v>
      </c>
      <c r="Q377" s="12">
        <v>434.8591800004844</v>
      </c>
      <c r="R377" s="15">
        <v>106.31472807277888</v>
      </c>
      <c r="S377" s="15">
        <v>1114.2776151406892</v>
      </c>
      <c r="T377" s="15">
        <v>1122.979825644594</v>
      </c>
      <c r="U377" s="12">
        <v>33.552084346754782</v>
      </c>
      <c r="V377" s="12">
        <v>43.120835558115573</v>
      </c>
      <c r="W377" s="12">
        <v>71.328987111700428</v>
      </c>
      <c r="X377" s="12">
        <v>77.193155930773983</v>
      </c>
      <c r="Y377" s="12">
        <v>31.992157839051472</v>
      </c>
      <c r="Z377" s="12">
        <v>29.710087290069765</v>
      </c>
      <c r="AA377" s="12">
        <v>27.656440408592523</v>
      </c>
      <c r="AB377" s="12">
        <v>43.369466941818466</v>
      </c>
      <c r="AC377" s="12">
        <v>66.597211102835743</v>
      </c>
      <c r="AD377" s="12">
        <v>27.978182342448974</v>
      </c>
      <c r="AE377" s="12">
        <v>36.460052181286144</v>
      </c>
      <c r="AF377" s="12">
        <v>69.068272931184865</v>
      </c>
      <c r="AG377" s="12">
        <v>1050.6280901210753</v>
      </c>
      <c r="AH377" s="12">
        <v>802.71569218672414</v>
      </c>
      <c r="AI377" s="12">
        <v>1916.245802514999</v>
      </c>
      <c r="AJ377" s="12">
        <v>2126.5262057917612</v>
      </c>
      <c r="AK377" s="12">
        <v>2008.9751450394299</v>
      </c>
      <c r="AL377" s="12">
        <v>3213.4397670122767</v>
      </c>
      <c r="AM377" s="12">
        <v>740.64676234221565</v>
      </c>
      <c r="AN377" s="12">
        <v>3357.926435000486</v>
      </c>
      <c r="AP377" s="12">
        <f t="shared" si="84"/>
        <v>1.2249454111611919</v>
      </c>
      <c r="AQ377" s="12">
        <f t="shared" si="85"/>
        <v>1.0507524585573214</v>
      </c>
      <c r="AR377" s="12">
        <f t="shared" si="105"/>
        <v>1.9379736729907688</v>
      </c>
      <c r="AS377" s="12">
        <f t="shared" si="106"/>
        <v>1.0888126561409386</v>
      </c>
      <c r="AT377" s="12">
        <f t="shared" si="107"/>
        <v>1.7339943284559418</v>
      </c>
      <c r="AU377" s="12">
        <f t="shared" si="86"/>
        <v>0.85304848879990369</v>
      </c>
      <c r="AV377" s="12">
        <f t="shared" si="87"/>
        <v>0.39660485835058523</v>
      </c>
      <c r="AW377" s="12">
        <f t="shared" si="88"/>
        <v>0.49154972216971421</v>
      </c>
      <c r="AX377" s="12">
        <f t="shared" si="89"/>
        <v>0.95449028281530723</v>
      </c>
      <c r="AY377" s="12">
        <f t="shared" si="90"/>
        <v>0.40612006560080471</v>
      </c>
      <c r="AZ377" s="12">
        <f t="shared" si="91"/>
        <v>0.16593050298792586</v>
      </c>
      <c r="BA377" s="12">
        <f t="shared" si="108"/>
        <v>0.4346510249800376</v>
      </c>
      <c r="BB377" s="12">
        <f t="shared" si="109"/>
        <v>0.55860956892066815</v>
      </c>
      <c r="BC377" s="12">
        <f t="shared" si="110"/>
        <v>0.92403252920074308</v>
      </c>
      <c r="BD377" s="12">
        <f t="shared" si="111"/>
        <v>0.73766546132489896</v>
      </c>
      <c r="BE377" s="12">
        <f t="shared" si="112"/>
        <v>0.68504617153645908</v>
      </c>
      <c r="BF377" s="12">
        <f t="shared" si="113"/>
        <v>0.63769380531456676</v>
      </c>
      <c r="BG377" s="12">
        <f t="shared" si="114"/>
        <v>0.96422290983283854</v>
      </c>
      <c r="BH377" s="12">
        <f t="shared" si="115"/>
        <v>0.40508009184368365</v>
      </c>
      <c r="BI377" s="12">
        <f t="shared" si="116"/>
        <v>0.52788423155755715</v>
      </c>
    </row>
    <row r="378" spans="1:61" x14ac:dyDescent="0.55000000000000004">
      <c r="A378" s="12" t="s">
        <v>918</v>
      </c>
      <c r="B378" s="12" t="s">
        <v>919</v>
      </c>
      <c r="C378" s="12" t="s">
        <v>322</v>
      </c>
      <c r="D378" s="12" t="s">
        <v>9</v>
      </c>
      <c r="E378" s="12">
        <v>2510</v>
      </c>
      <c r="F378" s="12">
        <v>62.772451130157336</v>
      </c>
      <c r="G378" s="12">
        <v>112.63637360102864</v>
      </c>
      <c r="H378" s="14">
        <f t="shared" si="92"/>
        <v>282717.2977385819</v>
      </c>
      <c r="I378" s="12">
        <v>21.341277722868195</v>
      </c>
      <c r="J378" s="12">
        <v>22.880778413998101</v>
      </c>
      <c r="K378" s="12">
        <v>15.605976346050312</v>
      </c>
      <c r="L378" s="12">
        <v>31.936775997687757</v>
      </c>
      <c r="M378" s="12">
        <v>24.99304517476925</v>
      </c>
      <c r="N378" s="12">
        <v>15.171666459171647</v>
      </c>
      <c r="O378" s="12">
        <v>8.5900751293525026</v>
      </c>
      <c r="P378" s="12">
        <v>26.65113920125566</v>
      </c>
      <c r="Q378" s="12">
        <v>593.27908098392652</v>
      </c>
      <c r="R378" s="15">
        <v>54.521415121383491</v>
      </c>
      <c r="S378" s="15">
        <v>982.50191956647404</v>
      </c>
      <c r="T378" s="15">
        <v>1147.73258640022</v>
      </c>
      <c r="U378" s="12">
        <v>33.179584977338195</v>
      </c>
      <c r="V378" s="12">
        <v>14.745141614688496</v>
      </c>
      <c r="W378" s="12">
        <v>33.315447391220083</v>
      </c>
      <c r="X378" s="12">
        <v>39.873021847940635</v>
      </c>
      <c r="Y378" s="12">
        <v>20.634268686236339</v>
      </c>
      <c r="Z378" s="12">
        <v>25.533444862024741</v>
      </c>
      <c r="AA378" s="12">
        <v>8.1372405398167089</v>
      </c>
      <c r="AB378" s="12">
        <v>32.570780652055049</v>
      </c>
      <c r="AC378" s="12">
        <v>26.845807617997011</v>
      </c>
      <c r="AD378" s="12">
        <v>16.165848845146808</v>
      </c>
      <c r="AE378" s="12">
        <v>17.337220997848807</v>
      </c>
      <c r="AF378" s="12">
        <v>32.367535799029902</v>
      </c>
      <c r="AG378" s="12">
        <v>698.10945275300128</v>
      </c>
      <c r="AH378" s="12">
        <v>198.20755207700719</v>
      </c>
      <c r="AI378" s="12">
        <v>1148.6566993991141</v>
      </c>
      <c r="AJ378" s="12">
        <v>1318.9786081739669</v>
      </c>
      <c r="AK378" s="12">
        <v>791.55769955987341</v>
      </c>
      <c r="AL378" s="12">
        <v>1713.3121828615911</v>
      </c>
      <c r="AM378" s="12">
        <v>625.65899869409213</v>
      </c>
      <c r="AN378" s="12">
        <v>1729.5092622064999</v>
      </c>
      <c r="AP378" s="12">
        <f t="shared" si="84"/>
        <v>0.28353874487127573</v>
      </c>
      <c r="AQ378" s="12">
        <f t="shared" si="85"/>
        <v>0.23661219150802162</v>
      </c>
      <c r="AR378" s="12">
        <f t="shared" si="105"/>
        <v>0.35399774134397827</v>
      </c>
      <c r="AS378" s="12">
        <f t="shared" si="106"/>
        <v>0.28916751854445</v>
      </c>
      <c r="AT378" s="12">
        <f t="shared" si="107"/>
        <v>0.28736308498069674</v>
      </c>
      <c r="AU378" s="12">
        <f t="shared" si="86"/>
        <v>0.66823519457359493</v>
      </c>
      <c r="AV378" s="12">
        <f t="shared" si="87"/>
        <v>0.71643983148626789</v>
      </c>
      <c r="AW378" s="12">
        <f t="shared" si="88"/>
        <v>0.48865221546408427</v>
      </c>
      <c r="AX378" s="12">
        <f t="shared" si="89"/>
        <v>0.93778524760366377</v>
      </c>
      <c r="AY378" s="12">
        <f t="shared" si="90"/>
        <v>0.56926896612572708</v>
      </c>
      <c r="AZ378" s="12">
        <f t="shared" si="91"/>
        <v>0.32231549520208819</v>
      </c>
      <c r="BA378" s="12">
        <f t="shared" si="108"/>
        <v>0.8321311864415879</v>
      </c>
      <c r="BB378" s="12">
        <f t="shared" si="109"/>
        <v>0.36980246119595406</v>
      </c>
      <c r="BC378" s="12">
        <f t="shared" si="110"/>
        <v>0.83553856334921262</v>
      </c>
      <c r="BD378" s="12">
        <f t="shared" si="111"/>
        <v>0.63352085130125435</v>
      </c>
      <c r="BE378" s="12">
        <f t="shared" si="112"/>
        <v>0.78393714706416506</v>
      </c>
      <c r="BF378" s="12">
        <f t="shared" si="113"/>
        <v>0.24983253016698237</v>
      </c>
      <c r="BG378" s="12">
        <f t="shared" si="114"/>
        <v>0.82940535803166127</v>
      </c>
      <c r="BH378" s="12">
        <f t="shared" si="115"/>
        <v>0.49944638805748443</v>
      </c>
      <c r="BI378" s="12">
        <f t="shared" si="116"/>
        <v>0.53563611099391839</v>
      </c>
    </row>
    <row r="379" spans="1:61" x14ac:dyDescent="0.55000000000000004">
      <c r="A379" s="12" t="s">
        <v>920</v>
      </c>
      <c r="B379" s="12" t="s">
        <v>921</v>
      </c>
      <c r="C379" s="12" t="s">
        <v>322</v>
      </c>
      <c r="D379" s="12" t="s">
        <v>9</v>
      </c>
      <c r="E379" s="12">
        <v>2247</v>
      </c>
      <c r="F379" s="12">
        <v>72.562546628384737</v>
      </c>
      <c r="G379" s="12">
        <v>35.954511470399495</v>
      </c>
      <c r="H379" s="14">
        <f t="shared" si="92"/>
        <v>80789.787273987662</v>
      </c>
      <c r="I379" s="12">
        <v>43.687137320579772</v>
      </c>
      <c r="J379" s="12">
        <v>15.617539234322365</v>
      </c>
      <c r="K379" s="12">
        <v>13.836072628265958</v>
      </c>
      <c r="L379" s="12">
        <v>45.692295281970985</v>
      </c>
      <c r="M379" s="12">
        <v>32.013313100069162</v>
      </c>
      <c r="N379" s="12">
        <v>12.781740850276123</v>
      </c>
      <c r="O379" s="12">
        <v>9.4939014469133269</v>
      </c>
      <c r="P379" s="12">
        <v>33.254894324086926</v>
      </c>
      <c r="Q379" s="12">
        <v>694.3944113950156</v>
      </c>
      <c r="R379" s="15">
        <v>51.131645446762406</v>
      </c>
      <c r="S379" s="15">
        <v>775.25180451230631</v>
      </c>
      <c r="T379" s="15">
        <v>1020.9704780005353</v>
      </c>
      <c r="U379" s="12">
        <v>23.321488851212045</v>
      </c>
      <c r="V379" s="12">
        <v>13.101442932515605</v>
      </c>
      <c r="W379" s="12">
        <v>52.015994790081329</v>
      </c>
      <c r="X379" s="12">
        <v>56.219928954542468</v>
      </c>
      <c r="Y379" s="12">
        <v>28.836053786145303</v>
      </c>
      <c r="Z379" s="12">
        <v>31.084900141272087</v>
      </c>
      <c r="AA379" s="12">
        <v>12.778121298870211</v>
      </c>
      <c r="AB379" s="12">
        <v>42.353919989635692</v>
      </c>
      <c r="AC379" s="12">
        <v>33.269104323266646</v>
      </c>
      <c r="AD379" s="12">
        <v>20.303924660053593</v>
      </c>
      <c r="AE379" s="12">
        <v>28.437676893993398</v>
      </c>
      <c r="AF379" s="12">
        <v>40.365765782861679</v>
      </c>
      <c r="AG379" s="12">
        <v>765.5112353437155</v>
      </c>
      <c r="AH379" s="12">
        <v>32.995609570832357</v>
      </c>
      <c r="AI379" s="12">
        <v>1822.9127902340429</v>
      </c>
      <c r="AJ379" s="12">
        <v>1934.7542015049526</v>
      </c>
      <c r="AK379" s="12">
        <v>895.21558762938275</v>
      </c>
      <c r="AL379" s="12">
        <v>1934.1918225499928</v>
      </c>
      <c r="AM379" s="12">
        <v>3495.253515802764</v>
      </c>
      <c r="AN379" s="12">
        <v>3550.4778754842764</v>
      </c>
      <c r="AP379" s="12">
        <f t="shared" si="84"/>
        <v>1.2708362153547372</v>
      </c>
      <c r="AQ379" s="12">
        <f t="shared" si="85"/>
        <v>0.92491576061226422</v>
      </c>
      <c r="AR379" s="12">
        <f t="shared" si="105"/>
        <v>1.5636404627782807</v>
      </c>
      <c r="AS379" s="12">
        <f t="shared" si="106"/>
        <v>1.177986245884739</v>
      </c>
      <c r="AT379" s="12">
        <f t="shared" si="107"/>
        <v>1.1226898692836882</v>
      </c>
      <c r="AU379" s="12">
        <f t="shared" si="86"/>
        <v>0.95611605963287216</v>
      </c>
      <c r="AV379" s="12">
        <f t="shared" si="87"/>
        <v>0.34179808954540852</v>
      </c>
      <c r="AW379" s="12">
        <f t="shared" si="88"/>
        <v>0.30280975256074122</v>
      </c>
      <c r="AX379" s="12">
        <f t="shared" si="89"/>
        <v>0.96266470697762907</v>
      </c>
      <c r="AY379" s="12">
        <f t="shared" si="90"/>
        <v>0.38435668222882163</v>
      </c>
      <c r="AZ379" s="12">
        <f t="shared" si="91"/>
        <v>0.28548884727733981</v>
      </c>
      <c r="BA379" s="12">
        <f t="shared" si="108"/>
        <v>0.41482601072066477</v>
      </c>
      <c r="BB379" s="12">
        <f t="shared" si="109"/>
        <v>0.23303912289019413</v>
      </c>
      <c r="BC379" s="12">
        <f t="shared" si="110"/>
        <v>0.92522341734262425</v>
      </c>
      <c r="BD379" s="12">
        <f t="shared" si="111"/>
        <v>0.6808355352515586</v>
      </c>
      <c r="BE379" s="12">
        <f t="shared" si="112"/>
        <v>0.73393206930736954</v>
      </c>
      <c r="BF379" s="12">
        <f t="shared" si="113"/>
        <v>0.30169866926124217</v>
      </c>
      <c r="BG379" s="12">
        <f t="shared" si="114"/>
        <v>0.82419108563999788</v>
      </c>
      <c r="BH379" s="12">
        <f t="shared" si="115"/>
        <v>0.50299862436089704</v>
      </c>
      <c r="BI379" s="12">
        <f t="shared" si="116"/>
        <v>0.70449987365450506</v>
      </c>
    </row>
    <row r="380" spans="1:61" x14ac:dyDescent="0.55000000000000004">
      <c r="A380" s="12" t="s">
        <v>922</v>
      </c>
      <c r="B380" s="12" t="s">
        <v>923</v>
      </c>
      <c r="C380" s="12" t="s">
        <v>322</v>
      </c>
      <c r="D380" s="12" t="s">
        <v>9</v>
      </c>
      <c r="E380" s="12">
        <v>1565</v>
      </c>
      <c r="F380" s="12">
        <v>73.581031050384652</v>
      </c>
      <c r="G380" s="12">
        <v>64.790311055555904</v>
      </c>
      <c r="H380" s="14">
        <f t="shared" si="92"/>
        <v>101396.83680194498</v>
      </c>
      <c r="I380" s="12">
        <v>45.093747212067981</v>
      </c>
      <c r="J380" s="12">
        <v>18.810337390707314</v>
      </c>
      <c r="K380" s="12">
        <v>25.694450112556527</v>
      </c>
      <c r="L380" s="12">
        <v>47.703393222954162</v>
      </c>
      <c r="M380" s="12">
        <v>40.131229038408087</v>
      </c>
      <c r="N380" s="12">
        <v>11.9218765371734</v>
      </c>
      <c r="O380" s="12">
        <v>17.159646042284582</v>
      </c>
      <c r="P380" s="12">
        <v>41.51877850746736</v>
      </c>
      <c r="Q380" s="12">
        <v>834.163709554192</v>
      </c>
      <c r="R380" s="15">
        <v>152.95955898190971</v>
      </c>
      <c r="S380" s="15">
        <v>939.33803200688044</v>
      </c>
      <c r="T380" s="15">
        <v>968.42627407551117</v>
      </c>
      <c r="U380" s="12">
        <v>58.672799152951036</v>
      </c>
      <c r="V380" s="12">
        <v>16.9096246614107</v>
      </c>
      <c r="W380" s="12">
        <v>79.976005506485109</v>
      </c>
      <c r="X380" s="12">
        <v>86.345374364885842</v>
      </c>
      <c r="Y380" s="12">
        <v>48.093340335021374</v>
      </c>
      <c r="Z380" s="12">
        <v>21.89852091534598</v>
      </c>
      <c r="AA380" s="12">
        <v>13.591957858619782</v>
      </c>
      <c r="AB380" s="12">
        <v>52.563240367994062</v>
      </c>
      <c r="AC380" s="12">
        <v>36.18091440180558</v>
      </c>
      <c r="AD380" s="12">
        <v>18.658385131375017</v>
      </c>
      <c r="AE380" s="12">
        <v>22.384949948561967</v>
      </c>
      <c r="AF380" s="12">
        <v>45.023977204085007</v>
      </c>
      <c r="AG380" s="12">
        <v>1200.0969309338793</v>
      </c>
      <c r="AH380" s="12">
        <v>172.90126574412324</v>
      </c>
      <c r="AI380" s="12">
        <v>3400.1742395599185</v>
      </c>
      <c r="AJ380" s="12">
        <v>3565.3619742782835</v>
      </c>
      <c r="AK380" s="12">
        <v>1544.3204791619085</v>
      </c>
      <c r="AL380" s="12">
        <v>1476.8522397567594</v>
      </c>
      <c r="AM380" s="12">
        <v>1125.4806638897426</v>
      </c>
      <c r="AN380" s="12">
        <v>1877.0675996616662</v>
      </c>
      <c r="AP380" s="12">
        <f t="shared" si="84"/>
        <v>0.7362735638365715</v>
      </c>
      <c r="AQ380" s="12">
        <f t="shared" si="85"/>
        <v>0.64081770608982191</v>
      </c>
      <c r="AR380" s="12">
        <f t="shared" si="105"/>
        <v>1.3326896098839078</v>
      </c>
      <c r="AS380" s="12">
        <f t="shared" si="106"/>
        <v>0.81128242034403164</v>
      </c>
      <c r="AT380" s="12">
        <f t="shared" si="107"/>
        <v>0.69491836773986448</v>
      </c>
      <c r="AU380" s="12">
        <f t="shared" si="86"/>
        <v>0.94529433160678267</v>
      </c>
      <c r="AV380" s="12">
        <f t="shared" si="87"/>
        <v>0.39431864527523924</v>
      </c>
      <c r="AW380" s="12">
        <f t="shared" si="88"/>
        <v>0.53862940089957245</v>
      </c>
      <c r="AX380" s="12">
        <f t="shared" si="89"/>
        <v>0.9665801953010319</v>
      </c>
      <c r="AY380" s="12">
        <f t="shared" si="90"/>
        <v>0.28714420235241728</v>
      </c>
      <c r="AZ380" s="12">
        <f t="shared" si="91"/>
        <v>0.41329843167708641</v>
      </c>
      <c r="BA380" s="12">
        <f t="shared" si="108"/>
        <v>0.67951293956994596</v>
      </c>
      <c r="BB380" s="12">
        <f t="shared" si="109"/>
        <v>0.19583706464636458</v>
      </c>
      <c r="BC380" s="12">
        <f t="shared" si="110"/>
        <v>0.92623381501035018</v>
      </c>
      <c r="BD380" s="12">
        <f t="shared" si="111"/>
        <v>0.91496148255550802</v>
      </c>
      <c r="BE380" s="12">
        <f t="shared" si="112"/>
        <v>0.41661284125626441</v>
      </c>
      <c r="BF380" s="12">
        <f t="shared" si="113"/>
        <v>0.25858295195392811</v>
      </c>
      <c r="BG380" s="12">
        <f t="shared" si="114"/>
        <v>0.80359214464338569</v>
      </c>
      <c r="BH380" s="12">
        <f t="shared" si="115"/>
        <v>0.41440997197560214</v>
      </c>
      <c r="BI380" s="12">
        <f t="shared" si="116"/>
        <v>0.49717842222368108</v>
      </c>
    </row>
    <row r="381" spans="1:61" x14ac:dyDescent="0.55000000000000004">
      <c r="A381" s="12" t="s">
        <v>924</v>
      </c>
      <c r="B381" s="12" t="s">
        <v>925</v>
      </c>
      <c r="C381" s="12" t="s">
        <v>322</v>
      </c>
      <c r="D381" s="12" t="s">
        <v>9</v>
      </c>
      <c r="E381" s="12">
        <v>2468</v>
      </c>
      <c r="F381" s="12">
        <v>67.330023354963714</v>
      </c>
      <c r="G381" s="12">
        <v>33.104479640216525</v>
      </c>
      <c r="H381" s="14">
        <f t="shared" si="92"/>
        <v>81701.855752054384</v>
      </c>
      <c r="I381" s="12">
        <v>30.975561197070601</v>
      </c>
      <c r="J381" s="12">
        <v>15.125463711561423</v>
      </c>
      <c r="K381" s="12">
        <v>19.475000186149952</v>
      </c>
      <c r="L381" s="12">
        <v>37.531280182501291</v>
      </c>
      <c r="M381" s="12">
        <v>29.10615017771244</v>
      </c>
      <c r="N381" s="12">
        <v>12.719601233683788</v>
      </c>
      <c r="O381" s="12">
        <v>3.1606485648918614</v>
      </c>
      <c r="P381" s="12">
        <v>30.889336022956609</v>
      </c>
      <c r="Q381" s="12">
        <v>378.80247141299822</v>
      </c>
      <c r="R381" s="15">
        <v>44.825600400167929</v>
      </c>
      <c r="S381" s="15">
        <v>930.74228420953523</v>
      </c>
      <c r="T381" s="15">
        <v>974.59890655238632</v>
      </c>
      <c r="U381" s="12">
        <v>37.847979961895227</v>
      </c>
      <c r="V381" s="12">
        <v>27.601508125086475</v>
      </c>
      <c r="W381" s="12">
        <v>46.504278941614302</v>
      </c>
      <c r="X381" s="12">
        <v>51.540530519954991</v>
      </c>
      <c r="Y381" s="12">
        <v>25.504070153240676</v>
      </c>
      <c r="Z381" s="12">
        <v>26.744629667956708</v>
      </c>
      <c r="AA381" s="12">
        <v>8.5932614829603349</v>
      </c>
      <c r="AB381" s="12">
        <v>36.876195222744002</v>
      </c>
      <c r="AC381" s="12">
        <v>30.211318249371796</v>
      </c>
      <c r="AD381" s="12">
        <v>16.121864228053848</v>
      </c>
      <c r="AE381" s="12">
        <v>18.086328515874744</v>
      </c>
      <c r="AF381" s="12">
        <v>38.656774741298968</v>
      </c>
      <c r="AG381" s="12">
        <v>748.54838388981693</v>
      </c>
      <c r="AH381" s="12">
        <v>217.97311142123914</v>
      </c>
      <c r="AI381" s="12">
        <v>1663.6183874902513</v>
      </c>
      <c r="AJ381" s="12">
        <v>1806.9827534738902</v>
      </c>
      <c r="AK381" s="12">
        <v>1053.2071606001457</v>
      </c>
      <c r="AL381" s="12">
        <v>1366.1638691415851</v>
      </c>
      <c r="AM381" s="12">
        <v>760.38739658339091</v>
      </c>
      <c r="AN381" s="12">
        <v>1372.7885081708034</v>
      </c>
      <c r="AP381" s="12">
        <f t="shared" si="84"/>
        <v>1.1337221001627504</v>
      </c>
      <c r="AQ381" s="12">
        <f t="shared" si="85"/>
        <v>0.93308628797871573</v>
      </c>
      <c r="AR381" s="12">
        <f t="shared" si="105"/>
        <v>1.5569050195050245</v>
      </c>
      <c r="AS381" s="12">
        <f t="shared" si="106"/>
        <v>1.1139336918604048</v>
      </c>
      <c r="AT381" s="12">
        <f t="shared" si="107"/>
        <v>1.1677203557169742</v>
      </c>
      <c r="AU381" s="12">
        <f t="shared" si="86"/>
        <v>0.8253265288699837</v>
      </c>
      <c r="AV381" s="12">
        <f t="shared" si="87"/>
        <v>0.40300953332824413</v>
      </c>
      <c r="AW381" s="12">
        <f t="shared" si="88"/>
        <v>0.51890050356529116</v>
      </c>
      <c r="AX381" s="12">
        <f t="shared" si="89"/>
        <v>0.94227179749286527</v>
      </c>
      <c r="AY381" s="12">
        <f t="shared" si="90"/>
        <v>0.41177969070719816</v>
      </c>
      <c r="AZ381" s="12">
        <f t="shared" si="91"/>
        <v>0.10232167381464279</v>
      </c>
      <c r="BA381" s="12">
        <f t="shared" si="108"/>
        <v>0.73433431088260903</v>
      </c>
      <c r="BB381" s="12">
        <f t="shared" si="109"/>
        <v>0.53553015164250151</v>
      </c>
      <c r="BC381" s="12">
        <f t="shared" si="110"/>
        <v>0.9022856084806733</v>
      </c>
      <c r="BD381" s="12">
        <f t="shared" si="111"/>
        <v>0.69161338362561386</v>
      </c>
      <c r="BE381" s="12">
        <f t="shared" si="112"/>
        <v>0.72525458514390106</v>
      </c>
      <c r="BF381" s="12">
        <f t="shared" si="113"/>
        <v>0.23303004637691849</v>
      </c>
      <c r="BG381" s="12">
        <f t="shared" si="114"/>
        <v>0.78152713079540836</v>
      </c>
      <c r="BH381" s="12">
        <f t="shared" si="115"/>
        <v>0.41705145698122748</v>
      </c>
      <c r="BI381" s="12">
        <f t="shared" si="116"/>
        <v>0.46786956844985345</v>
      </c>
    </row>
    <row r="382" spans="1:61" x14ac:dyDescent="0.55000000000000004">
      <c r="A382" s="12" t="s">
        <v>926</v>
      </c>
      <c r="B382" s="12" t="s">
        <v>927</v>
      </c>
      <c r="C382" s="12" t="s">
        <v>322</v>
      </c>
      <c r="D382" s="12" t="s">
        <v>9</v>
      </c>
      <c r="E382" s="12">
        <v>1574</v>
      </c>
      <c r="F382" s="12">
        <v>71.07034609788839</v>
      </c>
      <c r="G382" s="12">
        <v>38.13836941067153</v>
      </c>
      <c r="H382" s="14">
        <f t="shared" si="92"/>
        <v>60029.793452396989</v>
      </c>
      <c r="I382" s="12">
        <v>39.347239149188155</v>
      </c>
      <c r="J382" s="12">
        <v>19.097869957881137</v>
      </c>
      <c r="K382" s="12">
        <v>26.981284557580704</v>
      </c>
      <c r="L382" s="12">
        <v>42.564042294107523</v>
      </c>
      <c r="M382" s="12">
        <v>38.359225159068274</v>
      </c>
      <c r="N382" s="12">
        <v>10.295623746415611</v>
      </c>
      <c r="O382" s="12">
        <v>16.065732330779181</v>
      </c>
      <c r="P382" s="12">
        <v>40.590606143290536</v>
      </c>
      <c r="Q382" s="12">
        <v>714.55250947119009</v>
      </c>
      <c r="R382" s="15">
        <v>161.62496340053664</v>
      </c>
      <c r="S382" s="15">
        <v>1015.4272060852788</v>
      </c>
      <c r="T382" s="15">
        <v>1039.1538712851375</v>
      </c>
      <c r="U382" s="12">
        <v>62.445393179853475</v>
      </c>
      <c r="V382" s="12">
        <v>13.95286002134301</v>
      </c>
      <c r="W382" s="12">
        <v>78.787650155751479</v>
      </c>
      <c r="X382" s="12">
        <v>88.190896611984371</v>
      </c>
      <c r="Y382" s="12">
        <v>39.959420341285764</v>
      </c>
      <c r="Z382" s="12">
        <v>19.777247190120097</v>
      </c>
      <c r="AA382" s="12">
        <v>13.002940676049702</v>
      </c>
      <c r="AB382" s="12">
        <v>42.166103934227571</v>
      </c>
      <c r="AC382" s="12">
        <v>34.885256694116663</v>
      </c>
      <c r="AD382" s="12">
        <v>17.776061553316683</v>
      </c>
      <c r="AE382" s="12">
        <v>25.757398481181347</v>
      </c>
      <c r="AF382" s="12">
        <v>45.085241206011503</v>
      </c>
      <c r="AG382" s="12">
        <v>1322.1738356041317</v>
      </c>
      <c r="AH382" s="12">
        <v>324.34806231420953</v>
      </c>
      <c r="AI382" s="12">
        <v>3700.6440345354936</v>
      </c>
      <c r="AJ382" s="12">
        <v>3918.709729274749</v>
      </c>
      <c r="AK382" s="12">
        <v>1510.051051148715</v>
      </c>
      <c r="AL382" s="12">
        <v>1890.1452763366342</v>
      </c>
      <c r="AM382" s="12">
        <v>895.59997851630396</v>
      </c>
      <c r="AN382" s="12">
        <v>1936.8728792961083</v>
      </c>
      <c r="AP382" s="12">
        <f t="shared" si="84"/>
        <v>1.1160425301821542</v>
      </c>
      <c r="AQ382" s="12">
        <f t="shared" si="85"/>
        <v>1.0642984157558881</v>
      </c>
      <c r="AR382" s="12">
        <f t="shared" si="105"/>
        <v>2.3123929516322637</v>
      </c>
      <c r="AS382" s="12">
        <f t="shared" si="106"/>
        <v>1.1056084616567021</v>
      </c>
      <c r="AT382" s="12">
        <f t="shared" si="107"/>
        <v>1.1821491558943305</v>
      </c>
      <c r="AU382" s="12">
        <f t="shared" si="86"/>
        <v>0.92442439741291449</v>
      </c>
      <c r="AV382" s="12">
        <f t="shared" si="87"/>
        <v>0.44868553193137406</v>
      </c>
      <c r="AW382" s="12">
        <f t="shared" si="88"/>
        <v>0.63389854683317837</v>
      </c>
      <c r="AX382" s="12">
        <f t="shared" si="89"/>
        <v>0.94502715785161784</v>
      </c>
      <c r="AY382" s="12">
        <f t="shared" si="90"/>
        <v>0.25364547920448921</v>
      </c>
      <c r="AZ382" s="12">
        <f t="shared" si="91"/>
        <v>0.39579927124184572</v>
      </c>
      <c r="BA382" s="12">
        <f t="shared" si="108"/>
        <v>0.70807073721674463</v>
      </c>
      <c r="BB382" s="12">
        <f t="shared" si="109"/>
        <v>0.15821202139186483</v>
      </c>
      <c r="BC382" s="12">
        <f t="shared" si="110"/>
        <v>0.89337622342581924</v>
      </c>
      <c r="BD382" s="12">
        <f t="shared" si="111"/>
        <v>0.94766688436797752</v>
      </c>
      <c r="BE382" s="12">
        <f t="shared" si="112"/>
        <v>0.46903188449588473</v>
      </c>
      <c r="BF382" s="12">
        <f t="shared" si="113"/>
        <v>0.30837424999787094</v>
      </c>
      <c r="BG382" s="12">
        <f t="shared" si="114"/>
        <v>0.77376222819154372</v>
      </c>
      <c r="BH382" s="12">
        <f t="shared" si="115"/>
        <v>0.39427673175998196</v>
      </c>
      <c r="BI382" s="12">
        <f t="shared" si="116"/>
        <v>0.57130444003806169</v>
      </c>
    </row>
    <row r="383" spans="1:61" x14ac:dyDescent="0.55000000000000004">
      <c r="A383" s="12" t="s">
        <v>928</v>
      </c>
      <c r="B383" s="12" t="s">
        <v>929</v>
      </c>
      <c r="C383" s="12" t="s">
        <v>515</v>
      </c>
      <c r="D383" s="12" t="s">
        <v>9</v>
      </c>
      <c r="E383" s="12">
        <v>1973</v>
      </c>
      <c r="F383" s="12">
        <v>70.005509690358224</v>
      </c>
      <c r="G383" s="12">
        <v>41.432594433365281</v>
      </c>
      <c r="H383" s="14">
        <f t="shared" si="92"/>
        <v>81746.508817029695</v>
      </c>
      <c r="I383" s="12">
        <v>52.240888157026703</v>
      </c>
      <c r="J383" s="12">
        <v>16.588547443478564</v>
      </c>
      <c r="K383" s="12">
        <v>17.353722181327345</v>
      </c>
      <c r="L383" s="12">
        <v>55.780543666980805</v>
      </c>
      <c r="M383" s="12">
        <v>36.015385807986227</v>
      </c>
      <c r="N383" s="12">
        <v>12.667373936003806</v>
      </c>
      <c r="O383" s="12">
        <v>9.6008716121101045</v>
      </c>
      <c r="P383" s="12">
        <v>38.056519183474634</v>
      </c>
      <c r="Q383" s="12">
        <v>651.59463285885215</v>
      </c>
      <c r="R383" s="15">
        <v>53.812414208017884</v>
      </c>
      <c r="S383" s="15">
        <v>709.63231022447906</v>
      </c>
      <c r="T383" s="15">
        <v>770.88091318830334</v>
      </c>
      <c r="U383" s="12">
        <v>38.424742667437911</v>
      </c>
      <c r="V383" s="12">
        <v>19.0939796919541</v>
      </c>
      <c r="W383" s="12">
        <v>58.57148704050919</v>
      </c>
      <c r="X383" s="12">
        <v>64.124555159757477</v>
      </c>
      <c r="Y383" s="12">
        <v>28.117209004744453</v>
      </c>
      <c r="Z383" s="12">
        <v>35.156368512102944</v>
      </c>
      <c r="AA383" s="12">
        <v>23.321754634426675</v>
      </c>
      <c r="AB383" s="12">
        <v>42.676493830897165</v>
      </c>
      <c r="AC383" s="12">
        <v>34.398839622186124</v>
      </c>
      <c r="AD383" s="12">
        <v>18.820542817434834</v>
      </c>
      <c r="AE383" s="12">
        <v>32.6452509119909</v>
      </c>
      <c r="AF383" s="12">
        <v>43.650884368513729</v>
      </c>
      <c r="AG383" s="12">
        <v>766.21240363217385</v>
      </c>
      <c r="AH383" s="12">
        <v>123.50251840786692</v>
      </c>
      <c r="AI383" s="12">
        <v>2087.1135604199635</v>
      </c>
      <c r="AJ383" s="12">
        <v>2219.6261666782211</v>
      </c>
      <c r="AK383" s="12">
        <v>761.50780967130368</v>
      </c>
      <c r="AL383" s="12">
        <v>2977.5458152091082</v>
      </c>
      <c r="AM383" s="12">
        <v>907.7198755353993</v>
      </c>
      <c r="AN383" s="12">
        <v>2980.1492285293457</v>
      </c>
      <c r="AP383" s="12">
        <f t="shared" si="84"/>
        <v>1.3462961812997463</v>
      </c>
      <c r="AQ383" s="12">
        <f t="shared" si="85"/>
        <v>0.91851644107587127</v>
      </c>
      <c r="AR383" s="12">
        <f t="shared" si="105"/>
        <v>1.547683799113448</v>
      </c>
      <c r="AS383" s="12">
        <f t="shared" si="106"/>
        <v>1.0300222425011885</v>
      </c>
      <c r="AT383" s="12">
        <f t="shared" si="107"/>
        <v>1.0535397303858451</v>
      </c>
      <c r="AU383" s="12">
        <f t="shared" si="86"/>
        <v>0.93654318733272957</v>
      </c>
      <c r="AV383" s="12">
        <f t="shared" si="87"/>
        <v>0.29738949018702604</v>
      </c>
      <c r="AW383" s="12">
        <f t="shared" si="88"/>
        <v>0.31110708215631555</v>
      </c>
      <c r="AX383" s="12">
        <f t="shared" si="89"/>
        <v>0.94636573656019674</v>
      </c>
      <c r="AY383" s="12">
        <f t="shared" si="90"/>
        <v>0.33285687203637865</v>
      </c>
      <c r="AZ383" s="12">
        <f t="shared" si="91"/>
        <v>0.25227928928085236</v>
      </c>
      <c r="BA383" s="12">
        <f t="shared" si="108"/>
        <v>0.5992204167609112</v>
      </c>
      <c r="BB383" s="12">
        <f t="shared" si="109"/>
        <v>0.29776393215335506</v>
      </c>
      <c r="BC383" s="12">
        <f t="shared" si="110"/>
        <v>0.91340184574515049</v>
      </c>
      <c r="BD383" s="12">
        <f t="shared" si="111"/>
        <v>0.6588453380485535</v>
      </c>
      <c r="BE383" s="12">
        <f t="shared" si="112"/>
        <v>0.82378764880282274</v>
      </c>
      <c r="BF383" s="12">
        <f t="shared" si="113"/>
        <v>0.54647775721308345</v>
      </c>
      <c r="BG383" s="12">
        <f t="shared" si="114"/>
        <v>0.78804450631013345</v>
      </c>
      <c r="BH383" s="12">
        <f t="shared" si="115"/>
        <v>0.43116063029894702</v>
      </c>
      <c r="BI383" s="12">
        <f t="shared" si="116"/>
        <v>0.747871466621157</v>
      </c>
    </row>
    <row r="384" spans="1:61" x14ac:dyDescent="0.55000000000000004">
      <c r="A384" s="12" t="s">
        <v>930</v>
      </c>
      <c r="B384" s="12" t="s">
        <v>931</v>
      </c>
      <c r="C384" s="12" t="s">
        <v>322</v>
      </c>
      <c r="D384" s="12" t="s">
        <v>9</v>
      </c>
      <c r="E384" s="12">
        <v>1816</v>
      </c>
      <c r="F384" s="12">
        <v>71.457900137087393</v>
      </c>
      <c r="G384" s="12">
        <v>43.849132291517229</v>
      </c>
      <c r="H384" s="14">
        <f t="shared" si="92"/>
        <v>79630.024241395295</v>
      </c>
      <c r="I384" s="12">
        <v>40.56469029812753</v>
      </c>
      <c r="J384" s="12">
        <v>29.721647030810871</v>
      </c>
      <c r="K384" s="12">
        <v>29.209025866889551</v>
      </c>
      <c r="L384" s="12">
        <v>53.623487360782349</v>
      </c>
      <c r="M384" s="12">
        <v>39.533567157973195</v>
      </c>
      <c r="N384" s="12">
        <v>14.10428207334062</v>
      </c>
      <c r="O384" s="12">
        <v>11.065714257524684</v>
      </c>
      <c r="P384" s="12">
        <v>42.19248328441811</v>
      </c>
      <c r="Q384" s="12">
        <v>499.81223302677546</v>
      </c>
      <c r="R384" s="15">
        <v>37.300476096891089</v>
      </c>
      <c r="S384" s="15">
        <v>686.38623743347443</v>
      </c>
      <c r="T384" s="15">
        <v>791.24511132212547</v>
      </c>
      <c r="U384" s="12">
        <v>23.825677841032881</v>
      </c>
      <c r="V384" s="12">
        <v>35.958185031171396</v>
      </c>
      <c r="W384" s="12">
        <v>61.132956740548401</v>
      </c>
      <c r="X384" s="12">
        <v>67.262119580745207</v>
      </c>
      <c r="Y384" s="12">
        <v>30.779003654044601</v>
      </c>
      <c r="Z384" s="12">
        <v>39.944474424062591</v>
      </c>
      <c r="AA384" s="12">
        <v>12.757169816518386</v>
      </c>
      <c r="AB384" s="12">
        <v>46.318634846453158</v>
      </c>
      <c r="AC384" s="12">
        <v>31.357594685611616</v>
      </c>
      <c r="AD384" s="12">
        <v>21.256220273635286</v>
      </c>
      <c r="AE384" s="12">
        <v>30.272872639403566</v>
      </c>
      <c r="AF384" s="12">
        <v>42.615513553134804</v>
      </c>
      <c r="AG384" s="12">
        <v>818.44690416098638</v>
      </c>
      <c r="AH384" s="12">
        <v>37.163404472594131</v>
      </c>
      <c r="AI384" s="12">
        <v>2180.4109014283713</v>
      </c>
      <c r="AJ384" s="12">
        <v>2310.257846930554</v>
      </c>
      <c r="AK384" s="12">
        <v>2550.2296084738946</v>
      </c>
      <c r="AL384" s="12">
        <v>533.18828878912211</v>
      </c>
      <c r="AM384" s="12">
        <v>2773.0947937444203</v>
      </c>
      <c r="AN384" s="12">
        <v>3763.4546333849526</v>
      </c>
      <c r="AP384" s="12">
        <f t="shared" ref="AP384:AP447" si="117">L384/G384</f>
        <v>1.2229087454749019</v>
      </c>
      <c r="AQ384" s="12">
        <f t="shared" ref="AQ384:AQ447" si="118">P384/G384</f>
        <v>0.96221934345050641</v>
      </c>
      <c r="AR384" s="12">
        <f t="shared" si="105"/>
        <v>1.5339441413247146</v>
      </c>
      <c r="AS384" s="12">
        <f t="shared" si="106"/>
        <v>1.0563181624329123</v>
      </c>
      <c r="AT384" s="12">
        <f t="shared" si="107"/>
        <v>0.97186674686784913</v>
      </c>
      <c r="AU384" s="12">
        <f t="shared" ref="AU384:AU447" si="119">I384/$L384</f>
        <v>0.75647243949662635</v>
      </c>
      <c r="AV384" s="12">
        <f t="shared" ref="AV384:AV447" si="120">J384/$L384</f>
        <v>0.55426546264776988</v>
      </c>
      <c r="AW384" s="12">
        <f t="shared" ref="AW384:AW447" si="121">K384/$L384</f>
        <v>0.54470582396794343</v>
      </c>
      <c r="AX384" s="12">
        <f t="shared" ref="AX384:AX447" si="122">M384/$P384</f>
        <v>0.93698128388127211</v>
      </c>
      <c r="AY384" s="12">
        <f t="shared" ref="AY384:AY447" si="123">N384/$P384</f>
        <v>0.33428423679791802</v>
      </c>
      <c r="AZ384" s="12">
        <f t="shared" ref="AZ384:AZ447" si="124">O384/$P384</f>
        <v>0.26226743239858807</v>
      </c>
      <c r="BA384" s="12">
        <f t="shared" si="108"/>
        <v>0.35422133571677306</v>
      </c>
      <c r="BB384" s="12">
        <f t="shared" si="109"/>
        <v>0.53459785768429702</v>
      </c>
      <c r="BC384" s="12">
        <f t="shared" si="110"/>
        <v>0.90887645411115814</v>
      </c>
      <c r="BD384" s="12">
        <f t="shared" si="111"/>
        <v>0.66450584642827615</v>
      </c>
      <c r="BE384" s="12">
        <f t="shared" si="112"/>
        <v>0.86238453608313403</v>
      </c>
      <c r="BF384" s="12">
        <f t="shared" si="113"/>
        <v>0.27542197344132791</v>
      </c>
      <c r="BG384" s="12">
        <f t="shared" si="114"/>
        <v>0.7358258078132428</v>
      </c>
      <c r="BH384" s="12">
        <f t="shared" si="115"/>
        <v>0.49879066333747551</v>
      </c>
      <c r="BI384" s="12">
        <f t="shared" si="116"/>
        <v>0.71037211839904457</v>
      </c>
    </row>
    <row r="385" spans="1:61" x14ac:dyDescent="0.55000000000000004">
      <c r="A385" s="12" t="s">
        <v>932</v>
      </c>
      <c r="B385" s="12" t="s">
        <v>933</v>
      </c>
      <c r="C385" s="12" t="s">
        <v>322</v>
      </c>
      <c r="D385" s="12" t="s">
        <v>9</v>
      </c>
      <c r="E385" s="12">
        <v>2319</v>
      </c>
      <c r="F385" s="12">
        <v>68.674634570129427</v>
      </c>
      <c r="G385" s="12">
        <v>39.508473974235649</v>
      </c>
      <c r="H385" s="14">
        <f t="shared" ref="H385:H448" si="125">E385*G385</f>
        <v>91620.151146252465</v>
      </c>
      <c r="I385" s="12">
        <v>25.321728564704241</v>
      </c>
      <c r="J385" s="12">
        <v>26.790850607093095</v>
      </c>
      <c r="K385" s="12">
        <v>23.962419173980329</v>
      </c>
      <c r="L385" s="12">
        <v>39.543820622459251</v>
      </c>
      <c r="M385" s="12">
        <v>33.963942387975031</v>
      </c>
      <c r="N385" s="12">
        <v>15.781157538148593</v>
      </c>
      <c r="O385" s="12">
        <v>7.1439325571384327</v>
      </c>
      <c r="P385" s="12">
        <v>37.414995636602484</v>
      </c>
      <c r="Q385" s="12">
        <v>394.48906017798021</v>
      </c>
      <c r="R385" s="15">
        <v>19.29275911660018</v>
      </c>
      <c r="S385" s="15">
        <v>1085.9870002380878</v>
      </c>
      <c r="T385" s="15">
        <v>1101.8661489411379</v>
      </c>
      <c r="U385" s="12">
        <v>35.964605150567913</v>
      </c>
      <c r="V385" s="12">
        <v>7.0993853242744418</v>
      </c>
      <c r="W385" s="12">
        <v>56.81790147857177</v>
      </c>
      <c r="X385" s="12">
        <v>63.393891754563626</v>
      </c>
      <c r="Y385" s="12">
        <v>34.866785796534074</v>
      </c>
      <c r="Z385" s="12">
        <v>12.027519712921084</v>
      </c>
      <c r="AA385" s="12">
        <v>14.116228093220723</v>
      </c>
      <c r="AB385" s="12">
        <v>37.980373732357407</v>
      </c>
      <c r="AC385" s="12">
        <v>49.72914136847109</v>
      </c>
      <c r="AD385" s="12">
        <v>20.13942319141362</v>
      </c>
      <c r="AE385" s="12">
        <v>36.170424024189074</v>
      </c>
      <c r="AF385" s="12">
        <v>56.135890375977617</v>
      </c>
      <c r="AG385" s="12">
        <v>931.92827297647182</v>
      </c>
      <c r="AH385" s="12">
        <v>70.912643911103771</v>
      </c>
      <c r="AI385" s="12">
        <v>2072.7508707064981</v>
      </c>
      <c r="AJ385" s="12">
        <v>2270.6110648723939</v>
      </c>
      <c r="AK385" s="12">
        <v>740.72519217250056</v>
      </c>
      <c r="AL385" s="12">
        <v>2043.8118881412643</v>
      </c>
      <c r="AM385" s="12">
        <v>1644.065006573685</v>
      </c>
      <c r="AN385" s="12">
        <v>2048.0739094689034</v>
      </c>
      <c r="AP385" s="12">
        <f t="shared" si="117"/>
        <v>1.0008946599214805</v>
      </c>
      <c r="AQ385" s="12">
        <f t="shared" si="118"/>
        <v>0.94701191600064405</v>
      </c>
      <c r="AR385" s="12">
        <f t="shared" si="105"/>
        <v>1.6045644232147307</v>
      </c>
      <c r="AS385" s="12">
        <f t="shared" si="106"/>
        <v>0.96132221551065855</v>
      </c>
      <c r="AT385" s="12">
        <f t="shared" si="107"/>
        <v>1.4208569638145243</v>
      </c>
      <c r="AU385" s="12">
        <f t="shared" si="119"/>
        <v>0.64034603045722271</v>
      </c>
      <c r="AV385" s="12">
        <f t="shared" si="120"/>
        <v>0.677497778044163</v>
      </c>
      <c r="AW385" s="12">
        <f t="shared" si="121"/>
        <v>0.60597126925997302</v>
      </c>
      <c r="AX385" s="12">
        <f t="shared" si="122"/>
        <v>0.90776283172270789</v>
      </c>
      <c r="AY385" s="12">
        <f t="shared" si="123"/>
        <v>0.42178696722097547</v>
      </c>
      <c r="AZ385" s="12">
        <f t="shared" si="124"/>
        <v>0.19093768248765047</v>
      </c>
      <c r="BA385" s="12">
        <f t="shared" si="108"/>
        <v>0.56731972363849825</v>
      </c>
      <c r="BB385" s="12">
        <f t="shared" si="109"/>
        <v>0.11198847598378228</v>
      </c>
      <c r="BC385" s="12">
        <f t="shared" si="110"/>
        <v>0.89626776186179702</v>
      </c>
      <c r="BD385" s="12">
        <f t="shared" si="111"/>
        <v>0.91802113486917303</v>
      </c>
      <c r="BE385" s="12">
        <f t="shared" si="112"/>
        <v>0.31667723434417472</v>
      </c>
      <c r="BF385" s="12">
        <f t="shared" si="113"/>
        <v>0.3716716479067817</v>
      </c>
      <c r="BG385" s="12">
        <f t="shared" si="114"/>
        <v>0.88587071542650397</v>
      </c>
      <c r="BH385" s="12">
        <f t="shared" si="115"/>
        <v>0.35876198019711003</v>
      </c>
      <c r="BI385" s="12">
        <f t="shared" si="116"/>
        <v>0.64433687222083469</v>
      </c>
    </row>
    <row r="386" spans="1:61" x14ac:dyDescent="0.55000000000000004">
      <c r="A386" s="12" t="s">
        <v>934</v>
      </c>
      <c r="B386" s="12" t="s">
        <v>935</v>
      </c>
      <c r="C386" s="12" t="s">
        <v>322</v>
      </c>
      <c r="D386" s="12" t="s">
        <v>9</v>
      </c>
      <c r="E386" s="12">
        <v>1634</v>
      </c>
      <c r="F386" s="12">
        <v>66.795171688748582</v>
      </c>
      <c r="G386" s="12">
        <v>42.079130259340992</v>
      </c>
      <c r="H386" s="14">
        <f t="shared" si="125"/>
        <v>68757.298843763187</v>
      </c>
      <c r="I386" s="12">
        <v>40.337251240506042</v>
      </c>
      <c r="J386" s="12">
        <v>4.8641369689623417</v>
      </c>
      <c r="K386" s="12">
        <v>18.489448993734594</v>
      </c>
      <c r="L386" s="12">
        <v>44.263138903551337</v>
      </c>
      <c r="M386" s="12">
        <v>39.484607788151422</v>
      </c>
      <c r="N386" s="12">
        <v>15.178391392785121</v>
      </c>
      <c r="O386" s="12">
        <v>10.0497689230692</v>
      </c>
      <c r="P386" s="12">
        <v>39.498930884196021</v>
      </c>
      <c r="Q386" s="12">
        <v>554.70031333899249</v>
      </c>
      <c r="R386" s="15">
        <v>39.411181400949559</v>
      </c>
      <c r="S386" s="15">
        <v>1009.8035244888603</v>
      </c>
      <c r="T386" s="15">
        <v>1051.9149210652333</v>
      </c>
      <c r="U386" s="12">
        <v>49.23769039219556</v>
      </c>
      <c r="V386" s="12">
        <v>11.882386462560548</v>
      </c>
      <c r="W386" s="12">
        <v>44.547459535506889</v>
      </c>
      <c r="X386" s="12">
        <v>66.687602558744601</v>
      </c>
      <c r="Y386" s="12">
        <v>40.983733809018887</v>
      </c>
      <c r="Z386" s="12">
        <v>27.290080688247574</v>
      </c>
      <c r="AA386" s="12">
        <v>17.617757238042607</v>
      </c>
      <c r="AB386" s="12">
        <v>47.088276341701885</v>
      </c>
      <c r="AC386" s="12">
        <v>50.713630662804334</v>
      </c>
      <c r="AD386" s="12">
        <v>18.763297251083777</v>
      </c>
      <c r="AE386" s="12">
        <v>17.449070626956569</v>
      </c>
      <c r="AF386" s="12">
        <v>54.308872036805951</v>
      </c>
      <c r="AG386" s="12">
        <v>1257.441509133919</v>
      </c>
      <c r="AH386" s="12">
        <v>70.470063833757735</v>
      </c>
      <c r="AI386" s="12">
        <v>2429.0008994678951</v>
      </c>
      <c r="AJ386" s="12">
        <v>2732.6803433302061</v>
      </c>
      <c r="AK386" s="12">
        <v>1592.6772058617635</v>
      </c>
      <c r="AL386" s="12">
        <v>2705.4273530760402</v>
      </c>
      <c r="AM386" s="12">
        <v>302.16497840395198</v>
      </c>
      <c r="AN386" s="12">
        <v>3091.537129395826</v>
      </c>
      <c r="AP386" s="12">
        <f t="shared" si="117"/>
        <v>1.0519024188653596</v>
      </c>
      <c r="AQ386" s="12">
        <f t="shared" si="118"/>
        <v>0.93868220756363652</v>
      </c>
      <c r="AR386" s="12">
        <f t="shared" si="105"/>
        <v>1.5848141857433202</v>
      </c>
      <c r="AS386" s="12">
        <f t="shared" si="106"/>
        <v>1.1190411030714906</v>
      </c>
      <c r="AT386" s="12">
        <f t="shared" si="107"/>
        <v>1.2906367527582185</v>
      </c>
      <c r="AU386" s="12">
        <f t="shared" si="119"/>
        <v>0.91130571034287156</v>
      </c>
      <c r="AV386" s="12">
        <f t="shared" si="120"/>
        <v>0.10989136987237208</v>
      </c>
      <c r="AW386" s="12">
        <f t="shared" si="121"/>
        <v>0.41771662497824213</v>
      </c>
      <c r="AX386" s="12">
        <f t="shared" si="122"/>
        <v>0.99963738015880499</v>
      </c>
      <c r="AY386" s="12">
        <f t="shared" si="123"/>
        <v>0.38427347406656442</v>
      </c>
      <c r="AZ386" s="12">
        <f t="shared" si="124"/>
        <v>0.25443141619537424</v>
      </c>
      <c r="BA386" s="12">
        <f t="shared" si="108"/>
        <v>0.73833349082871069</v>
      </c>
      <c r="BB386" s="12">
        <f t="shared" si="109"/>
        <v>0.17817984162938599</v>
      </c>
      <c r="BC386" s="12">
        <f t="shared" si="110"/>
        <v>0.66800211472987603</v>
      </c>
      <c r="BD386" s="12">
        <f t="shared" si="111"/>
        <v>0.87035960950482383</v>
      </c>
      <c r="BE386" s="12">
        <f t="shared" si="112"/>
        <v>0.5795514894241135</v>
      </c>
      <c r="BF386" s="12">
        <f t="shared" si="113"/>
        <v>0.37414317547317255</v>
      </c>
      <c r="BG386" s="12">
        <f t="shared" si="114"/>
        <v>0.93380010964755322</v>
      </c>
      <c r="BH386" s="12">
        <f t="shared" si="115"/>
        <v>0.34549230259040559</v>
      </c>
      <c r="BI386" s="12">
        <f t="shared" si="116"/>
        <v>0.32129318788155031</v>
      </c>
    </row>
    <row r="387" spans="1:61" x14ac:dyDescent="0.55000000000000004">
      <c r="A387" s="12" t="s">
        <v>936</v>
      </c>
      <c r="B387" s="12" t="s">
        <v>937</v>
      </c>
      <c r="C387" s="12" t="s">
        <v>8</v>
      </c>
      <c r="D387" s="12" t="s">
        <v>9</v>
      </c>
      <c r="E387" s="12">
        <v>1805</v>
      </c>
      <c r="F387" s="12">
        <v>67.763189279571165</v>
      </c>
      <c r="G387" s="12">
        <v>52.51098695740594</v>
      </c>
      <c r="H387" s="14">
        <f t="shared" si="125"/>
        <v>94782.331458117726</v>
      </c>
      <c r="I387" s="12">
        <v>25.406651769675587</v>
      </c>
      <c r="J387" s="12">
        <v>45.402525811303441</v>
      </c>
      <c r="K387" s="12">
        <v>30.317892468499103</v>
      </c>
      <c r="L387" s="12">
        <v>59.32566343392601</v>
      </c>
      <c r="M387" s="12">
        <v>34.590262807520695</v>
      </c>
      <c r="N387" s="12">
        <v>16.404942217944186</v>
      </c>
      <c r="O387" s="12">
        <v>15.379167170566495</v>
      </c>
      <c r="P387" s="12">
        <v>38.186350766147115</v>
      </c>
      <c r="Q387" s="12">
        <v>328.65901705139339</v>
      </c>
      <c r="R387" s="15">
        <v>140.81379139819316</v>
      </c>
      <c r="S387" s="15">
        <v>933.12151649600173</v>
      </c>
      <c r="T387" s="15">
        <v>953.38444344379798</v>
      </c>
      <c r="U387" s="12">
        <v>20.87664423974811</v>
      </c>
      <c r="V387" s="12">
        <v>10.794764549385437</v>
      </c>
      <c r="W387" s="12">
        <v>50.45085217454438</v>
      </c>
      <c r="X387" s="12">
        <v>54.783433802536813</v>
      </c>
      <c r="Y387" s="12">
        <v>30.909021640668833</v>
      </c>
      <c r="Z387" s="12">
        <v>18.514186937400741</v>
      </c>
      <c r="AA387" s="12">
        <v>13.915342788595542</v>
      </c>
      <c r="AB387" s="12">
        <v>35.742844624283592</v>
      </c>
      <c r="AC387" s="12">
        <v>43.833841590796773</v>
      </c>
      <c r="AD387" s="12">
        <v>15.904218866064957</v>
      </c>
      <c r="AE387" s="12">
        <v>31.064419904776791</v>
      </c>
      <c r="AF387" s="12">
        <v>53.790612692820034</v>
      </c>
      <c r="AG387" s="12">
        <v>702.86378609227427</v>
      </c>
      <c r="AH387" s="12">
        <v>246.61814586097216</v>
      </c>
      <c r="AI387" s="12">
        <v>1810.7532132098104</v>
      </c>
      <c r="AJ387" s="12">
        <v>1939.5971625423483</v>
      </c>
      <c r="AK387" s="12">
        <v>1613.390855125225</v>
      </c>
      <c r="AL387" s="12">
        <v>1557.8209604417725</v>
      </c>
      <c r="AM387" s="12">
        <v>1931.4223496678255</v>
      </c>
      <c r="AN387" s="12">
        <v>2478.2127710421205</v>
      </c>
      <c r="AP387" s="12">
        <f t="shared" si="117"/>
        <v>1.1297762024935423</v>
      </c>
      <c r="AQ387" s="12">
        <f t="shared" si="118"/>
        <v>0.72720687571768183</v>
      </c>
      <c r="AR387" s="12">
        <f t="shared" si="105"/>
        <v>1.0432756452849412</v>
      </c>
      <c r="AS387" s="12">
        <f t="shared" si="106"/>
        <v>0.68067363984752838</v>
      </c>
      <c r="AT387" s="12">
        <f t="shared" si="107"/>
        <v>1.024368723757793</v>
      </c>
      <c r="AU387" s="12">
        <f t="shared" si="119"/>
        <v>0.42825735607613152</v>
      </c>
      <c r="AV387" s="12">
        <f t="shared" si="120"/>
        <v>0.76531003925258301</v>
      </c>
      <c r="AW387" s="12">
        <f t="shared" si="121"/>
        <v>0.5110417770930733</v>
      </c>
      <c r="AX387" s="12">
        <f t="shared" si="122"/>
        <v>0.90582792315901484</v>
      </c>
      <c r="AY387" s="12">
        <f t="shared" si="123"/>
        <v>0.42960225024925558</v>
      </c>
      <c r="AZ387" s="12">
        <f t="shared" si="124"/>
        <v>0.40273990213802791</v>
      </c>
      <c r="BA387" s="12">
        <f t="shared" si="108"/>
        <v>0.38107586163723445</v>
      </c>
      <c r="BB387" s="12">
        <f t="shared" si="109"/>
        <v>0.19704432161544377</v>
      </c>
      <c r="BC387" s="12">
        <f t="shared" si="110"/>
        <v>0.92091438365092393</v>
      </c>
      <c r="BD387" s="12">
        <f t="shared" si="111"/>
        <v>0.86476110017469976</v>
      </c>
      <c r="BE387" s="12">
        <f t="shared" si="112"/>
        <v>0.51798302938715324</v>
      </c>
      <c r="BF387" s="12">
        <f t="shared" si="113"/>
        <v>0.3893182799206053</v>
      </c>
      <c r="BG387" s="12">
        <f t="shared" si="114"/>
        <v>0.81489760752711615</v>
      </c>
      <c r="BH387" s="12">
        <f t="shared" si="115"/>
        <v>0.29566904093263563</v>
      </c>
      <c r="BI387" s="12">
        <f t="shared" si="116"/>
        <v>0.5775063407843144</v>
      </c>
    </row>
    <row r="388" spans="1:61" x14ac:dyDescent="0.55000000000000004">
      <c r="A388" s="12" t="s">
        <v>938</v>
      </c>
      <c r="B388" s="12" t="s">
        <v>939</v>
      </c>
      <c r="C388" s="12" t="s">
        <v>322</v>
      </c>
      <c r="D388" s="12" t="s">
        <v>9</v>
      </c>
      <c r="E388" s="12">
        <v>2222</v>
      </c>
      <c r="F388" s="12">
        <v>67.207747749257791</v>
      </c>
      <c r="G388" s="12">
        <v>31.218444820163306</v>
      </c>
      <c r="H388" s="14">
        <f t="shared" si="125"/>
        <v>69367.384390402862</v>
      </c>
      <c r="I388" s="12">
        <v>43.475760769658521</v>
      </c>
      <c r="J388" s="12">
        <v>35.205207598873685</v>
      </c>
      <c r="K388" s="12">
        <v>28.297054277463211</v>
      </c>
      <c r="L388" s="12">
        <v>59.638627238354694</v>
      </c>
      <c r="M388" s="12">
        <v>31.282990731537687</v>
      </c>
      <c r="N388" s="12">
        <v>14.935803499322862</v>
      </c>
      <c r="O388" s="12">
        <v>13.312235825628965</v>
      </c>
      <c r="P388" s="12">
        <v>36.018508172041045</v>
      </c>
      <c r="Q388" s="12">
        <v>395.22406478574595</v>
      </c>
      <c r="R388" s="15">
        <v>30.698991797712821</v>
      </c>
      <c r="S388" s="15">
        <v>1166.7781745892303</v>
      </c>
      <c r="T388" s="15">
        <v>1170.768411185348</v>
      </c>
      <c r="U388" s="12">
        <v>22.669836991672014</v>
      </c>
      <c r="V388" s="12">
        <v>10.576663175997208</v>
      </c>
      <c r="W388" s="12">
        <v>39.441292083540809</v>
      </c>
      <c r="X388" s="12">
        <v>42.598411751500194</v>
      </c>
      <c r="Y388" s="12">
        <v>25.875221460404532</v>
      </c>
      <c r="Z388" s="12">
        <v>22.089161160169706</v>
      </c>
      <c r="AA388" s="12">
        <v>11.9638615987134</v>
      </c>
      <c r="AB388" s="12">
        <v>31.992652814829626</v>
      </c>
      <c r="AC388" s="12">
        <v>34.061336784851775</v>
      </c>
      <c r="AD388" s="12">
        <v>20.23473960529186</v>
      </c>
      <c r="AE388" s="12">
        <v>23.559578265164312</v>
      </c>
      <c r="AF388" s="12">
        <v>43.135649523766688</v>
      </c>
      <c r="AG388" s="12">
        <v>628.20517041807693</v>
      </c>
      <c r="AH388" s="12">
        <v>44.234812147944176</v>
      </c>
      <c r="AI388" s="12">
        <v>1388.194183795451</v>
      </c>
      <c r="AJ388" s="12">
        <v>1458.9516241404344</v>
      </c>
      <c r="AK388" s="12">
        <v>964.23441687549575</v>
      </c>
      <c r="AL388" s="12">
        <v>1569.9060419446328</v>
      </c>
      <c r="AM388" s="12">
        <v>1107.8435533983475</v>
      </c>
      <c r="AN388" s="12">
        <v>1595.2076508746295</v>
      </c>
      <c r="AP388" s="12">
        <f t="shared" si="117"/>
        <v>1.9103650928772538</v>
      </c>
      <c r="AQ388" s="12">
        <f t="shared" si="118"/>
        <v>1.1537572861021406</v>
      </c>
      <c r="AR388" s="12">
        <f t="shared" si="105"/>
        <v>1.3645270287130644</v>
      </c>
      <c r="AS388" s="12">
        <f t="shared" si="106"/>
        <v>1.0247996977148033</v>
      </c>
      <c r="AT388" s="12">
        <f t="shared" si="107"/>
        <v>1.3817360144700841</v>
      </c>
      <c r="AU388" s="12">
        <f t="shared" si="119"/>
        <v>0.72898661124276287</v>
      </c>
      <c r="AV388" s="12">
        <f t="shared" si="120"/>
        <v>0.59030881878234398</v>
      </c>
      <c r="AW388" s="12">
        <f t="shared" si="121"/>
        <v>0.47447527865404748</v>
      </c>
      <c r="AX388" s="12">
        <f t="shared" si="122"/>
        <v>0.86852544203429138</v>
      </c>
      <c r="AY388" s="12">
        <f t="shared" si="123"/>
        <v>0.41467024197622399</v>
      </c>
      <c r="AZ388" s="12">
        <f t="shared" si="124"/>
        <v>0.36959431417990923</v>
      </c>
      <c r="BA388" s="12">
        <f t="shared" si="108"/>
        <v>0.53217563893972286</v>
      </c>
      <c r="BB388" s="12">
        <f t="shared" si="109"/>
        <v>0.2482877351788762</v>
      </c>
      <c r="BC388" s="12">
        <f t="shared" si="110"/>
        <v>0.92588644650940066</v>
      </c>
      <c r="BD388" s="12">
        <f t="shared" si="111"/>
        <v>0.80878636761283307</v>
      </c>
      <c r="BE388" s="12">
        <f t="shared" si="112"/>
        <v>0.69044481206418329</v>
      </c>
      <c r="BF388" s="12">
        <f t="shared" si="113"/>
        <v>0.37395653520697619</v>
      </c>
      <c r="BG388" s="12">
        <f t="shared" si="114"/>
        <v>0.78963310303429679</v>
      </c>
      <c r="BH388" s="12">
        <f t="shared" si="115"/>
        <v>0.46909551215040851</v>
      </c>
      <c r="BI388" s="12">
        <f t="shared" si="116"/>
        <v>0.54617418597542067</v>
      </c>
    </row>
    <row r="389" spans="1:61" x14ac:dyDescent="0.55000000000000004">
      <c r="A389" s="12" t="s">
        <v>940</v>
      </c>
      <c r="B389" s="12" t="s">
        <v>941</v>
      </c>
      <c r="C389" s="12" t="s">
        <v>8</v>
      </c>
      <c r="D389" s="12" t="s">
        <v>9</v>
      </c>
      <c r="E389" s="12">
        <v>1808</v>
      </c>
      <c r="F389" s="12">
        <v>70.200391078896516</v>
      </c>
      <c r="G389" s="12">
        <v>66.573415895968779</v>
      </c>
      <c r="H389" s="14">
        <f t="shared" si="125"/>
        <v>120364.73593991155</v>
      </c>
      <c r="I389" s="12">
        <v>43.273338822095937</v>
      </c>
      <c r="J389" s="12">
        <v>14.533816975304688</v>
      </c>
      <c r="K389" s="12">
        <v>26.724479491806434</v>
      </c>
      <c r="L389" s="12">
        <v>47.961269556341804</v>
      </c>
      <c r="M389" s="12">
        <v>38.553634975520509</v>
      </c>
      <c r="N389" s="12">
        <v>17.703711809868572</v>
      </c>
      <c r="O389" s="12">
        <v>13.712041579628076</v>
      </c>
      <c r="P389" s="12">
        <v>40.72848443113962</v>
      </c>
      <c r="Q389" s="12">
        <v>643.33484559336932</v>
      </c>
      <c r="R389" s="15">
        <v>101.00899108763485</v>
      </c>
      <c r="S389" s="15">
        <v>1467.454534792721</v>
      </c>
      <c r="T389" s="15">
        <v>1468.3216233246826</v>
      </c>
      <c r="U389" s="12">
        <v>29.076383016857029</v>
      </c>
      <c r="V389" s="12">
        <v>21.523505677668133</v>
      </c>
      <c r="W389" s="12">
        <v>62.168724336886768</v>
      </c>
      <c r="X389" s="12">
        <v>67.806224058806066</v>
      </c>
      <c r="Y389" s="12">
        <v>37.780885329956931</v>
      </c>
      <c r="Z389" s="12">
        <v>28.590963186613198</v>
      </c>
      <c r="AA389" s="12">
        <v>21.78378979436668</v>
      </c>
      <c r="AB389" s="12">
        <v>44.079957549815376</v>
      </c>
      <c r="AC389" s="12">
        <v>48.675142088875504</v>
      </c>
      <c r="AD389" s="12">
        <v>30.458375723363314</v>
      </c>
      <c r="AE389" s="12">
        <v>41.678591539487343</v>
      </c>
      <c r="AF389" s="12">
        <v>54.158323866429228</v>
      </c>
      <c r="AG389" s="12">
        <v>968.05130312752271</v>
      </c>
      <c r="AH389" s="12">
        <v>845.65961905241375</v>
      </c>
      <c r="AI389" s="12">
        <v>2210.869602740001</v>
      </c>
      <c r="AJ389" s="12">
        <v>2369.6485259801157</v>
      </c>
      <c r="AK389" s="12">
        <v>2424.4135463328785</v>
      </c>
      <c r="AL389" s="12">
        <v>3018.8116951014936</v>
      </c>
      <c r="AM389" s="12">
        <v>2492.1201044621662</v>
      </c>
      <c r="AN389" s="12">
        <v>3351.7443640087977</v>
      </c>
      <c r="AP389" s="12">
        <f t="shared" si="117"/>
        <v>0.72042674858818534</v>
      </c>
      <c r="AQ389" s="12">
        <f t="shared" si="118"/>
        <v>0.61178300501786109</v>
      </c>
      <c r="AR389" s="12">
        <f t="shared" si="105"/>
        <v>1.0185180247437466</v>
      </c>
      <c r="AS389" s="12">
        <f t="shared" si="106"/>
        <v>0.66212551897137295</v>
      </c>
      <c r="AT389" s="12">
        <f t="shared" si="107"/>
        <v>0.81351276838580666</v>
      </c>
      <c r="AU389" s="12">
        <f t="shared" si="119"/>
        <v>0.90225590820237178</v>
      </c>
      <c r="AV389" s="12">
        <f t="shared" si="120"/>
        <v>0.30303236569314118</v>
      </c>
      <c r="AW389" s="12">
        <f t="shared" si="121"/>
        <v>0.5572095930532498</v>
      </c>
      <c r="AX389" s="12">
        <f t="shared" si="122"/>
        <v>0.94660126724587146</v>
      </c>
      <c r="AY389" s="12">
        <f t="shared" si="123"/>
        <v>0.43467642013049995</v>
      </c>
      <c r="AZ389" s="12">
        <f t="shared" si="124"/>
        <v>0.33666957587904534</v>
      </c>
      <c r="BA389" s="12">
        <f t="shared" si="108"/>
        <v>0.42881584132512757</v>
      </c>
      <c r="BB389" s="12">
        <f t="shared" si="109"/>
        <v>0.3174266960950593</v>
      </c>
      <c r="BC389" s="12">
        <f t="shared" si="110"/>
        <v>0.91685866894711487</v>
      </c>
      <c r="BD389" s="12">
        <f t="shared" si="111"/>
        <v>0.8570989499538475</v>
      </c>
      <c r="BE389" s="12">
        <f t="shared" si="112"/>
        <v>0.6486159419346571</v>
      </c>
      <c r="BF389" s="12">
        <f t="shared" si="113"/>
        <v>0.49418808468108244</v>
      </c>
      <c r="BG389" s="12">
        <f t="shared" si="114"/>
        <v>0.89875643509431891</v>
      </c>
      <c r="BH389" s="12">
        <f t="shared" si="115"/>
        <v>0.56239509550707034</v>
      </c>
      <c r="BI389" s="12">
        <f t="shared" si="116"/>
        <v>0.76956945052951287</v>
      </c>
    </row>
    <row r="390" spans="1:61" x14ac:dyDescent="0.55000000000000004">
      <c r="A390" s="12" t="s">
        <v>942</v>
      </c>
      <c r="B390" s="12" t="s">
        <v>943</v>
      </c>
      <c r="C390" s="12" t="s">
        <v>8</v>
      </c>
      <c r="D390" s="12" t="s">
        <v>9</v>
      </c>
      <c r="E390" s="12">
        <v>2120</v>
      </c>
      <c r="F390" s="12">
        <v>70.329474406928796</v>
      </c>
      <c r="G390" s="12">
        <v>45.46075747283416</v>
      </c>
      <c r="H390" s="14">
        <f t="shared" si="125"/>
        <v>96376.805842408416</v>
      </c>
      <c r="I390" s="12">
        <v>32.219444956430692</v>
      </c>
      <c r="J390" s="12">
        <v>38.15477932987811</v>
      </c>
      <c r="K390" s="12">
        <v>23.012987492618688</v>
      </c>
      <c r="L390" s="12">
        <v>41.016772083257877</v>
      </c>
      <c r="M390" s="12">
        <v>34.578352683588299</v>
      </c>
      <c r="N390" s="12">
        <v>16.645160422790138</v>
      </c>
      <c r="O390" s="12">
        <v>17.022942803284252</v>
      </c>
      <c r="P390" s="12">
        <v>39.066445800456393</v>
      </c>
      <c r="Q390" s="12">
        <v>627.32945297099445</v>
      </c>
      <c r="R390" s="15">
        <v>81.704542371545926</v>
      </c>
      <c r="S390" s="15">
        <v>894.6765599676653</v>
      </c>
      <c r="T390" s="15">
        <v>1087.4752172191327</v>
      </c>
      <c r="U390" s="12">
        <v>57.050281602458384</v>
      </c>
      <c r="V390" s="12">
        <v>14.892236416058539</v>
      </c>
      <c r="W390" s="12">
        <v>61.235617489911149</v>
      </c>
      <c r="X390" s="12">
        <v>65.365157763822097</v>
      </c>
      <c r="Y390" s="12">
        <v>28.976645110543828</v>
      </c>
      <c r="Z390" s="12">
        <v>29.059839876660298</v>
      </c>
      <c r="AA390" s="12">
        <v>21.208992233846349</v>
      </c>
      <c r="AB390" s="12">
        <v>40.616187805808586</v>
      </c>
      <c r="AC390" s="12">
        <v>33.845765915647128</v>
      </c>
      <c r="AD390" s="12">
        <v>25.757925115936651</v>
      </c>
      <c r="AE390" s="12">
        <v>38.898072793379221</v>
      </c>
      <c r="AF390" s="12">
        <v>49.617202219826574</v>
      </c>
      <c r="AG390" s="12">
        <v>738.58010868777092</v>
      </c>
      <c r="AH390" s="12">
        <v>821.95892177977009</v>
      </c>
      <c r="AI390" s="12">
        <v>2167.1275917045259</v>
      </c>
      <c r="AJ390" s="12">
        <v>2254.5662656584536</v>
      </c>
      <c r="AK390" s="12">
        <v>1422.8349579393798</v>
      </c>
      <c r="AL390" s="12">
        <v>2847.7687555749521</v>
      </c>
      <c r="AM390" s="12">
        <v>1577.1678605244372</v>
      </c>
      <c r="AN390" s="12">
        <v>3067.2405329898374</v>
      </c>
      <c r="AP390" s="12">
        <f t="shared" si="117"/>
        <v>0.90224568096490998</v>
      </c>
      <c r="AQ390" s="12">
        <f t="shared" si="118"/>
        <v>0.85934436582587093</v>
      </c>
      <c r="AR390" s="12">
        <f t="shared" si="105"/>
        <v>1.4378369696739468</v>
      </c>
      <c r="AS390" s="12">
        <f t="shared" si="106"/>
        <v>0.89343403109988806</v>
      </c>
      <c r="AT390" s="12">
        <f t="shared" si="107"/>
        <v>1.0914292893046529</v>
      </c>
      <c r="AU390" s="12">
        <f t="shared" si="119"/>
        <v>0.78551878463351688</v>
      </c>
      <c r="AV390" s="12">
        <f t="shared" si="120"/>
        <v>0.93022384239378098</v>
      </c>
      <c r="AW390" s="12">
        <f t="shared" si="121"/>
        <v>0.56106286096589431</v>
      </c>
      <c r="AX390" s="12">
        <f t="shared" si="122"/>
        <v>0.88511642088475684</v>
      </c>
      <c r="AY390" s="12">
        <f t="shared" si="123"/>
        <v>0.42607306812117729</v>
      </c>
      <c r="AZ390" s="12">
        <f t="shared" si="124"/>
        <v>0.43574332024556434</v>
      </c>
      <c r="BA390" s="12">
        <f t="shared" si="108"/>
        <v>0.87279345073399672</v>
      </c>
      <c r="BB390" s="12">
        <f t="shared" si="109"/>
        <v>0.2278314154746981</v>
      </c>
      <c r="BC390" s="12">
        <f t="shared" si="110"/>
        <v>0.93682352471584573</v>
      </c>
      <c r="BD390" s="12">
        <f t="shared" si="111"/>
        <v>0.71342601745602108</v>
      </c>
      <c r="BE390" s="12">
        <f t="shared" si="112"/>
        <v>0.71547433293344198</v>
      </c>
      <c r="BF390" s="12">
        <f t="shared" si="113"/>
        <v>0.5221807702694643</v>
      </c>
      <c r="BG390" s="12">
        <f t="shared" si="114"/>
        <v>0.68213773452390825</v>
      </c>
      <c r="BH390" s="12">
        <f t="shared" si="115"/>
        <v>0.51913296122214692</v>
      </c>
      <c r="BI390" s="12">
        <f t="shared" si="116"/>
        <v>0.78396344519876837</v>
      </c>
    </row>
    <row r="391" spans="1:61" x14ac:dyDescent="0.55000000000000004">
      <c r="A391" s="12" t="s">
        <v>944</v>
      </c>
      <c r="B391" s="12" t="s">
        <v>945</v>
      </c>
      <c r="C391" s="12" t="s">
        <v>322</v>
      </c>
      <c r="D391" s="12" t="s">
        <v>9</v>
      </c>
      <c r="E391" s="12">
        <v>2570</v>
      </c>
      <c r="F391" s="12">
        <v>71.012161183670159</v>
      </c>
      <c r="G391" s="12">
        <v>33.529734010635714</v>
      </c>
      <c r="H391" s="14">
        <f t="shared" si="125"/>
        <v>86171.416407333789</v>
      </c>
      <c r="I391" s="12">
        <v>39.235478559307168</v>
      </c>
      <c r="J391" s="12">
        <v>23.572635455356277</v>
      </c>
      <c r="K391" s="12">
        <v>22.774758757564477</v>
      </c>
      <c r="L391" s="12">
        <v>41.112434524253196</v>
      </c>
      <c r="M391" s="12">
        <v>37.707976647792066</v>
      </c>
      <c r="N391" s="12">
        <v>9.0238635332397354</v>
      </c>
      <c r="O391" s="12">
        <v>13.056207840232604</v>
      </c>
      <c r="P391" s="12">
        <v>37.917403142876573</v>
      </c>
      <c r="Q391" s="12">
        <v>574.16871705937263</v>
      </c>
      <c r="R391" s="15">
        <v>110.4907305860301</v>
      </c>
      <c r="S391" s="15">
        <v>921.68405201985206</v>
      </c>
      <c r="T391" s="15">
        <v>963.16239280390948</v>
      </c>
      <c r="U391" s="12">
        <v>28.801770035616912</v>
      </c>
      <c r="V391" s="12">
        <v>17.900430489147062</v>
      </c>
      <c r="W391" s="12">
        <v>53.386859557374301</v>
      </c>
      <c r="X391" s="12">
        <v>56.796617977300635</v>
      </c>
      <c r="Y391" s="12">
        <v>31.31299800604765</v>
      </c>
      <c r="Z391" s="12">
        <v>19.117784748017574</v>
      </c>
      <c r="AA391" s="12">
        <v>78.520078919144524</v>
      </c>
      <c r="AB391" s="12">
        <v>83.057643134813617</v>
      </c>
      <c r="AC391" s="12">
        <v>36.274757552891927</v>
      </c>
      <c r="AD391" s="12">
        <v>17.16951515178593</v>
      </c>
      <c r="AE391" s="12">
        <v>23.665012086719919</v>
      </c>
      <c r="AF391" s="12">
        <v>41.610712355427779</v>
      </c>
      <c r="AG391" s="12">
        <v>638.66665329674538</v>
      </c>
      <c r="AH391" s="12">
        <v>36.130137088971338</v>
      </c>
      <c r="AI391" s="12">
        <v>1958.075423659079</v>
      </c>
      <c r="AJ391" s="12">
        <v>2055.6487503534327</v>
      </c>
      <c r="AK391" s="12">
        <v>2357.5168109931733</v>
      </c>
      <c r="AL391" s="12">
        <v>654.86079869810499</v>
      </c>
      <c r="AM391" s="12">
        <v>2743.6486512658985</v>
      </c>
      <c r="AN391" s="12">
        <v>3557.4085470743912</v>
      </c>
      <c r="AP391" s="12">
        <f t="shared" si="117"/>
        <v>1.226148543594537</v>
      </c>
      <c r="AQ391" s="12">
        <f t="shared" si="118"/>
        <v>1.1308590497869466</v>
      </c>
      <c r="AR391" s="12">
        <f t="shared" si="105"/>
        <v>1.6939179403953699</v>
      </c>
      <c r="AS391" s="12">
        <f t="shared" si="106"/>
        <v>2.4771339703579973</v>
      </c>
      <c r="AT391" s="12">
        <f t="shared" si="107"/>
        <v>1.2410093185418281</v>
      </c>
      <c r="AU391" s="12">
        <f t="shared" si="119"/>
        <v>0.95434578402700121</v>
      </c>
      <c r="AV391" s="12">
        <f t="shared" si="120"/>
        <v>0.57336997256755062</v>
      </c>
      <c r="AW391" s="12">
        <f t="shared" si="121"/>
        <v>0.55396278573892554</v>
      </c>
      <c r="AX391" s="12">
        <f t="shared" si="122"/>
        <v>0.99447677114660604</v>
      </c>
      <c r="AY391" s="12">
        <f t="shared" si="123"/>
        <v>0.23798738271281167</v>
      </c>
      <c r="AZ391" s="12">
        <f t="shared" si="124"/>
        <v>0.34433285926875068</v>
      </c>
      <c r="BA391" s="12">
        <f t="shared" si="108"/>
        <v>0.50710361041440599</v>
      </c>
      <c r="BB391" s="12">
        <f t="shared" si="109"/>
        <v>0.31516718999538246</v>
      </c>
      <c r="BC391" s="12">
        <f t="shared" si="110"/>
        <v>0.93996546728734653</v>
      </c>
      <c r="BD391" s="12">
        <f t="shared" si="111"/>
        <v>0.37700320914744095</v>
      </c>
      <c r="BE391" s="12">
        <f t="shared" si="112"/>
        <v>0.23017490054451537</v>
      </c>
      <c r="BF391" s="12">
        <f t="shared" si="113"/>
        <v>0.94536849295971448</v>
      </c>
      <c r="BG391" s="12">
        <f t="shared" si="114"/>
        <v>0.87176487734798846</v>
      </c>
      <c r="BH391" s="12">
        <f t="shared" si="115"/>
        <v>0.41262247579730044</v>
      </c>
      <c r="BI391" s="12">
        <f t="shared" si="116"/>
        <v>0.56872403155657614</v>
      </c>
    </row>
    <row r="392" spans="1:61" x14ac:dyDescent="0.55000000000000004">
      <c r="A392" s="12" t="s">
        <v>946</v>
      </c>
      <c r="B392" s="12" t="s">
        <v>947</v>
      </c>
      <c r="C392" s="12" t="s">
        <v>322</v>
      </c>
      <c r="D392" s="12" t="s">
        <v>9</v>
      </c>
      <c r="E392" s="12">
        <v>2172</v>
      </c>
      <c r="F392" s="12">
        <v>71.209368129468913</v>
      </c>
      <c r="G392" s="12">
        <v>54.715823275531868</v>
      </c>
      <c r="H392" s="14">
        <f t="shared" si="125"/>
        <v>118842.76815445522</v>
      </c>
      <c r="I392" s="12">
        <v>34.684496539408762</v>
      </c>
      <c r="J392" s="12">
        <v>14.445648100940941</v>
      </c>
      <c r="K392" s="12">
        <v>22.782133046134383</v>
      </c>
      <c r="L392" s="12">
        <v>40.499015920681224</v>
      </c>
      <c r="M392" s="12">
        <v>38.370241221932673</v>
      </c>
      <c r="N392" s="12">
        <v>11.758284177037414</v>
      </c>
      <c r="O392" s="12">
        <v>5.3686646605692125</v>
      </c>
      <c r="P392" s="12">
        <v>39.689910759843045</v>
      </c>
      <c r="Q392" s="12">
        <v>499.15005464928555</v>
      </c>
      <c r="R392" s="15">
        <v>55.930710706526277</v>
      </c>
      <c r="S392" s="15">
        <v>776.82666678528517</v>
      </c>
      <c r="T392" s="15">
        <v>782.18563758015955</v>
      </c>
      <c r="U392" s="12">
        <v>22.569053745473582</v>
      </c>
      <c r="V392" s="12">
        <v>19.342896793145965</v>
      </c>
      <c r="W392" s="12">
        <v>53.883083466704662</v>
      </c>
      <c r="X392" s="12">
        <v>60.517369694895429</v>
      </c>
      <c r="Y392" s="12">
        <v>22.87461370833266</v>
      </c>
      <c r="Z392" s="12">
        <v>40.566889552057702</v>
      </c>
      <c r="AA392" s="12">
        <v>12.184452706172484</v>
      </c>
      <c r="AB392" s="12">
        <v>45.213039421875969</v>
      </c>
      <c r="AC392" s="12">
        <v>40.601717605109435</v>
      </c>
      <c r="AD392" s="12">
        <v>24.134251875872287</v>
      </c>
      <c r="AE392" s="12">
        <v>28.368048894100927</v>
      </c>
      <c r="AF392" s="12">
        <v>48.410286746414428</v>
      </c>
      <c r="AG392" s="12">
        <v>726.00766519782655</v>
      </c>
      <c r="AH392" s="12">
        <v>47.861797063219555</v>
      </c>
      <c r="AI392" s="12">
        <v>1961.9081264641541</v>
      </c>
      <c r="AJ392" s="12">
        <v>2073.3969811714351</v>
      </c>
      <c r="AK392" s="12">
        <v>940.51161538820645</v>
      </c>
      <c r="AL392" s="12">
        <v>2093.1283435851633</v>
      </c>
      <c r="AM392" s="12">
        <v>1663.1555626474635</v>
      </c>
      <c r="AN392" s="12">
        <v>2093.1286118135549</v>
      </c>
      <c r="AP392" s="12">
        <f t="shared" si="117"/>
        <v>0.74017009150608548</v>
      </c>
      <c r="AQ392" s="12">
        <f t="shared" si="118"/>
        <v>0.72538268427356012</v>
      </c>
      <c r="AR392" s="12">
        <f t="shared" si="105"/>
        <v>1.1060305058401256</v>
      </c>
      <c r="AS392" s="12">
        <f t="shared" si="106"/>
        <v>0.8263247579077293</v>
      </c>
      <c r="AT392" s="12">
        <f t="shared" si="107"/>
        <v>0.88475844551648763</v>
      </c>
      <c r="AU392" s="12">
        <f t="shared" si="119"/>
        <v>0.85642813166965814</v>
      </c>
      <c r="AV392" s="12">
        <f t="shared" si="120"/>
        <v>0.35669133613600046</v>
      </c>
      <c r="AW392" s="12">
        <f t="shared" si="121"/>
        <v>0.56253547223848621</v>
      </c>
      <c r="AX392" s="12">
        <f t="shared" si="122"/>
        <v>0.96675050377675398</v>
      </c>
      <c r="AY392" s="12">
        <f t="shared" si="123"/>
        <v>0.2962537317905502</v>
      </c>
      <c r="AZ392" s="12">
        <f t="shared" si="124"/>
        <v>0.1352652237757373</v>
      </c>
      <c r="BA392" s="12">
        <f t="shared" si="108"/>
        <v>0.37293514009709605</v>
      </c>
      <c r="BB392" s="12">
        <f t="shared" si="109"/>
        <v>0.31962553710885283</v>
      </c>
      <c r="BC392" s="12">
        <f t="shared" si="110"/>
        <v>0.89037385032366401</v>
      </c>
      <c r="BD392" s="12">
        <f t="shared" si="111"/>
        <v>0.50592957254859894</v>
      </c>
      <c r="BE392" s="12">
        <f t="shared" si="112"/>
        <v>0.89723871853723991</v>
      </c>
      <c r="BF392" s="12">
        <f t="shared" si="113"/>
        <v>0.26948979458074507</v>
      </c>
      <c r="BG392" s="12">
        <f t="shared" si="114"/>
        <v>0.83870020885833019</v>
      </c>
      <c r="BH392" s="12">
        <f t="shared" si="115"/>
        <v>0.49853561087736836</v>
      </c>
      <c r="BI392" s="12">
        <f t="shared" si="116"/>
        <v>0.58599216820796962</v>
      </c>
    </row>
    <row r="393" spans="1:61" x14ac:dyDescent="0.55000000000000004">
      <c r="A393" s="12" t="s">
        <v>948</v>
      </c>
      <c r="B393" s="12" t="s">
        <v>949</v>
      </c>
      <c r="C393" s="12" t="s">
        <v>322</v>
      </c>
      <c r="D393" s="12" t="s">
        <v>9</v>
      </c>
      <c r="E393" s="12">
        <v>2525</v>
      </c>
      <c r="F393" s="12">
        <v>68.46794079989283</v>
      </c>
      <c r="G393" s="12">
        <v>31.801326617828092</v>
      </c>
      <c r="H393" s="14">
        <f t="shared" si="125"/>
        <v>80298.349710015929</v>
      </c>
      <c r="I393" s="12">
        <v>37.768498220956033</v>
      </c>
      <c r="J393" s="12">
        <v>8.5021196114141517</v>
      </c>
      <c r="K393" s="12">
        <v>21.397335555241312</v>
      </c>
      <c r="L393" s="12">
        <v>40.46833252384404</v>
      </c>
      <c r="M393" s="12">
        <v>33.363304503469848</v>
      </c>
      <c r="N393" s="12">
        <v>12.002318136775267</v>
      </c>
      <c r="O393" s="12">
        <v>5.9131627614010096</v>
      </c>
      <c r="P393" s="12">
        <v>35.427314710497441</v>
      </c>
      <c r="Q393" s="12">
        <v>455.53951362843736</v>
      </c>
      <c r="R393" s="15">
        <v>68.760895490939177</v>
      </c>
      <c r="S393" s="15">
        <v>820.91048437928202</v>
      </c>
      <c r="T393" s="15">
        <v>835.20355730300037</v>
      </c>
      <c r="U393" s="12">
        <v>22.299254483811854</v>
      </c>
      <c r="V393" s="12">
        <v>15.445438690995028</v>
      </c>
      <c r="W393" s="12">
        <v>42.611421350146919</v>
      </c>
      <c r="X393" s="12">
        <v>49.421094443864568</v>
      </c>
      <c r="Y393" s="12">
        <v>24.835710574624549</v>
      </c>
      <c r="Z393" s="12">
        <v>33.302270515144968</v>
      </c>
      <c r="AA393" s="12">
        <v>36.207373027024914</v>
      </c>
      <c r="AB393" s="12">
        <v>49.972237166746801</v>
      </c>
      <c r="AC393" s="12">
        <v>30.239550820396779</v>
      </c>
      <c r="AD393" s="12">
        <v>21.129083062591505</v>
      </c>
      <c r="AE393" s="12">
        <v>24.327577135998602</v>
      </c>
      <c r="AF393" s="12">
        <v>43.079449101164833</v>
      </c>
      <c r="AG393" s="12">
        <v>713.27186634069449</v>
      </c>
      <c r="AH393" s="12">
        <v>29.934121512332645</v>
      </c>
      <c r="AI393" s="12">
        <v>1605.5043081343426</v>
      </c>
      <c r="AJ393" s="12">
        <v>1749.0181674811499</v>
      </c>
      <c r="AK393" s="12">
        <v>816.24064653849223</v>
      </c>
      <c r="AL393" s="12">
        <v>1521.0118504895215</v>
      </c>
      <c r="AM393" s="12">
        <v>736.4534023969361</v>
      </c>
      <c r="AN393" s="12">
        <v>1537.492874363161</v>
      </c>
      <c r="AP393" s="12">
        <f t="shared" si="117"/>
        <v>1.2725359860037144</v>
      </c>
      <c r="AQ393" s="12">
        <f t="shared" si="118"/>
        <v>1.1140200261531414</v>
      </c>
      <c r="AR393" s="12">
        <f t="shared" si="105"/>
        <v>1.5540576353238889</v>
      </c>
      <c r="AS393" s="12">
        <f t="shared" si="106"/>
        <v>1.5713884444912416</v>
      </c>
      <c r="AT393" s="12">
        <f t="shared" si="107"/>
        <v>1.3546431448873624</v>
      </c>
      <c r="AU393" s="12">
        <f t="shared" si="119"/>
        <v>0.93328525949772556</v>
      </c>
      <c r="AV393" s="12">
        <f t="shared" si="120"/>
        <v>0.21009315386060648</v>
      </c>
      <c r="AW393" s="12">
        <f t="shared" si="121"/>
        <v>0.52874270375815335</v>
      </c>
      <c r="AX393" s="12">
        <f t="shared" si="122"/>
        <v>0.94173958077562092</v>
      </c>
      <c r="AY393" s="12">
        <f t="shared" si="123"/>
        <v>0.33878712611596468</v>
      </c>
      <c r="AZ393" s="12">
        <f t="shared" si="124"/>
        <v>0.16690970822151768</v>
      </c>
      <c r="BA393" s="12">
        <f t="shared" si="108"/>
        <v>0.45120924040119509</v>
      </c>
      <c r="BB393" s="12">
        <f t="shared" si="109"/>
        <v>0.31252724903813855</v>
      </c>
      <c r="BC393" s="12">
        <f t="shared" si="110"/>
        <v>0.86221120413566554</v>
      </c>
      <c r="BD393" s="12">
        <f t="shared" si="111"/>
        <v>0.49699016859607525</v>
      </c>
      <c r="BE393" s="12">
        <f t="shared" si="112"/>
        <v>0.66641544191872626</v>
      </c>
      <c r="BF393" s="12">
        <f t="shared" si="113"/>
        <v>0.7245497716303666</v>
      </c>
      <c r="BG393" s="12">
        <f t="shared" si="114"/>
        <v>0.70194841046793066</v>
      </c>
      <c r="BH393" s="12">
        <f t="shared" si="115"/>
        <v>0.49046781013780866</v>
      </c>
      <c r="BI393" s="12">
        <f t="shared" si="116"/>
        <v>0.56471421161559854</v>
      </c>
    </row>
    <row r="394" spans="1:61" x14ac:dyDescent="0.55000000000000004">
      <c r="A394" s="12" t="s">
        <v>950</v>
      </c>
      <c r="B394" s="12" t="s">
        <v>951</v>
      </c>
      <c r="C394" s="12" t="s">
        <v>322</v>
      </c>
      <c r="D394" s="12" t="s">
        <v>9</v>
      </c>
      <c r="E394" s="12">
        <v>2876</v>
      </c>
      <c r="F394" s="12">
        <v>69.409473248385936</v>
      </c>
      <c r="G394" s="12">
        <v>27.947334849318423</v>
      </c>
      <c r="H394" s="14">
        <f t="shared" si="125"/>
        <v>80376.535026639787</v>
      </c>
      <c r="I394" s="12">
        <v>35.874691019069651</v>
      </c>
      <c r="J394" s="12">
        <v>12.462128945013415</v>
      </c>
      <c r="K394" s="12">
        <v>29.093393626761191</v>
      </c>
      <c r="L394" s="12">
        <v>37.678345220209152</v>
      </c>
      <c r="M394" s="12">
        <v>38.288216273162057</v>
      </c>
      <c r="N394" s="12">
        <v>7.3330764444268661</v>
      </c>
      <c r="O394" s="12">
        <v>19.393789167802975</v>
      </c>
      <c r="P394" s="12">
        <v>39.003724924157567</v>
      </c>
      <c r="Q394" s="12">
        <v>445.09395826082834</v>
      </c>
      <c r="R394" s="15">
        <v>426.77737824035518</v>
      </c>
      <c r="S394" s="15">
        <v>1058.94242607619</v>
      </c>
      <c r="T394" s="15">
        <v>1069.0687780835356</v>
      </c>
      <c r="U394" s="12">
        <v>29.721390596474631</v>
      </c>
      <c r="V394" s="12">
        <v>9.3166295522502427</v>
      </c>
      <c r="W394" s="12">
        <v>45.645227262197082</v>
      </c>
      <c r="X394" s="12">
        <v>48.632218323885418</v>
      </c>
      <c r="Y394" s="12">
        <v>24.487277048427341</v>
      </c>
      <c r="Z394" s="12">
        <v>18.906513251842725</v>
      </c>
      <c r="AA394" s="12">
        <v>20.115065886105498</v>
      </c>
      <c r="AB394" s="12">
        <v>35.03829732781756</v>
      </c>
      <c r="AC394" s="12">
        <v>30.402228981285425</v>
      </c>
      <c r="AD394" s="12">
        <v>15.81602669790237</v>
      </c>
      <c r="AE394" s="12">
        <v>20.896769824938268</v>
      </c>
      <c r="AF394" s="12">
        <v>36.923588531638103</v>
      </c>
      <c r="AG394" s="12">
        <v>554.34745714972382</v>
      </c>
      <c r="AH394" s="12">
        <v>98.757983239745187</v>
      </c>
      <c r="AI394" s="12">
        <v>1626.1899586855873</v>
      </c>
      <c r="AJ394" s="12">
        <v>1700.237594581017</v>
      </c>
      <c r="AK394" s="12">
        <v>2083.3351460699078</v>
      </c>
      <c r="AL394" s="12">
        <v>822.34610103381124</v>
      </c>
      <c r="AM394" s="12">
        <v>2518.3056624987053</v>
      </c>
      <c r="AN394" s="12">
        <v>3257.1678568787074</v>
      </c>
      <c r="AP394" s="12">
        <f t="shared" si="117"/>
        <v>1.3481909965067045</v>
      </c>
      <c r="AQ394" s="12">
        <f t="shared" si="118"/>
        <v>1.3956151860079347</v>
      </c>
      <c r="AR394" s="12">
        <f t="shared" si="105"/>
        <v>1.7401379625675275</v>
      </c>
      <c r="AS394" s="12">
        <f t="shared" si="106"/>
        <v>1.2537258925307531</v>
      </c>
      <c r="AT394" s="12">
        <f t="shared" si="107"/>
        <v>1.3211846042106083</v>
      </c>
      <c r="AU394" s="12">
        <f t="shared" si="119"/>
        <v>0.95213021722163915</v>
      </c>
      <c r="AV394" s="12">
        <f t="shared" si="120"/>
        <v>0.33075043163862805</v>
      </c>
      <c r="AW394" s="12">
        <f t="shared" si="121"/>
        <v>0.77215157557282166</v>
      </c>
      <c r="AX394" s="12">
        <f t="shared" si="122"/>
        <v>0.98165537644451106</v>
      </c>
      <c r="AY394" s="12">
        <f t="shared" si="123"/>
        <v>0.18800964417336999</v>
      </c>
      <c r="AZ394" s="12">
        <f t="shared" si="124"/>
        <v>0.49722915453624095</v>
      </c>
      <c r="BA394" s="12">
        <f t="shared" si="108"/>
        <v>0.61114610068850495</v>
      </c>
      <c r="BB394" s="12">
        <f t="shared" si="109"/>
        <v>0.19157319722087274</v>
      </c>
      <c r="BC394" s="12">
        <f t="shared" si="110"/>
        <v>0.93857999563591177</v>
      </c>
      <c r="BD394" s="12">
        <f t="shared" si="111"/>
        <v>0.69887177505587394</v>
      </c>
      <c r="BE394" s="12">
        <f t="shared" si="112"/>
        <v>0.5395956622821535</v>
      </c>
      <c r="BF394" s="12">
        <f t="shared" si="113"/>
        <v>0.57408799571250202</v>
      </c>
      <c r="BG394" s="12">
        <f t="shared" si="114"/>
        <v>0.82338229273774866</v>
      </c>
      <c r="BH394" s="12">
        <f t="shared" si="115"/>
        <v>0.42834478789488062</v>
      </c>
      <c r="BI394" s="12">
        <f t="shared" si="116"/>
        <v>0.56594634096934537</v>
      </c>
    </row>
    <row r="395" spans="1:61" x14ac:dyDescent="0.55000000000000004">
      <c r="A395" s="12" t="s">
        <v>952</v>
      </c>
      <c r="B395" s="12" t="s">
        <v>953</v>
      </c>
      <c r="C395" s="12" t="s">
        <v>322</v>
      </c>
      <c r="D395" s="12" t="s">
        <v>9</v>
      </c>
      <c r="E395" s="12">
        <v>2272</v>
      </c>
      <c r="F395" s="12">
        <v>71.467565022296782</v>
      </c>
      <c r="G395" s="12">
        <v>41.796280417697595</v>
      </c>
      <c r="H395" s="14">
        <f t="shared" si="125"/>
        <v>94961.14910900894</v>
      </c>
      <c r="I395" s="12">
        <v>46.841139683990662</v>
      </c>
      <c r="J395" s="12">
        <v>23.647205030026132</v>
      </c>
      <c r="K395" s="12">
        <v>30.632147687308851</v>
      </c>
      <c r="L395" s="12">
        <v>51.135842340468194</v>
      </c>
      <c r="M395" s="12">
        <v>35.732064813649686</v>
      </c>
      <c r="N395" s="12">
        <v>14.00588677202555</v>
      </c>
      <c r="O395" s="12">
        <v>18.049335278934532</v>
      </c>
      <c r="P395" s="12">
        <v>38.730187921197626</v>
      </c>
      <c r="Q395" s="12">
        <v>686.46870777347567</v>
      </c>
      <c r="R395" s="15">
        <v>561.8545334886951</v>
      </c>
      <c r="S395" s="15">
        <v>1418.6066002941643</v>
      </c>
      <c r="T395" s="15">
        <v>1432.9277340211481</v>
      </c>
      <c r="U395" s="12">
        <v>31.496725783945266</v>
      </c>
      <c r="V395" s="12">
        <v>10.723367582204357</v>
      </c>
      <c r="W395" s="12">
        <v>59.934708543887879</v>
      </c>
      <c r="X395" s="12">
        <v>64.698507767402276</v>
      </c>
      <c r="Y395" s="12">
        <v>34.106432114297448</v>
      </c>
      <c r="Z395" s="12">
        <v>22.30319965841959</v>
      </c>
      <c r="AA395" s="12">
        <v>48.256191631351896</v>
      </c>
      <c r="AB395" s="12">
        <v>56.457987926048297</v>
      </c>
      <c r="AC395" s="12">
        <v>40.919309295763306</v>
      </c>
      <c r="AD395" s="12">
        <v>34.30222908389603</v>
      </c>
      <c r="AE395" s="12">
        <v>32.824776923578753</v>
      </c>
      <c r="AF395" s="12">
        <v>60.85492934989454</v>
      </c>
      <c r="AG395" s="12">
        <v>980.92888172149355</v>
      </c>
      <c r="AH395" s="12">
        <v>48.818463677784464</v>
      </c>
      <c r="AI395" s="12">
        <v>2204.147341122633</v>
      </c>
      <c r="AJ395" s="12">
        <v>2341.9880064659642</v>
      </c>
      <c r="AK395" s="12">
        <v>2372.6289563128453</v>
      </c>
      <c r="AL395" s="12">
        <v>1088.2988839953759</v>
      </c>
      <c r="AM395" s="12">
        <v>2828.1031945912082</v>
      </c>
      <c r="AN395" s="12">
        <v>3687.6335642865206</v>
      </c>
      <c r="AP395" s="12">
        <f t="shared" si="117"/>
        <v>1.2234543798977862</v>
      </c>
      <c r="AQ395" s="12">
        <f t="shared" si="118"/>
        <v>0.92664197708842755</v>
      </c>
      <c r="AR395" s="12">
        <f t="shared" si="105"/>
        <v>1.5479489351881968</v>
      </c>
      <c r="AS395" s="12">
        <f t="shared" si="106"/>
        <v>1.3507897679369232</v>
      </c>
      <c r="AT395" s="12">
        <f t="shared" si="107"/>
        <v>1.4559891153406808</v>
      </c>
      <c r="AU395" s="12">
        <f t="shared" si="119"/>
        <v>0.91601384743243464</v>
      </c>
      <c r="AV395" s="12">
        <f t="shared" si="120"/>
        <v>0.46243894590765472</v>
      </c>
      <c r="AW395" s="12">
        <f t="shared" si="121"/>
        <v>0.59903477258390625</v>
      </c>
      <c r="AX395" s="12">
        <f t="shared" si="122"/>
        <v>0.92258950269882323</v>
      </c>
      <c r="AY395" s="12">
        <f t="shared" si="123"/>
        <v>0.36162713180020262</v>
      </c>
      <c r="AZ395" s="12">
        <f t="shared" si="124"/>
        <v>0.4660275678408432</v>
      </c>
      <c r="BA395" s="12">
        <f t="shared" si="108"/>
        <v>0.48682306394421337</v>
      </c>
      <c r="BB395" s="12">
        <f t="shared" si="109"/>
        <v>0.16574366167386667</v>
      </c>
      <c r="BC395" s="12">
        <f t="shared" si="110"/>
        <v>0.92636925660417491</v>
      </c>
      <c r="BD395" s="12">
        <f t="shared" si="111"/>
        <v>0.60410286245007316</v>
      </c>
      <c r="BE395" s="12">
        <f t="shared" si="112"/>
        <v>0.39504063955721408</v>
      </c>
      <c r="BF395" s="12">
        <f t="shared" si="113"/>
        <v>0.85472744254649047</v>
      </c>
      <c r="BG395" s="12">
        <f t="shared" si="114"/>
        <v>0.67240747352595875</v>
      </c>
      <c r="BH395" s="12">
        <f t="shared" si="115"/>
        <v>0.56367215360107015</v>
      </c>
      <c r="BI395" s="12">
        <f t="shared" si="116"/>
        <v>0.53939388763148133</v>
      </c>
    </row>
    <row r="396" spans="1:61" x14ac:dyDescent="0.55000000000000004">
      <c r="A396" s="12" t="s">
        <v>954</v>
      </c>
      <c r="B396" s="12" t="s">
        <v>955</v>
      </c>
      <c r="C396" s="12" t="s">
        <v>8</v>
      </c>
      <c r="D396" s="12" t="s">
        <v>9</v>
      </c>
      <c r="E396" s="12">
        <v>1704</v>
      </c>
      <c r="F396" s="12">
        <v>68.975625885919186</v>
      </c>
      <c r="G396" s="12">
        <v>40.70620694562912</v>
      </c>
      <c r="H396" s="14">
        <f t="shared" si="125"/>
        <v>69363.376635352019</v>
      </c>
      <c r="I396" s="12">
        <v>32.496686751941539</v>
      </c>
      <c r="J396" s="12">
        <v>19.509410772830812</v>
      </c>
      <c r="K396" s="12">
        <v>25.303299749506074</v>
      </c>
      <c r="L396" s="12">
        <v>38.153497642386085</v>
      </c>
      <c r="M396" s="12">
        <v>30.355562882555255</v>
      </c>
      <c r="N396" s="12">
        <v>13.586924587735322</v>
      </c>
      <c r="O396" s="12">
        <v>10.726409917722275</v>
      </c>
      <c r="P396" s="12">
        <v>32.779935453360878</v>
      </c>
      <c r="Q396" s="12">
        <v>294.47342980669896</v>
      </c>
      <c r="R396" s="15">
        <v>83.797457296059477</v>
      </c>
      <c r="S396" s="15">
        <v>1027.4356850027903</v>
      </c>
      <c r="T396" s="15">
        <v>1032.1592646896881</v>
      </c>
      <c r="U396" s="12">
        <v>37.557321739881154</v>
      </c>
      <c r="V396" s="12">
        <v>20.219634146389392</v>
      </c>
      <c r="W396" s="12">
        <v>31.896117634570682</v>
      </c>
      <c r="X396" s="12">
        <v>48.86988355477596</v>
      </c>
      <c r="Y396" s="12">
        <v>22.248364775325456</v>
      </c>
      <c r="Z396" s="12">
        <v>21.4972337976711</v>
      </c>
      <c r="AA396" s="12">
        <v>65.89519200006994</v>
      </c>
      <c r="AB396" s="12">
        <v>69.650042673246844</v>
      </c>
      <c r="AC396" s="12">
        <v>22.800295567127989</v>
      </c>
      <c r="AD396" s="12">
        <v>16.645516107588165</v>
      </c>
      <c r="AE396" s="12">
        <v>25.199946421016673</v>
      </c>
      <c r="AF396" s="12">
        <v>30.778242325220031</v>
      </c>
      <c r="AG396" s="12">
        <v>1096.1856795536162</v>
      </c>
      <c r="AH396" s="12">
        <v>439.9964182394873</v>
      </c>
      <c r="AI396" s="12">
        <v>1383.1244109211534</v>
      </c>
      <c r="AJ396" s="12">
        <v>1675.3544947668411</v>
      </c>
      <c r="AK396" s="12">
        <v>3137.2250180740321</v>
      </c>
      <c r="AL396" s="12">
        <v>2728.5391002480428</v>
      </c>
      <c r="AM396" s="12">
        <v>624.81624252019901</v>
      </c>
      <c r="AN396" s="12">
        <v>3202.8450266365021</v>
      </c>
      <c r="AP396" s="12">
        <f t="shared" si="117"/>
        <v>0.93728943336202597</v>
      </c>
      <c r="AQ396" s="12">
        <f t="shared" si="118"/>
        <v>0.80528101026815679</v>
      </c>
      <c r="AR396" s="12">
        <f t="shared" si="105"/>
        <v>1.2005511498541483</v>
      </c>
      <c r="AS396" s="12">
        <f t="shared" si="106"/>
        <v>1.7110423176071827</v>
      </c>
      <c r="AT396" s="12">
        <f t="shared" si="107"/>
        <v>0.75610686022232987</v>
      </c>
      <c r="AU396" s="12">
        <f t="shared" si="119"/>
        <v>0.851735457035525</v>
      </c>
      <c r="AV396" s="12">
        <f t="shared" si="120"/>
        <v>0.51134003376815207</v>
      </c>
      <c r="AW396" s="12">
        <f t="shared" si="121"/>
        <v>0.66319738197201961</v>
      </c>
      <c r="AX396" s="12">
        <f t="shared" si="122"/>
        <v>0.92604095959081412</v>
      </c>
      <c r="AY396" s="12">
        <f t="shared" si="123"/>
        <v>0.41448905862144625</v>
      </c>
      <c r="AZ396" s="12">
        <f t="shared" si="124"/>
        <v>0.32722486391053929</v>
      </c>
      <c r="BA396" s="12">
        <f t="shared" si="108"/>
        <v>0.76851670206631273</v>
      </c>
      <c r="BB396" s="12">
        <f t="shared" si="109"/>
        <v>0.41374426693131267</v>
      </c>
      <c r="BC396" s="12">
        <f t="shared" si="110"/>
        <v>0.65267431216241434</v>
      </c>
      <c r="BD396" s="12">
        <f t="shared" si="111"/>
        <v>0.31943074148138656</v>
      </c>
      <c r="BE396" s="12">
        <f t="shared" si="112"/>
        <v>0.30864638372904207</v>
      </c>
      <c r="BF396" s="12">
        <f t="shared" si="113"/>
        <v>0.94608975775087112</v>
      </c>
      <c r="BG396" s="12">
        <f t="shared" si="114"/>
        <v>0.74079264586350912</v>
      </c>
      <c r="BH396" s="12">
        <f t="shared" si="115"/>
        <v>0.54082088027322617</v>
      </c>
      <c r="BI396" s="12">
        <f t="shared" si="116"/>
        <v>0.81875846433139421</v>
      </c>
    </row>
    <row r="397" spans="1:61" x14ac:dyDescent="0.55000000000000004">
      <c r="A397" s="12" t="s">
        <v>956</v>
      </c>
      <c r="B397" s="12" t="s">
        <v>957</v>
      </c>
      <c r="C397" s="12" t="s">
        <v>8</v>
      </c>
      <c r="D397" s="12" t="s">
        <v>9</v>
      </c>
      <c r="E397" s="12">
        <v>1966</v>
      </c>
      <c r="F397" s="12">
        <v>70.432651319413381</v>
      </c>
      <c r="G397" s="12">
        <v>44.670370589782969</v>
      </c>
      <c r="H397" s="14">
        <f t="shared" si="125"/>
        <v>87821.948579513322</v>
      </c>
      <c r="I397" s="12">
        <v>33.21836654513676</v>
      </c>
      <c r="J397" s="12">
        <v>550.51363099735829</v>
      </c>
      <c r="K397" s="12">
        <v>25.204061013302042</v>
      </c>
      <c r="L397" s="12">
        <v>550.91612267245614</v>
      </c>
      <c r="M397" s="12">
        <v>31.012406093736701</v>
      </c>
      <c r="N397" s="12">
        <v>9.6076874568211217</v>
      </c>
      <c r="O397" s="12">
        <v>15.206376903664497</v>
      </c>
      <c r="P397" s="12">
        <v>35.647230900790809</v>
      </c>
      <c r="Q397" s="12">
        <v>609.22528976907529</v>
      </c>
      <c r="R397" s="15">
        <v>106.22738721466519</v>
      </c>
      <c r="S397" s="15">
        <v>895.16526919485432</v>
      </c>
      <c r="T397" s="15">
        <v>1056.9877804057942</v>
      </c>
      <c r="U397" s="12">
        <v>43.818909149510496</v>
      </c>
      <c r="V397" s="12">
        <v>8.3388678321233112</v>
      </c>
      <c r="W397" s="12">
        <v>61.765300641559193</v>
      </c>
      <c r="X397" s="12">
        <v>65.20390304578757</v>
      </c>
      <c r="Y397" s="12">
        <v>34.533885468733246</v>
      </c>
      <c r="Z397" s="12">
        <v>24.441489340895998</v>
      </c>
      <c r="AA397" s="12">
        <v>33.668450908995929</v>
      </c>
      <c r="AB397" s="12">
        <v>42.623216442825886</v>
      </c>
      <c r="AC397" s="12">
        <v>34.726839260418743</v>
      </c>
      <c r="AD397" s="12">
        <v>18.126498443478123</v>
      </c>
      <c r="AE397" s="12">
        <v>33.928053076164375</v>
      </c>
      <c r="AF397" s="12">
        <v>49.106040304616378</v>
      </c>
      <c r="AG397" s="12">
        <v>970.78541541779111</v>
      </c>
      <c r="AH397" s="12">
        <v>915.29911229379366</v>
      </c>
      <c r="AI397" s="12">
        <v>2262.5030846279224</v>
      </c>
      <c r="AJ397" s="12">
        <v>2381.9757739763595</v>
      </c>
      <c r="AK397" s="12">
        <v>964.00055696302627</v>
      </c>
      <c r="AL397" s="12">
        <v>1693.9728487171594</v>
      </c>
      <c r="AM397" s="12">
        <v>1326.6491981264721</v>
      </c>
      <c r="AN397" s="12">
        <v>1728.9657281184902</v>
      </c>
      <c r="AP397" s="12">
        <f t="shared" si="117"/>
        <v>12.332920354111904</v>
      </c>
      <c r="AQ397" s="12">
        <f t="shared" si="118"/>
        <v>0.79800616001480107</v>
      </c>
      <c r="AR397" s="12">
        <f t="shared" si="105"/>
        <v>1.4596678331721975</v>
      </c>
      <c r="AS397" s="12">
        <f t="shared" si="106"/>
        <v>0.95417199096563332</v>
      </c>
      <c r="AT397" s="12">
        <f t="shared" si="107"/>
        <v>1.0992978042552424</v>
      </c>
      <c r="AU397" s="12">
        <f t="shared" si="119"/>
        <v>6.0296595394588842E-2</v>
      </c>
      <c r="AV397" s="12">
        <f t="shared" si="120"/>
        <v>0.99926941387530033</v>
      </c>
      <c r="AW397" s="12">
        <f t="shared" si="121"/>
        <v>4.5749361792206913E-2</v>
      </c>
      <c r="AX397" s="12">
        <f t="shared" si="122"/>
        <v>0.86998078981357041</v>
      </c>
      <c r="AY397" s="12">
        <f t="shared" si="123"/>
        <v>0.26952128437577971</v>
      </c>
      <c r="AZ397" s="12">
        <f t="shared" si="124"/>
        <v>0.42657947109510697</v>
      </c>
      <c r="BA397" s="12">
        <f t="shared" si="108"/>
        <v>0.67202892929185432</v>
      </c>
      <c r="BB397" s="12">
        <f t="shared" si="109"/>
        <v>0.12788909010964544</v>
      </c>
      <c r="BC397" s="12">
        <f t="shared" si="110"/>
        <v>0.94726385624778142</v>
      </c>
      <c r="BD397" s="12">
        <f t="shared" si="111"/>
        <v>0.81021303296189429</v>
      </c>
      <c r="BE397" s="12">
        <f t="shared" si="112"/>
        <v>0.57343136864580435</v>
      </c>
      <c r="BF397" s="12">
        <f t="shared" si="113"/>
        <v>0.78990873328760303</v>
      </c>
      <c r="BG397" s="12">
        <f t="shared" si="114"/>
        <v>0.7071806043614991</v>
      </c>
      <c r="BH397" s="12">
        <f t="shared" si="115"/>
        <v>0.36912971054141541</v>
      </c>
      <c r="BI397" s="12">
        <f t="shared" si="116"/>
        <v>0.69091404775666376</v>
      </c>
    </row>
    <row r="398" spans="1:61" x14ac:dyDescent="0.55000000000000004">
      <c r="A398" s="12" t="s">
        <v>958</v>
      </c>
      <c r="B398" s="12" t="s">
        <v>959</v>
      </c>
      <c r="C398" s="12" t="s">
        <v>322</v>
      </c>
      <c r="D398" s="12" t="s">
        <v>9</v>
      </c>
      <c r="E398" s="12">
        <v>2148</v>
      </c>
      <c r="F398" s="12">
        <v>68.743418844204072</v>
      </c>
      <c r="G398" s="12">
        <v>47.397939333352632</v>
      </c>
      <c r="H398" s="14">
        <f t="shared" si="125"/>
        <v>101810.77368804146</v>
      </c>
      <c r="I398" s="12">
        <v>34.05002169257115</v>
      </c>
      <c r="J398" s="12">
        <v>12.040210996996022</v>
      </c>
      <c r="K398" s="12">
        <v>27.949740148492076</v>
      </c>
      <c r="L398" s="12">
        <v>43.797017346217608</v>
      </c>
      <c r="M398" s="12">
        <v>39.311516912630459</v>
      </c>
      <c r="N398" s="12">
        <v>18.773233283330626</v>
      </c>
      <c r="O398" s="12">
        <v>11.783386118208718</v>
      </c>
      <c r="P398" s="12">
        <v>44.466934827952684</v>
      </c>
      <c r="Q398" s="12">
        <v>531.00617894901075</v>
      </c>
      <c r="R398" s="15">
        <v>122.94589970532709</v>
      </c>
      <c r="S398" s="15">
        <v>1144.5809728511458</v>
      </c>
      <c r="T398" s="15">
        <v>1198.9477669535941</v>
      </c>
      <c r="U398" s="12">
        <v>51.422088093843357</v>
      </c>
      <c r="V398" s="12">
        <v>24.384591184872416</v>
      </c>
      <c r="W398" s="12">
        <v>72.382048350336305</v>
      </c>
      <c r="X398" s="12">
        <v>72.930971515042771</v>
      </c>
      <c r="Y398" s="12">
        <v>38.075992815866826</v>
      </c>
      <c r="Z398" s="12">
        <v>26.579933804377163</v>
      </c>
      <c r="AA398" s="12">
        <v>64.044422432579125</v>
      </c>
      <c r="AB398" s="12">
        <v>70.635379284471526</v>
      </c>
      <c r="AC398" s="12">
        <v>49.651659595107418</v>
      </c>
      <c r="AD398" s="12">
        <v>21.276470267246435</v>
      </c>
      <c r="AE398" s="12">
        <v>40.046358932853572</v>
      </c>
      <c r="AF398" s="12">
        <v>58.43533576666939</v>
      </c>
      <c r="AG398" s="12">
        <v>914.36615586315713</v>
      </c>
      <c r="AH398" s="12">
        <v>864.93151646130423</v>
      </c>
      <c r="AI398" s="12">
        <v>2534.658015297603</v>
      </c>
      <c r="AJ398" s="12">
        <v>2580.9771794355706</v>
      </c>
      <c r="AK398" s="12">
        <v>715.51692020376458</v>
      </c>
      <c r="AL398" s="12">
        <v>3717.7736287681209</v>
      </c>
      <c r="AM398" s="12">
        <v>1195.3630776607802</v>
      </c>
      <c r="AN398" s="12">
        <v>3767.8979335775757</v>
      </c>
      <c r="AP398" s="12">
        <f t="shared" si="117"/>
        <v>0.92402787889554616</v>
      </c>
      <c r="AQ398" s="12">
        <f t="shared" si="118"/>
        <v>0.93816177355758001</v>
      </c>
      <c r="AR398" s="12">
        <f t="shared" si="105"/>
        <v>1.5386949842294777</v>
      </c>
      <c r="AS398" s="12">
        <f t="shared" si="106"/>
        <v>1.4902626628488751</v>
      </c>
      <c r="AT398" s="12">
        <f t="shared" si="107"/>
        <v>1.2328665884752936</v>
      </c>
      <c r="AU398" s="12">
        <f t="shared" si="119"/>
        <v>0.77745069769030228</v>
      </c>
      <c r="AV398" s="12">
        <f t="shared" si="120"/>
        <v>0.27490938256862457</v>
      </c>
      <c r="AW398" s="12">
        <f t="shared" si="121"/>
        <v>0.63816537842173093</v>
      </c>
      <c r="AX398" s="12">
        <f t="shared" si="122"/>
        <v>0.88406176555076066</v>
      </c>
      <c r="AY398" s="12">
        <f t="shared" si="123"/>
        <v>0.42218410951792085</v>
      </c>
      <c r="AZ398" s="12">
        <f t="shared" si="124"/>
        <v>0.26499209274936297</v>
      </c>
      <c r="BA398" s="12">
        <f t="shared" si="108"/>
        <v>0.70507888522007445</v>
      </c>
      <c r="BB398" s="12">
        <f t="shared" si="109"/>
        <v>0.33435165716725496</v>
      </c>
      <c r="BC398" s="12">
        <f t="shared" si="110"/>
        <v>0.99247338746072722</v>
      </c>
      <c r="BD398" s="12">
        <f t="shared" si="111"/>
        <v>0.53904988125741471</v>
      </c>
      <c r="BE398" s="12">
        <f t="shared" si="112"/>
        <v>0.37629774305212083</v>
      </c>
      <c r="BF398" s="12">
        <f t="shared" si="113"/>
        <v>0.90669043022550377</v>
      </c>
      <c r="BG398" s="12">
        <f t="shared" si="114"/>
        <v>0.84968553604902797</v>
      </c>
      <c r="BH398" s="12">
        <f t="shared" si="115"/>
        <v>0.36410281532740341</v>
      </c>
      <c r="BI398" s="12">
        <f t="shared" si="116"/>
        <v>0.6853106670381347</v>
      </c>
    </row>
    <row r="399" spans="1:61" x14ac:dyDescent="0.55000000000000004">
      <c r="A399" s="12" t="s">
        <v>960</v>
      </c>
      <c r="B399" s="12" t="s">
        <v>961</v>
      </c>
      <c r="C399" s="12" t="s">
        <v>322</v>
      </c>
      <c r="D399" s="12" t="s">
        <v>9</v>
      </c>
      <c r="E399" s="12">
        <v>2338</v>
      </c>
      <c r="F399" s="12">
        <v>66.539051806514337</v>
      </c>
      <c r="G399" s="12">
        <v>27.898498838890063</v>
      </c>
      <c r="H399" s="14">
        <f t="shared" si="125"/>
        <v>65226.69028532497</v>
      </c>
      <c r="I399" s="12">
        <v>21.977768119352692</v>
      </c>
      <c r="J399" s="12">
        <v>9.1112801529452589</v>
      </c>
      <c r="K399" s="12">
        <v>17.605606895660255</v>
      </c>
      <c r="L399" s="12">
        <v>29.273602707204525</v>
      </c>
      <c r="M399" s="12">
        <v>28.4773300428452</v>
      </c>
      <c r="N399" s="12">
        <v>12.379252622266286</v>
      </c>
      <c r="O399" s="12">
        <v>7.04787247157621</v>
      </c>
      <c r="P399" s="12">
        <v>29.467038978471098</v>
      </c>
      <c r="Q399" s="12">
        <v>428.83363433033327</v>
      </c>
      <c r="R399" s="15">
        <v>135.84923785351569</v>
      </c>
      <c r="S399" s="15">
        <v>764.67784488053644</v>
      </c>
      <c r="T399" s="15">
        <v>772.43508123313165</v>
      </c>
      <c r="U399" s="12">
        <v>30.355231044436646</v>
      </c>
      <c r="V399" s="12">
        <v>14.126840829938216</v>
      </c>
      <c r="W399" s="12">
        <v>33.608877864180137</v>
      </c>
      <c r="X399" s="12">
        <v>41.559647997909138</v>
      </c>
      <c r="Y399" s="12">
        <v>19.929249564115882</v>
      </c>
      <c r="Z399" s="12">
        <v>22.693396936770537</v>
      </c>
      <c r="AA399" s="12">
        <v>22.119745675335501</v>
      </c>
      <c r="AB399" s="12">
        <v>33.706009574110809</v>
      </c>
      <c r="AC399" s="12">
        <v>25.806740193155633</v>
      </c>
      <c r="AD399" s="12">
        <v>13.298284926451203</v>
      </c>
      <c r="AE399" s="12">
        <v>20.753088028400445</v>
      </c>
      <c r="AF399" s="12">
        <v>32.607908749477211</v>
      </c>
      <c r="AG399" s="12">
        <v>674.72395911459841</v>
      </c>
      <c r="AH399" s="12">
        <v>246.65953021089308</v>
      </c>
      <c r="AI399" s="12">
        <v>1073.9182674981857</v>
      </c>
      <c r="AJ399" s="12">
        <v>1258.6026465335183</v>
      </c>
      <c r="AK399" s="12">
        <v>517.88160505041026</v>
      </c>
      <c r="AL399" s="12">
        <v>1707.1878720631994</v>
      </c>
      <c r="AM399" s="12">
        <v>586.96664778502009</v>
      </c>
      <c r="AN399" s="12">
        <v>1708.2732942063947</v>
      </c>
      <c r="AP399" s="12">
        <f t="shared" si="117"/>
        <v>1.0492895290264719</v>
      </c>
      <c r="AQ399" s="12">
        <f t="shared" si="118"/>
        <v>1.0562231017747277</v>
      </c>
      <c r="AR399" s="12">
        <f t="shared" si="105"/>
        <v>1.4896732701608895</v>
      </c>
      <c r="AS399" s="12">
        <f t="shared" si="106"/>
        <v>1.2081657070066139</v>
      </c>
      <c r="AT399" s="12">
        <f t="shared" si="107"/>
        <v>1.1688051367130301</v>
      </c>
      <c r="AU399" s="12">
        <f t="shared" si="119"/>
        <v>0.75077086818370142</v>
      </c>
      <c r="AV399" s="12">
        <f t="shared" si="120"/>
        <v>0.31124560390043426</v>
      </c>
      <c r="AW399" s="12">
        <f t="shared" si="121"/>
        <v>0.60141578990984057</v>
      </c>
      <c r="AX399" s="12">
        <f t="shared" si="122"/>
        <v>0.96641301705444549</v>
      </c>
      <c r="AY399" s="12">
        <f t="shared" si="123"/>
        <v>0.42010507507424438</v>
      </c>
      <c r="AZ399" s="12">
        <f t="shared" si="124"/>
        <v>0.23917817045429821</v>
      </c>
      <c r="BA399" s="12">
        <f t="shared" si="108"/>
        <v>0.73040154348669684</v>
      </c>
      <c r="BB399" s="12">
        <f t="shared" si="109"/>
        <v>0.3399172396900218</v>
      </c>
      <c r="BC399" s="12">
        <f t="shared" si="110"/>
        <v>0.80869014737254263</v>
      </c>
      <c r="BD399" s="12">
        <f t="shared" si="111"/>
        <v>0.59126695256810535</v>
      </c>
      <c r="BE399" s="12">
        <f t="shared" si="112"/>
        <v>0.67327450574870396</v>
      </c>
      <c r="BF399" s="12">
        <f t="shared" si="113"/>
        <v>0.65625524809455404</v>
      </c>
      <c r="BG399" s="12">
        <f t="shared" si="114"/>
        <v>0.79142579769300236</v>
      </c>
      <c r="BH399" s="12">
        <f t="shared" si="115"/>
        <v>0.40782391255509165</v>
      </c>
      <c r="BI399" s="12">
        <f t="shared" si="116"/>
        <v>0.63644339132092209</v>
      </c>
    </row>
    <row r="400" spans="1:61" x14ac:dyDescent="0.55000000000000004">
      <c r="A400" s="12" t="s">
        <v>962</v>
      </c>
      <c r="B400" s="12" t="s">
        <v>963</v>
      </c>
      <c r="C400" s="12" t="s">
        <v>322</v>
      </c>
      <c r="D400" s="12" t="s">
        <v>9</v>
      </c>
      <c r="E400" s="12">
        <v>2567</v>
      </c>
      <c r="F400" s="12">
        <v>67.253067645970788</v>
      </c>
      <c r="G400" s="12">
        <v>31.241883533937447</v>
      </c>
      <c r="H400" s="14">
        <f t="shared" si="125"/>
        <v>80197.91503161742</v>
      </c>
      <c r="I400" s="12">
        <v>20.052558825295716</v>
      </c>
      <c r="J400" s="12">
        <v>19.618313613612564</v>
      </c>
      <c r="K400" s="12">
        <v>27.046006458094464</v>
      </c>
      <c r="L400" s="12">
        <v>35.861086163732523</v>
      </c>
      <c r="M400" s="12">
        <v>23.788762247396281</v>
      </c>
      <c r="N400" s="12">
        <v>12.788868760569896</v>
      </c>
      <c r="O400" s="12">
        <v>17.085285385508236</v>
      </c>
      <c r="P400" s="12">
        <v>30.163753417004568</v>
      </c>
      <c r="Q400" s="12">
        <v>327.9898888216544</v>
      </c>
      <c r="R400" s="15">
        <v>48.747078377046591</v>
      </c>
      <c r="S400" s="15">
        <v>1030.4508958032688</v>
      </c>
      <c r="T400" s="15">
        <v>1042.2086109863997</v>
      </c>
      <c r="U400" s="12">
        <v>31.296394336538896</v>
      </c>
      <c r="V400" s="12">
        <v>14.541560313941206</v>
      </c>
      <c r="W400" s="12">
        <v>35.024747893131</v>
      </c>
      <c r="X400" s="12">
        <v>42.532851506457035</v>
      </c>
      <c r="Y400" s="12">
        <v>21.362151564067439</v>
      </c>
      <c r="Z400" s="12">
        <v>24.604610353090109</v>
      </c>
      <c r="AA400" s="12">
        <v>5.9623783008429827</v>
      </c>
      <c r="AB400" s="12">
        <v>32.292475212848409</v>
      </c>
      <c r="AC400" s="12">
        <v>29.826071261430897</v>
      </c>
      <c r="AD400" s="12">
        <v>13.801363406421292</v>
      </c>
      <c r="AE400" s="12">
        <v>18.41752929333374</v>
      </c>
      <c r="AF400" s="12">
        <v>36.940641258546229</v>
      </c>
      <c r="AG400" s="12">
        <v>767.23816470688303</v>
      </c>
      <c r="AH400" s="12">
        <v>304.3514336595461</v>
      </c>
      <c r="AI400" s="12">
        <v>1061.0705426644697</v>
      </c>
      <c r="AJ400" s="12">
        <v>1306.4618898409062</v>
      </c>
      <c r="AK400" s="12">
        <v>572.18379044112169</v>
      </c>
      <c r="AL400" s="12">
        <v>1383.7940007933912</v>
      </c>
      <c r="AM400" s="12">
        <v>710.12762755109065</v>
      </c>
      <c r="AN400" s="12">
        <v>1415.2025480678717</v>
      </c>
      <c r="AP400" s="12">
        <f t="shared" si="117"/>
        <v>1.1478528855271266</v>
      </c>
      <c r="AQ400" s="12">
        <f t="shared" si="118"/>
        <v>0.96549087330916761</v>
      </c>
      <c r="AR400" s="12">
        <f t="shared" si="105"/>
        <v>1.361404841684863</v>
      </c>
      <c r="AS400" s="12">
        <f t="shared" si="106"/>
        <v>1.0336276677355167</v>
      </c>
      <c r="AT400" s="12">
        <f t="shared" si="107"/>
        <v>1.1824076233565859</v>
      </c>
      <c r="AU400" s="12">
        <f t="shared" si="119"/>
        <v>0.55917321449051693</v>
      </c>
      <c r="AV400" s="12">
        <f t="shared" si="120"/>
        <v>0.54706412192983711</v>
      </c>
      <c r="AW400" s="12">
        <f t="shared" si="121"/>
        <v>0.7541881563377455</v>
      </c>
      <c r="AX400" s="12">
        <f t="shared" si="122"/>
        <v>0.78865391579502708</v>
      </c>
      <c r="AY400" s="12">
        <f t="shared" si="123"/>
        <v>0.42398134554966482</v>
      </c>
      <c r="AZ400" s="12">
        <f t="shared" si="124"/>
        <v>0.5664177514419193</v>
      </c>
      <c r="BA400" s="12">
        <f t="shared" si="108"/>
        <v>0.73581697977121752</v>
      </c>
      <c r="BB400" s="12">
        <f t="shared" si="109"/>
        <v>0.34189008728308773</v>
      </c>
      <c r="BC400" s="12">
        <f t="shared" si="110"/>
        <v>0.82347518806289743</v>
      </c>
      <c r="BD400" s="12">
        <f t="shared" si="111"/>
        <v>0.66152103309714538</v>
      </c>
      <c r="BE400" s="12">
        <f t="shared" si="112"/>
        <v>0.76193014598337505</v>
      </c>
      <c r="BF400" s="12">
        <f t="shared" si="113"/>
        <v>0.18463676944995205</v>
      </c>
      <c r="BG400" s="12">
        <f t="shared" si="114"/>
        <v>0.80740534666627173</v>
      </c>
      <c r="BH400" s="12">
        <f t="shared" si="115"/>
        <v>0.37360919941335186</v>
      </c>
      <c r="BI400" s="12">
        <f t="shared" si="116"/>
        <v>0.49857091446870427</v>
      </c>
    </row>
    <row r="401" spans="1:61" x14ac:dyDescent="0.55000000000000004">
      <c r="A401" s="12" t="s">
        <v>964</v>
      </c>
      <c r="B401" s="12" t="s">
        <v>965</v>
      </c>
      <c r="C401" s="12" t="s">
        <v>322</v>
      </c>
      <c r="D401" s="12" t="s">
        <v>9</v>
      </c>
      <c r="E401" s="12">
        <v>3251</v>
      </c>
      <c r="F401" s="12">
        <v>69.256741300053321</v>
      </c>
      <c r="G401" s="12">
        <v>45.462536145804144</v>
      </c>
      <c r="H401" s="14">
        <f t="shared" si="125"/>
        <v>147798.70501000926</v>
      </c>
      <c r="I401" s="12">
        <v>40.81041383901082</v>
      </c>
      <c r="J401" s="12">
        <v>6.8376246458488588</v>
      </c>
      <c r="K401" s="12">
        <v>21.779135252053301</v>
      </c>
      <c r="L401" s="12">
        <v>43.502457831097225</v>
      </c>
      <c r="M401" s="12">
        <v>29.534589010128023</v>
      </c>
      <c r="N401" s="12">
        <v>7.6337865993123595</v>
      </c>
      <c r="O401" s="12">
        <v>8.8307620443524542</v>
      </c>
      <c r="P401" s="12">
        <v>30.048836654323821</v>
      </c>
      <c r="Q401" s="12">
        <v>329.35734224048974</v>
      </c>
      <c r="R401" s="15">
        <v>84.463838177383735</v>
      </c>
      <c r="S401" s="15">
        <v>922.89062554662166</v>
      </c>
      <c r="T401" s="15">
        <v>924.93758026761782</v>
      </c>
      <c r="U401" s="12">
        <v>37.541666207053751</v>
      </c>
      <c r="V401" s="12">
        <v>7.1863654772347951</v>
      </c>
      <c r="W401" s="12">
        <v>40.096056776385062</v>
      </c>
      <c r="X401" s="12">
        <v>42.702236326310612</v>
      </c>
      <c r="Y401" s="12">
        <v>25.537821421518089</v>
      </c>
      <c r="Z401" s="12">
        <v>14.682455890522153</v>
      </c>
      <c r="AA401" s="12">
        <v>12.426295590290493</v>
      </c>
      <c r="AB401" s="12">
        <v>30.073672221347884</v>
      </c>
      <c r="AC401" s="12">
        <v>24.811324356691934</v>
      </c>
      <c r="AD401" s="12">
        <v>13.937554326062978</v>
      </c>
      <c r="AE401" s="12">
        <v>20.467831744888336</v>
      </c>
      <c r="AF401" s="12">
        <v>34.289940361510006</v>
      </c>
      <c r="AG401" s="12">
        <v>592.89486662769195</v>
      </c>
      <c r="AH401" s="12">
        <v>56.138316394304447</v>
      </c>
      <c r="AI401" s="12">
        <v>1422.5959753092529</v>
      </c>
      <c r="AJ401" s="12">
        <v>1491.3096548072976</v>
      </c>
      <c r="AK401" s="12">
        <v>1563.3141474519</v>
      </c>
      <c r="AL401" s="12">
        <v>1212.7552675357033</v>
      </c>
      <c r="AM401" s="12">
        <v>1795.4165805759558</v>
      </c>
      <c r="AN401" s="12">
        <v>2365.51236073464</v>
      </c>
      <c r="AP401" s="12">
        <f t="shared" si="117"/>
        <v>0.95688585633628753</v>
      </c>
      <c r="AQ401" s="12">
        <f t="shared" si="118"/>
        <v>0.66095821310877545</v>
      </c>
      <c r="AR401" s="12">
        <f t="shared" si="105"/>
        <v>0.9392840775393414</v>
      </c>
      <c r="AS401" s="12">
        <f t="shared" si="106"/>
        <v>0.66150449954876667</v>
      </c>
      <c r="AT401" s="12">
        <f t="shared" si="107"/>
        <v>0.75424609510428098</v>
      </c>
      <c r="AU401" s="12">
        <f t="shared" si="119"/>
        <v>0.9381174276971076</v>
      </c>
      <c r="AV401" s="12">
        <f t="shared" si="120"/>
        <v>0.15717789262382922</v>
      </c>
      <c r="AW401" s="12">
        <f t="shared" si="121"/>
        <v>0.50064148873181002</v>
      </c>
      <c r="AX401" s="12">
        <f t="shared" si="122"/>
        <v>0.98288627110221916</v>
      </c>
      <c r="AY401" s="12">
        <f t="shared" si="123"/>
        <v>0.2540459947627926</v>
      </c>
      <c r="AZ401" s="12">
        <f t="shared" si="124"/>
        <v>0.29388033040812472</v>
      </c>
      <c r="BA401" s="12">
        <f t="shared" si="108"/>
        <v>0.87914988620684442</v>
      </c>
      <c r="BB401" s="12">
        <f t="shared" si="109"/>
        <v>0.16829014345571824</v>
      </c>
      <c r="BC401" s="12">
        <f t="shared" si="110"/>
        <v>0.93896854651802453</v>
      </c>
      <c r="BD401" s="12">
        <f t="shared" si="111"/>
        <v>0.84917535954887446</v>
      </c>
      <c r="BE401" s="12">
        <f t="shared" si="112"/>
        <v>0.48821626379567201</v>
      </c>
      <c r="BF401" s="12">
        <f t="shared" si="113"/>
        <v>0.41319515285099273</v>
      </c>
      <c r="BG401" s="12">
        <f t="shared" si="114"/>
        <v>0.72357443889118889</v>
      </c>
      <c r="BH401" s="12">
        <f t="shared" si="115"/>
        <v>0.40646190046185365</v>
      </c>
      <c r="BI401" s="12">
        <f t="shared" si="116"/>
        <v>0.59690485107589164</v>
      </c>
    </row>
    <row r="402" spans="1:61" x14ac:dyDescent="0.55000000000000004">
      <c r="A402" s="12" t="s">
        <v>966</v>
      </c>
      <c r="B402" s="12" t="s">
        <v>967</v>
      </c>
      <c r="C402" s="12" t="s">
        <v>515</v>
      </c>
      <c r="D402" s="12" t="s">
        <v>9</v>
      </c>
      <c r="E402" s="12">
        <v>3250</v>
      </c>
      <c r="F402" s="12">
        <v>69.615045069089021</v>
      </c>
      <c r="G402" s="12">
        <v>56.049164985760065</v>
      </c>
      <c r="H402" s="14">
        <f t="shared" si="125"/>
        <v>182159.7862037202</v>
      </c>
      <c r="I402" s="12">
        <v>38.865976709259783</v>
      </c>
      <c r="J402" s="12">
        <v>7.595979952740187</v>
      </c>
      <c r="K402" s="12">
        <v>21.577438953655694</v>
      </c>
      <c r="L402" s="12">
        <v>40.669714065221626</v>
      </c>
      <c r="M402" s="12">
        <v>28.090496677232341</v>
      </c>
      <c r="N402" s="12">
        <v>8.6552229477910121</v>
      </c>
      <c r="O402" s="12">
        <v>11.009988216828946</v>
      </c>
      <c r="P402" s="12">
        <v>29.283912414237598</v>
      </c>
      <c r="Q402" s="12">
        <v>283.75510231061435</v>
      </c>
      <c r="R402" s="15">
        <v>54.380320363766771</v>
      </c>
      <c r="S402" s="15">
        <v>998.07968738064869</v>
      </c>
      <c r="T402" s="15">
        <v>1025.3155420525152</v>
      </c>
      <c r="U402" s="12">
        <v>36.560440426780382</v>
      </c>
      <c r="V402" s="12">
        <v>17.417081543196492</v>
      </c>
      <c r="W402" s="12">
        <v>35.104528112946895</v>
      </c>
      <c r="X402" s="12">
        <v>46.198321116065685</v>
      </c>
      <c r="Y402" s="12">
        <v>21.130873225155071</v>
      </c>
      <c r="Z402" s="12">
        <v>21.794161237189076</v>
      </c>
      <c r="AA402" s="12">
        <v>15.034033077261498</v>
      </c>
      <c r="AB402" s="12">
        <v>30.35627332031558</v>
      </c>
      <c r="AC402" s="12">
        <v>22.089006652603061</v>
      </c>
      <c r="AD402" s="12">
        <v>12.248522205486442</v>
      </c>
      <c r="AE402" s="12">
        <v>22.041442866372321</v>
      </c>
      <c r="AF402" s="12">
        <v>29.321384045169864</v>
      </c>
      <c r="AG402" s="12">
        <v>952.2730930015199</v>
      </c>
      <c r="AH402" s="12">
        <v>247.55169968173121</v>
      </c>
      <c r="AI402" s="12">
        <v>1587.0519747911876</v>
      </c>
      <c r="AJ402" s="12">
        <v>1835.3699314321432</v>
      </c>
      <c r="AK402" s="12">
        <v>1034.4293741523206</v>
      </c>
      <c r="AL402" s="12">
        <v>2096.3209509246549</v>
      </c>
      <c r="AM402" s="12">
        <v>640.43953529785335</v>
      </c>
      <c r="AN402" s="12">
        <v>2278.3810450834685</v>
      </c>
      <c r="AP402" s="12">
        <f t="shared" si="117"/>
        <v>0.72560784938641343</v>
      </c>
      <c r="AQ402" s="12">
        <f t="shared" si="118"/>
        <v>0.52246830834460267</v>
      </c>
      <c r="AR402" s="12">
        <f t="shared" si="105"/>
        <v>0.82424637597728534</v>
      </c>
      <c r="AS402" s="12">
        <f t="shared" si="106"/>
        <v>0.54160081292964735</v>
      </c>
      <c r="AT402" s="12">
        <f t="shared" si="107"/>
        <v>0.52313685766093565</v>
      </c>
      <c r="AU402" s="12">
        <f t="shared" si="119"/>
        <v>0.95564912620066111</v>
      </c>
      <c r="AV402" s="12">
        <f t="shared" si="120"/>
        <v>0.18677239629859674</v>
      </c>
      <c r="AW402" s="12">
        <f t="shared" si="121"/>
        <v>0.53055300361965085</v>
      </c>
      <c r="AX402" s="12">
        <f t="shared" si="122"/>
        <v>0.95924671129582306</v>
      </c>
      <c r="AY402" s="12">
        <f t="shared" si="123"/>
        <v>0.29556238337821672</v>
      </c>
      <c r="AZ402" s="12">
        <f t="shared" si="124"/>
        <v>0.37597394982905291</v>
      </c>
      <c r="BA402" s="12">
        <f t="shared" si="108"/>
        <v>0.79138028273642858</v>
      </c>
      <c r="BB402" s="12">
        <f t="shared" si="109"/>
        <v>0.37700680722658597</v>
      </c>
      <c r="BC402" s="12">
        <f t="shared" si="110"/>
        <v>0.75986588397341415</v>
      </c>
      <c r="BD402" s="12">
        <f t="shared" si="111"/>
        <v>0.69609576255243033</v>
      </c>
      <c r="BE402" s="12">
        <f t="shared" si="112"/>
        <v>0.71794587587283287</v>
      </c>
      <c r="BF402" s="12">
        <f t="shared" si="113"/>
        <v>0.49525292247254038</v>
      </c>
      <c r="BG402" s="12">
        <f t="shared" si="114"/>
        <v>0.75334120035311913</v>
      </c>
      <c r="BH402" s="12">
        <f t="shared" si="115"/>
        <v>0.41773342576931155</v>
      </c>
      <c r="BI402" s="12">
        <f t="shared" si="116"/>
        <v>0.75171904683685031</v>
      </c>
    </row>
    <row r="403" spans="1:61" x14ac:dyDescent="0.55000000000000004">
      <c r="A403" s="12" t="s">
        <v>968</v>
      </c>
      <c r="B403" s="12" t="s">
        <v>969</v>
      </c>
      <c r="C403" s="12" t="s">
        <v>322</v>
      </c>
      <c r="D403" s="12" t="s">
        <v>9</v>
      </c>
      <c r="E403" s="12">
        <v>2512</v>
      </c>
      <c r="F403" s="12">
        <v>65.46646858387146</v>
      </c>
      <c r="G403" s="12">
        <v>29.69762568570048</v>
      </c>
      <c r="H403" s="14">
        <f t="shared" si="125"/>
        <v>74600.435722479611</v>
      </c>
      <c r="I403" s="12">
        <v>25.215808118019865</v>
      </c>
      <c r="J403" s="12">
        <v>24.692137168943631</v>
      </c>
      <c r="K403" s="12">
        <v>25.176108573173174</v>
      </c>
      <c r="L403" s="12">
        <v>36.278179815082147</v>
      </c>
      <c r="M403" s="12">
        <v>30.201746293005773</v>
      </c>
      <c r="N403" s="12">
        <v>19.178131394378696</v>
      </c>
      <c r="O403" s="12">
        <v>9.4782342499052277</v>
      </c>
      <c r="P403" s="12">
        <v>35.105580879140909</v>
      </c>
      <c r="Q403" s="12">
        <v>380.64687608480057</v>
      </c>
      <c r="R403" s="15">
        <v>27.072968820552692</v>
      </c>
      <c r="S403" s="15">
        <v>1114.1040951981854</v>
      </c>
      <c r="T403" s="15">
        <v>1135.3262415121026</v>
      </c>
      <c r="U403" s="12">
        <v>30.19611016357624</v>
      </c>
      <c r="V403" s="12">
        <v>6.0557484473345999</v>
      </c>
      <c r="W403" s="12">
        <v>49.724139288408757</v>
      </c>
      <c r="X403" s="12">
        <v>54.293814584098925</v>
      </c>
      <c r="Y403" s="12">
        <v>33.410624067430732</v>
      </c>
      <c r="Z403" s="12">
        <v>13.407228189264087</v>
      </c>
      <c r="AA403" s="12">
        <v>13.080275584187735</v>
      </c>
      <c r="AB403" s="12">
        <v>35.345465536284969</v>
      </c>
      <c r="AC403" s="12">
        <v>38.139638781944889</v>
      </c>
      <c r="AD403" s="12">
        <v>12.622847024483246</v>
      </c>
      <c r="AE403" s="12">
        <v>26.561871726852758</v>
      </c>
      <c r="AF403" s="12">
        <v>43.886622266091273</v>
      </c>
      <c r="AG403" s="12">
        <v>722.95548657868608</v>
      </c>
      <c r="AH403" s="12">
        <v>136.0676626762602</v>
      </c>
      <c r="AI403" s="12">
        <v>1790.9162221746926</v>
      </c>
      <c r="AJ403" s="12">
        <v>1929.2470055865881</v>
      </c>
      <c r="AK403" s="12">
        <v>844.11384972202654</v>
      </c>
      <c r="AL403" s="12">
        <v>1777.8383067857535</v>
      </c>
      <c r="AM403" s="12">
        <v>927.33221287733659</v>
      </c>
      <c r="AN403" s="12">
        <v>1778.5696365220829</v>
      </c>
      <c r="AP403" s="12">
        <f t="shared" si="117"/>
        <v>1.2215851933425852</v>
      </c>
      <c r="AQ403" s="12">
        <f t="shared" si="118"/>
        <v>1.1821005911608746</v>
      </c>
      <c r="AR403" s="12">
        <f t="shared" si="105"/>
        <v>1.8282207190132915</v>
      </c>
      <c r="AS403" s="12">
        <f t="shared" si="106"/>
        <v>1.1901781613909945</v>
      </c>
      <c r="AT403" s="12">
        <f t="shared" si="107"/>
        <v>1.4777821880630291</v>
      </c>
      <c r="AU403" s="12">
        <f t="shared" si="119"/>
        <v>0.69506817173712621</v>
      </c>
      <c r="AV403" s="12">
        <f t="shared" si="120"/>
        <v>0.68063329788883786</v>
      </c>
      <c r="AW403" s="12">
        <f t="shared" si="121"/>
        <v>0.69397386256701221</v>
      </c>
      <c r="AX403" s="12">
        <f t="shared" si="122"/>
        <v>0.86031182326770994</v>
      </c>
      <c r="AY403" s="12">
        <f t="shared" si="123"/>
        <v>0.54629864865087563</v>
      </c>
      <c r="AZ403" s="12">
        <f t="shared" si="124"/>
        <v>0.26999223521001531</v>
      </c>
      <c r="BA403" s="12">
        <f t="shared" si="108"/>
        <v>0.55616114643784487</v>
      </c>
      <c r="BB403" s="12">
        <f t="shared" si="109"/>
        <v>0.11153661782143692</v>
      </c>
      <c r="BC403" s="12">
        <f t="shared" si="110"/>
        <v>0.91583432973544476</v>
      </c>
      <c r="BD403" s="12">
        <f t="shared" si="111"/>
        <v>0.94525913184343358</v>
      </c>
      <c r="BE403" s="12">
        <f t="shared" si="112"/>
        <v>0.37931960962575206</v>
      </c>
      <c r="BF403" s="12">
        <f t="shared" si="113"/>
        <v>0.37006941019802886</v>
      </c>
      <c r="BG403" s="12">
        <f t="shared" si="114"/>
        <v>0.86904930962101512</v>
      </c>
      <c r="BH403" s="12">
        <f t="shared" si="115"/>
        <v>0.28762402692895805</v>
      </c>
      <c r="BI403" s="12">
        <f t="shared" si="116"/>
        <v>0.60523846118309321</v>
      </c>
    </row>
    <row r="404" spans="1:61" x14ac:dyDescent="0.55000000000000004">
      <c r="A404" s="12" t="s">
        <v>970</v>
      </c>
      <c r="B404" s="12" t="s">
        <v>971</v>
      </c>
      <c r="C404" s="12" t="s">
        <v>322</v>
      </c>
      <c r="D404" s="12" t="s">
        <v>9</v>
      </c>
      <c r="E404" s="12">
        <v>2017</v>
      </c>
      <c r="F404" s="12">
        <v>67.670152456766971</v>
      </c>
      <c r="G404" s="12">
        <v>43.862840277393168</v>
      </c>
      <c r="H404" s="14">
        <f t="shared" si="125"/>
        <v>88471.348839502025</v>
      </c>
      <c r="I404" s="12">
        <v>37.190313234619339</v>
      </c>
      <c r="J404" s="12">
        <v>17.989495802885028</v>
      </c>
      <c r="K404" s="12">
        <v>21.842436935455645</v>
      </c>
      <c r="L404" s="12">
        <v>45.473509049126278</v>
      </c>
      <c r="M404" s="12">
        <v>34.604832660506375</v>
      </c>
      <c r="N404" s="12">
        <v>12.150906274535121</v>
      </c>
      <c r="O404" s="12">
        <v>10.291200612378022</v>
      </c>
      <c r="P404" s="12">
        <v>37.515647620069025</v>
      </c>
      <c r="Q404" s="12">
        <v>426.06233159408742</v>
      </c>
      <c r="R404" s="15">
        <v>51.558340524192104</v>
      </c>
      <c r="S404" s="15">
        <v>807.53916343233698</v>
      </c>
      <c r="T404" s="15">
        <v>857.72972152205512</v>
      </c>
      <c r="U404" s="12">
        <v>43.887396908822247</v>
      </c>
      <c r="V404" s="12">
        <v>13.251265902365821</v>
      </c>
      <c r="W404" s="12">
        <v>60.695449709982114</v>
      </c>
      <c r="X404" s="12">
        <v>66.890053152497941</v>
      </c>
      <c r="Y404" s="12">
        <v>39.7684442555462</v>
      </c>
      <c r="Z404" s="12">
        <v>26.438575636343401</v>
      </c>
      <c r="AA404" s="12">
        <v>59.77768965940632</v>
      </c>
      <c r="AB404" s="12">
        <v>69.923189450112034</v>
      </c>
      <c r="AC404" s="12">
        <v>38.812634283312249</v>
      </c>
      <c r="AD404" s="12">
        <v>16.2989993136142</v>
      </c>
      <c r="AE404" s="12">
        <v>40.459594671932976</v>
      </c>
      <c r="AF404" s="12">
        <v>45.503204007484726</v>
      </c>
      <c r="AG404" s="12">
        <v>1044.9748240742344</v>
      </c>
      <c r="AH404" s="12">
        <v>608.4219426920115</v>
      </c>
      <c r="AI404" s="12">
        <v>2186.1222539450218</v>
      </c>
      <c r="AJ404" s="12">
        <v>2356.0305689570541</v>
      </c>
      <c r="AK404" s="12">
        <v>955.89904219544212</v>
      </c>
      <c r="AL404" s="12">
        <v>1561.2681764877466</v>
      </c>
      <c r="AM404" s="12">
        <v>2377.9543689078591</v>
      </c>
      <c r="AN404" s="12">
        <v>2388.2682025896938</v>
      </c>
      <c r="AP404" s="12">
        <f t="shared" si="117"/>
        <v>1.0367205762679086</v>
      </c>
      <c r="AQ404" s="12">
        <f t="shared" si="118"/>
        <v>0.85529453594012983</v>
      </c>
      <c r="AR404" s="12">
        <f t="shared" si="105"/>
        <v>1.5249822567229636</v>
      </c>
      <c r="AS404" s="12">
        <f t="shared" si="106"/>
        <v>1.5941327330357657</v>
      </c>
      <c r="AT404" s="12">
        <f t="shared" si="107"/>
        <v>1.0373975720614015</v>
      </c>
      <c r="AU404" s="12">
        <f t="shared" si="119"/>
        <v>0.81784568669291879</v>
      </c>
      <c r="AV404" s="12">
        <f t="shared" si="120"/>
        <v>0.39560386209585197</v>
      </c>
      <c r="AW404" s="12">
        <f t="shared" si="121"/>
        <v>0.48033321800300616</v>
      </c>
      <c r="AX404" s="12">
        <f t="shared" si="122"/>
        <v>0.92241064344560297</v>
      </c>
      <c r="AY404" s="12">
        <f t="shared" si="123"/>
        <v>0.32388901819290422</v>
      </c>
      <c r="AZ404" s="12">
        <f t="shared" si="124"/>
        <v>0.27431755188127782</v>
      </c>
      <c r="BA404" s="12">
        <f t="shared" si="108"/>
        <v>0.65611245380185967</v>
      </c>
      <c r="BB404" s="12">
        <f t="shared" si="109"/>
        <v>0.19810517824160176</v>
      </c>
      <c r="BC404" s="12">
        <f t="shared" si="110"/>
        <v>0.90739126147211779</v>
      </c>
      <c r="BD404" s="12">
        <f t="shared" si="111"/>
        <v>0.56874471213759092</v>
      </c>
      <c r="BE404" s="12">
        <f t="shared" si="112"/>
        <v>0.37810883405435164</v>
      </c>
      <c r="BF404" s="12">
        <f t="shared" si="113"/>
        <v>0.85490507697815754</v>
      </c>
      <c r="BG404" s="12">
        <f t="shared" si="114"/>
        <v>0.85296486543954231</v>
      </c>
      <c r="BH404" s="12">
        <f t="shared" si="115"/>
        <v>0.35819454188178074</v>
      </c>
      <c r="BI404" s="12">
        <f t="shared" si="116"/>
        <v>0.88915924833068594</v>
      </c>
    </row>
    <row r="405" spans="1:61" x14ac:dyDescent="0.55000000000000004">
      <c r="A405" s="12" t="s">
        <v>972</v>
      </c>
      <c r="B405" s="12" t="s">
        <v>973</v>
      </c>
      <c r="C405" s="12" t="s">
        <v>322</v>
      </c>
      <c r="D405" s="12" t="s">
        <v>9</v>
      </c>
      <c r="E405" s="12">
        <v>2863</v>
      </c>
      <c r="F405" s="12">
        <v>64.446571412173242</v>
      </c>
      <c r="G405" s="12">
        <v>25.667824086943082</v>
      </c>
      <c r="H405" s="14">
        <f t="shared" si="125"/>
        <v>73486.980360918038</v>
      </c>
      <c r="I405" s="12">
        <v>39.53613744235146</v>
      </c>
      <c r="J405" s="12">
        <v>12.368680678458496</v>
      </c>
      <c r="K405" s="12">
        <v>28.008248004941191</v>
      </c>
      <c r="L405" s="12">
        <v>40.982877333069737</v>
      </c>
      <c r="M405" s="12">
        <v>39.858510965174538</v>
      </c>
      <c r="N405" s="12">
        <v>7.722528691084416</v>
      </c>
      <c r="O405" s="12">
        <v>21.331001762120753</v>
      </c>
      <c r="P405" s="12">
        <v>40.901811394659404</v>
      </c>
      <c r="Q405" s="12">
        <v>573.77994659872536</v>
      </c>
      <c r="R405" s="15">
        <v>104.22191863595836</v>
      </c>
      <c r="S405" s="15">
        <v>1135.4492887013232</v>
      </c>
      <c r="T405" s="15">
        <v>1169.3675412381176</v>
      </c>
      <c r="U405" s="12">
        <v>33.579278655315306</v>
      </c>
      <c r="V405" s="12">
        <v>9.1709249480209429</v>
      </c>
      <c r="W405" s="12">
        <v>45.008322230068721</v>
      </c>
      <c r="X405" s="12">
        <v>47.943328497649382</v>
      </c>
      <c r="Y405" s="12">
        <v>27.632433836633687</v>
      </c>
      <c r="Z405" s="12">
        <v>15.780599879007562</v>
      </c>
      <c r="AA405" s="12">
        <v>20.147918082627278</v>
      </c>
      <c r="AB405" s="12">
        <v>32.972807136811831</v>
      </c>
      <c r="AC405" s="12">
        <v>26.676454523061548</v>
      </c>
      <c r="AD405" s="12">
        <v>16.081534520224132</v>
      </c>
      <c r="AE405" s="12">
        <v>21.471384003747534</v>
      </c>
      <c r="AF405" s="12">
        <v>34.758677026231176</v>
      </c>
      <c r="AG405" s="12">
        <v>627.97981283395518</v>
      </c>
      <c r="AH405" s="12">
        <v>577.69103285937445</v>
      </c>
      <c r="AI405" s="12">
        <v>1594.4047478781663</v>
      </c>
      <c r="AJ405" s="12">
        <v>1672.3626868861932</v>
      </c>
      <c r="AK405" s="12">
        <v>1540.76754361752</v>
      </c>
      <c r="AL405" s="12">
        <v>1312.3691640355546</v>
      </c>
      <c r="AM405" s="12">
        <v>2345.5863224335335</v>
      </c>
      <c r="AN405" s="12">
        <v>2802.2384866062407</v>
      </c>
      <c r="AP405" s="12">
        <f t="shared" si="117"/>
        <v>1.5966634800928545</v>
      </c>
      <c r="AQ405" s="12">
        <f t="shared" si="118"/>
        <v>1.5935052093280346</v>
      </c>
      <c r="AR405" s="12">
        <f t="shared" si="105"/>
        <v>1.8678376606935523</v>
      </c>
      <c r="AS405" s="12">
        <f t="shared" si="106"/>
        <v>1.2845968955188807</v>
      </c>
      <c r="AT405" s="12">
        <f t="shared" si="107"/>
        <v>1.3541731043697041</v>
      </c>
      <c r="AU405" s="12">
        <f t="shared" si="119"/>
        <v>0.96469891855175138</v>
      </c>
      <c r="AV405" s="12">
        <f t="shared" si="120"/>
        <v>0.30180117852481797</v>
      </c>
      <c r="AW405" s="12">
        <f t="shared" si="121"/>
        <v>0.6834134113453495</v>
      </c>
      <c r="AX405" s="12">
        <f t="shared" si="122"/>
        <v>0.97449256172500243</v>
      </c>
      <c r="AY405" s="12">
        <f t="shared" si="123"/>
        <v>0.18880652048805729</v>
      </c>
      <c r="AZ405" s="12">
        <f t="shared" si="124"/>
        <v>0.52151728822714105</v>
      </c>
      <c r="BA405" s="12">
        <f t="shared" si="108"/>
        <v>0.70039523136074433</v>
      </c>
      <c r="BB405" s="12">
        <f t="shared" si="109"/>
        <v>0.19128678035924404</v>
      </c>
      <c r="BC405" s="12">
        <f t="shared" si="110"/>
        <v>0.93878175838950018</v>
      </c>
      <c r="BD405" s="12">
        <f t="shared" si="111"/>
        <v>0.83803704434324644</v>
      </c>
      <c r="BE405" s="12">
        <f t="shared" si="112"/>
        <v>0.47859437061364507</v>
      </c>
      <c r="BF405" s="12">
        <f t="shared" si="113"/>
        <v>0.611046490492268</v>
      </c>
      <c r="BG405" s="12">
        <f t="shared" si="114"/>
        <v>0.76747611834966412</v>
      </c>
      <c r="BH405" s="12">
        <f t="shared" si="115"/>
        <v>0.46266244564164372</v>
      </c>
      <c r="BI405" s="12">
        <f t="shared" si="116"/>
        <v>0.61772730842269463</v>
      </c>
    </row>
    <row r="406" spans="1:61" x14ac:dyDescent="0.55000000000000004">
      <c r="A406" s="12" t="s">
        <v>974</v>
      </c>
      <c r="B406" s="12" t="s">
        <v>975</v>
      </c>
      <c r="C406" s="12" t="s">
        <v>322</v>
      </c>
      <c r="D406" s="12" t="s">
        <v>9</v>
      </c>
      <c r="E406" s="12">
        <v>1806</v>
      </c>
      <c r="F406" s="12">
        <v>65.789712150096918</v>
      </c>
      <c r="G406" s="12">
        <v>58.373840281262851</v>
      </c>
      <c r="H406" s="14">
        <f t="shared" si="125"/>
        <v>105423.15554796071</v>
      </c>
      <c r="I406" s="12">
        <v>28.689265723579322</v>
      </c>
      <c r="J406" s="12">
        <v>24.382348479871599</v>
      </c>
      <c r="K406" s="12">
        <v>28.871958201917202</v>
      </c>
      <c r="L406" s="12">
        <v>38.797533609735886</v>
      </c>
      <c r="M406" s="12">
        <v>37.911172670194013</v>
      </c>
      <c r="N406" s="12">
        <v>18.683934639862692</v>
      </c>
      <c r="O406" s="12">
        <v>11.135855895986051</v>
      </c>
      <c r="P406" s="12">
        <v>42.829707626436644</v>
      </c>
      <c r="Q406" s="12">
        <v>308.78795387798937</v>
      </c>
      <c r="R406" s="15">
        <v>224.47609854506464</v>
      </c>
      <c r="S406" s="15">
        <v>1617.4459476251502</v>
      </c>
      <c r="T406" s="15">
        <v>1621.4384716947284</v>
      </c>
      <c r="U406" s="12">
        <v>23.174222805342744</v>
      </c>
      <c r="V406" s="12">
        <v>9.0424449033412611</v>
      </c>
      <c r="W406" s="12">
        <v>44.776282746467388</v>
      </c>
      <c r="X406" s="12">
        <v>49.688928149633192</v>
      </c>
      <c r="Y406" s="12">
        <v>33.715559485336271</v>
      </c>
      <c r="Z406" s="12">
        <v>19.701778542815195</v>
      </c>
      <c r="AA406" s="12">
        <v>36.441016679965273</v>
      </c>
      <c r="AB406" s="12">
        <v>45.758664531825637</v>
      </c>
      <c r="AC406" s="12">
        <v>53.464146960465918</v>
      </c>
      <c r="AD406" s="12">
        <v>20.931525845781202</v>
      </c>
      <c r="AE406" s="12">
        <v>38.072307990341066</v>
      </c>
      <c r="AF406" s="12">
        <v>63.329829767890935</v>
      </c>
      <c r="AG406" s="12">
        <v>752.20260977186513</v>
      </c>
      <c r="AH406" s="12">
        <v>103.16471621620947</v>
      </c>
      <c r="AI406" s="12">
        <v>1647.4242105817366</v>
      </c>
      <c r="AJ406" s="12">
        <v>1793.3145726736495</v>
      </c>
      <c r="AK406" s="12">
        <v>584.62915858578151</v>
      </c>
      <c r="AL406" s="12">
        <v>2489.4544614395218</v>
      </c>
      <c r="AM406" s="12">
        <v>1216.4591397821625</v>
      </c>
      <c r="AN406" s="12">
        <v>2493.3329133494135</v>
      </c>
      <c r="AP406" s="12">
        <f t="shared" si="117"/>
        <v>0.66463904760758608</v>
      </c>
      <c r="AQ406" s="12">
        <f t="shared" si="118"/>
        <v>0.73371406472608514</v>
      </c>
      <c r="AR406" s="12">
        <f t="shared" si="105"/>
        <v>0.85121910619923036</v>
      </c>
      <c r="AS406" s="12">
        <f t="shared" si="106"/>
        <v>0.7838899121823496</v>
      </c>
      <c r="AT406" s="12">
        <f t="shared" si="107"/>
        <v>1.0849008642013036</v>
      </c>
      <c r="AU406" s="12">
        <f t="shared" si="119"/>
        <v>0.7394610701846267</v>
      </c>
      <c r="AV406" s="12">
        <f t="shared" si="120"/>
        <v>0.62845099188864606</v>
      </c>
      <c r="AW406" s="12">
        <f t="shared" si="121"/>
        <v>0.7441699385414553</v>
      </c>
      <c r="AX406" s="12">
        <f t="shared" si="122"/>
        <v>0.88516066933861892</v>
      </c>
      <c r="AY406" s="12">
        <f t="shared" si="123"/>
        <v>0.4362377348644339</v>
      </c>
      <c r="AZ406" s="12">
        <f t="shared" si="124"/>
        <v>0.26000307994426847</v>
      </c>
      <c r="BA406" s="12">
        <f t="shared" si="108"/>
        <v>0.46638604752261731</v>
      </c>
      <c r="BB406" s="12">
        <f t="shared" si="109"/>
        <v>0.18198108190442044</v>
      </c>
      <c r="BC406" s="12">
        <f t="shared" si="110"/>
        <v>0.90113199084568962</v>
      </c>
      <c r="BD406" s="12">
        <f t="shared" si="111"/>
        <v>0.73681257594147531</v>
      </c>
      <c r="BE406" s="12">
        <f t="shared" si="112"/>
        <v>0.43055842525981936</v>
      </c>
      <c r="BF406" s="12">
        <f t="shared" si="113"/>
        <v>0.79637413051292527</v>
      </c>
      <c r="BG406" s="12">
        <f t="shared" si="114"/>
        <v>0.84421744312935054</v>
      </c>
      <c r="BH406" s="12">
        <f t="shared" si="115"/>
        <v>0.33051606048045568</v>
      </c>
      <c r="BI406" s="12">
        <f t="shared" si="116"/>
        <v>0.6011749617815052</v>
      </c>
    </row>
    <row r="407" spans="1:61" x14ac:dyDescent="0.55000000000000004">
      <c r="A407" s="12" t="s">
        <v>976</v>
      </c>
      <c r="B407" s="12" t="s">
        <v>977</v>
      </c>
      <c r="C407" s="12" t="s">
        <v>322</v>
      </c>
      <c r="D407" s="12" t="s">
        <v>9</v>
      </c>
      <c r="E407" s="12">
        <v>2224</v>
      </c>
      <c r="F407" s="12">
        <v>49.444979609264387</v>
      </c>
      <c r="G407" s="12">
        <v>29.136684839707964</v>
      </c>
      <c r="H407" s="14">
        <f t="shared" si="125"/>
        <v>64799.98708351051</v>
      </c>
      <c r="I407" s="12">
        <v>42.253903932101807</v>
      </c>
      <c r="J407" s="12">
        <v>17.858715074875896</v>
      </c>
      <c r="K407" s="12">
        <v>26.130179511389098</v>
      </c>
      <c r="L407" s="12">
        <v>48.387863628146327</v>
      </c>
      <c r="M407" s="12">
        <v>27.797815648709957</v>
      </c>
      <c r="N407" s="12">
        <v>12.109412060012573</v>
      </c>
      <c r="O407" s="12">
        <v>11.914620803080398</v>
      </c>
      <c r="P407" s="12">
        <v>31.816508940697418</v>
      </c>
      <c r="Q407" s="12">
        <v>341.84183125843839</v>
      </c>
      <c r="R407" s="15">
        <v>136.90028679775909</v>
      </c>
      <c r="S407" s="15">
        <v>1131.7700677019111</v>
      </c>
      <c r="T407" s="15">
        <v>1131.7984084290385</v>
      </c>
      <c r="U407" s="12">
        <v>19.088427780382133</v>
      </c>
      <c r="V407" s="12">
        <v>8.0595881533955023</v>
      </c>
      <c r="W407" s="12">
        <v>33.002810013890894</v>
      </c>
      <c r="X407" s="12">
        <v>36.344889870671871</v>
      </c>
      <c r="Y407" s="12">
        <v>25.334104835973399</v>
      </c>
      <c r="Z407" s="12">
        <v>17.614442274640194</v>
      </c>
      <c r="AA407" s="12">
        <v>42.503635415352704</v>
      </c>
      <c r="AB407" s="12">
        <v>49.831919703453032</v>
      </c>
      <c r="AC407" s="12">
        <v>31.844780102394495</v>
      </c>
      <c r="AD407" s="12">
        <v>20.619697146827143</v>
      </c>
      <c r="AE407" s="12">
        <v>23.429292267790402</v>
      </c>
      <c r="AF407" s="12">
        <v>40.709837683864926</v>
      </c>
      <c r="AG407" s="12">
        <v>563.59924179462109</v>
      </c>
      <c r="AH407" s="12">
        <v>83.688378887505749</v>
      </c>
      <c r="AI407" s="12">
        <v>1202.5620707060527</v>
      </c>
      <c r="AJ407" s="12">
        <v>1298.6612906345244</v>
      </c>
      <c r="AK407" s="12">
        <v>1113.5215668212625</v>
      </c>
      <c r="AL407" s="12">
        <v>1455.4320774476298</v>
      </c>
      <c r="AM407" s="12">
        <v>1152.8502445508784</v>
      </c>
      <c r="AN407" s="12">
        <v>1463.3588539106167</v>
      </c>
      <c r="AP407" s="12">
        <f t="shared" si="117"/>
        <v>1.6607196012293937</v>
      </c>
      <c r="AQ407" s="12">
        <f t="shared" si="118"/>
        <v>1.0919742282188996</v>
      </c>
      <c r="AR407" s="12">
        <f t="shared" ref="AR407:AR438" si="126">X407/G407</f>
        <v>1.2473927651899657</v>
      </c>
      <c r="AS407" s="12">
        <f t="shared" ref="AS407:AS438" si="127">AB407/G407</f>
        <v>1.7102810418411518</v>
      </c>
      <c r="AT407" s="12">
        <f t="shared" ref="AT407:AT438" si="128">AF407/G407</f>
        <v>1.3972021150595992</v>
      </c>
      <c r="AU407" s="12">
        <f t="shared" si="119"/>
        <v>0.87323350865036931</v>
      </c>
      <c r="AV407" s="12">
        <f t="shared" si="120"/>
        <v>0.36907426234225832</v>
      </c>
      <c r="AW407" s="12">
        <f t="shared" si="121"/>
        <v>0.54001515157180147</v>
      </c>
      <c r="AX407" s="12">
        <f t="shared" si="122"/>
        <v>0.87369157001235187</v>
      </c>
      <c r="AY407" s="12">
        <f t="shared" si="123"/>
        <v>0.38060153244918316</v>
      </c>
      <c r="AZ407" s="12">
        <f t="shared" si="124"/>
        <v>0.37447919962834331</v>
      </c>
      <c r="BA407" s="12">
        <f t="shared" ref="BA407:BA438" si="129">U407/$X407</f>
        <v>0.52520252085796915</v>
      </c>
      <c r="BB407" s="12">
        <f t="shared" ref="BB407:BB438" si="130">V407/$X407</f>
        <v>0.22175299421939101</v>
      </c>
      <c r="BC407" s="12">
        <f t="shared" ref="BC407:BC438" si="131">W407/$X407</f>
        <v>0.90804539871565737</v>
      </c>
      <c r="BD407" s="12">
        <f t="shared" ref="BD407:BD438" si="132">Y407/$AB407</f>
        <v>0.50839110728094039</v>
      </c>
      <c r="BE407" s="12">
        <f t="shared" ref="BE407:BE438" si="133">Z407/$AB407</f>
        <v>0.35347709619582701</v>
      </c>
      <c r="BF407" s="12">
        <f t="shared" ref="BF407:BF438" si="134">AA407/$AB407</f>
        <v>0.85293995632296449</v>
      </c>
      <c r="BG407" s="12">
        <f t="shared" ref="BG407:BG438" si="135">AC407/$AF407</f>
        <v>0.78223795313769973</v>
      </c>
      <c r="BH407" s="12">
        <f t="shared" ref="BH407:BH438" si="136">AD407/$AF407</f>
        <v>0.50650403735212202</v>
      </c>
      <c r="BI407" s="12">
        <f t="shared" ref="BI407:BI438" si="137">AE407/$AF407</f>
        <v>0.57551917670937913</v>
      </c>
    </row>
    <row r="408" spans="1:61" x14ac:dyDescent="0.55000000000000004">
      <c r="A408" s="12" t="s">
        <v>978</v>
      </c>
      <c r="B408" s="12" t="s">
        <v>979</v>
      </c>
      <c r="C408" s="12" t="s">
        <v>515</v>
      </c>
      <c r="D408" s="12" t="s">
        <v>9</v>
      </c>
      <c r="E408" s="12">
        <v>2719</v>
      </c>
      <c r="F408" s="12">
        <v>65.457374322042057</v>
      </c>
      <c r="G408" s="12">
        <v>33.672115275423607</v>
      </c>
      <c r="H408" s="14">
        <f t="shared" si="125"/>
        <v>91554.48143387679</v>
      </c>
      <c r="I408" s="12">
        <v>35.694746961338922</v>
      </c>
      <c r="J408" s="12">
        <v>16.733030433893628</v>
      </c>
      <c r="K408" s="12">
        <v>26.023847890154876</v>
      </c>
      <c r="L408" s="12">
        <v>41.511729122056899</v>
      </c>
      <c r="M408" s="12">
        <v>28.667412702725194</v>
      </c>
      <c r="N408" s="12">
        <v>14.073864326848506</v>
      </c>
      <c r="O408" s="12">
        <v>19.540290510615328</v>
      </c>
      <c r="P408" s="12">
        <v>34.963957209850989</v>
      </c>
      <c r="Q408" s="12">
        <v>307.45157494358108</v>
      </c>
      <c r="R408" s="15">
        <v>30.982265768290226</v>
      </c>
      <c r="S408" s="15">
        <v>1131.8409229394817</v>
      </c>
      <c r="T408" s="15">
        <v>1158.8998601435039</v>
      </c>
      <c r="U408" s="12">
        <v>24.775871466081838</v>
      </c>
      <c r="V408" s="12">
        <v>14.549860428792178</v>
      </c>
      <c r="W408" s="12">
        <v>42.182826128973943</v>
      </c>
      <c r="X408" s="12">
        <v>48.170749767040917</v>
      </c>
      <c r="Y408" s="12">
        <v>22.579206685109781</v>
      </c>
      <c r="Z408" s="12">
        <v>27.26437192362738</v>
      </c>
      <c r="AA408" s="12">
        <v>20.628958604793208</v>
      </c>
      <c r="AB408" s="12">
        <v>37.372153632279883</v>
      </c>
      <c r="AC408" s="12">
        <v>32.557322643695542</v>
      </c>
      <c r="AD408" s="12">
        <v>20.837076019350295</v>
      </c>
      <c r="AE408" s="12">
        <v>22.307049896173091</v>
      </c>
      <c r="AF408" s="12">
        <v>41.378109546877468</v>
      </c>
      <c r="AG408" s="12">
        <v>754.6971288784132</v>
      </c>
      <c r="AH408" s="12">
        <v>372.59272654258848</v>
      </c>
      <c r="AI408" s="12">
        <v>1548.5221629854025</v>
      </c>
      <c r="AJ408" s="12">
        <v>1687.2129931474335</v>
      </c>
      <c r="AK408" s="12">
        <v>1138.6762468914199</v>
      </c>
      <c r="AL408" s="12">
        <v>817.44216878740508</v>
      </c>
      <c r="AM408" s="12">
        <v>1233.4675814888653</v>
      </c>
      <c r="AN408" s="12">
        <v>1623.6009626970358</v>
      </c>
      <c r="AP408" s="12">
        <f t="shared" si="117"/>
        <v>1.232822137323675</v>
      </c>
      <c r="AQ408" s="12">
        <f t="shared" si="118"/>
        <v>1.0383653335663847</v>
      </c>
      <c r="AR408" s="12">
        <f t="shared" si="126"/>
        <v>1.4305828241862633</v>
      </c>
      <c r="AS408" s="12">
        <f t="shared" si="127"/>
        <v>1.1098843457439942</v>
      </c>
      <c r="AT408" s="12">
        <f t="shared" si="128"/>
        <v>1.2288538812730385</v>
      </c>
      <c r="AU408" s="12">
        <f t="shared" si="119"/>
        <v>0.85987135964357664</v>
      </c>
      <c r="AV408" s="12">
        <f t="shared" si="120"/>
        <v>0.40309162706023433</v>
      </c>
      <c r="AW408" s="12">
        <f t="shared" si="121"/>
        <v>0.62690349066493911</v>
      </c>
      <c r="AX408" s="12">
        <f t="shared" si="122"/>
        <v>0.81991327613935638</v>
      </c>
      <c r="AY408" s="12">
        <f t="shared" si="123"/>
        <v>0.40252492709501536</v>
      </c>
      <c r="AZ408" s="12">
        <f t="shared" si="124"/>
        <v>0.55886953508540249</v>
      </c>
      <c r="BA408" s="12">
        <f t="shared" si="129"/>
        <v>0.51433435406134842</v>
      </c>
      <c r="BB408" s="12">
        <f t="shared" si="130"/>
        <v>0.30204762224289461</v>
      </c>
      <c r="BC408" s="12">
        <f t="shared" si="131"/>
        <v>0.87569378373753293</v>
      </c>
      <c r="BD408" s="12">
        <f t="shared" si="132"/>
        <v>0.60417194329435653</v>
      </c>
      <c r="BE408" s="12">
        <f t="shared" si="133"/>
        <v>0.72953708239275805</v>
      </c>
      <c r="BF408" s="12">
        <f t="shared" si="134"/>
        <v>0.55198741843379129</v>
      </c>
      <c r="BG408" s="12">
        <f t="shared" si="135"/>
        <v>0.78682479698138907</v>
      </c>
      <c r="BH408" s="12">
        <f t="shared" si="136"/>
        <v>0.50357728391974665</v>
      </c>
      <c r="BI408" s="12">
        <f t="shared" si="137"/>
        <v>0.5391026835312841</v>
      </c>
    </row>
    <row r="409" spans="1:61" x14ac:dyDescent="0.55000000000000004">
      <c r="A409" s="12" t="s">
        <v>980</v>
      </c>
      <c r="B409" s="12" t="s">
        <v>981</v>
      </c>
      <c r="C409" s="12" t="s">
        <v>322</v>
      </c>
      <c r="D409" s="12" t="s">
        <v>9</v>
      </c>
      <c r="E409" s="12">
        <v>2936</v>
      </c>
      <c r="F409" s="12">
        <v>65.001977432163784</v>
      </c>
      <c r="G409" s="12">
        <v>41.366238483356909</v>
      </c>
      <c r="H409" s="14">
        <f t="shared" si="125"/>
        <v>121451.27618713588</v>
      </c>
      <c r="I409" s="12">
        <v>98.812082167745686</v>
      </c>
      <c r="J409" s="12">
        <v>22.291935318955776</v>
      </c>
      <c r="K409" s="12">
        <v>25.236513094353676</v>
      </c>
      <c r="L409" s="12">
        <v>100.95371301445341</v>
      </c>
      <c r="M409" s="12">
        <v>35.355107222847387</v>
      </c>
      <c r="N409" s="12">
        <v>13.399602513266727</v>
      </c>
      <c r="O409" s="12">
        <v>22.145225158748492</v>
      </c>
      <c r="P409" s="12">
        <v>42.430781267029779</v>
      </c>
      <c r="Q409" s="12">
        <v>861.04666756103552</v>
      </c>
      <c r="R409" s="15">
        <v>127.78100783998855</v>
      </c>
      <c r="S409" s="15">
        <v>1134.2466485041928</v>
      </c>
      <c r="T409" s="15">
        <v>1249.4941062121734</v>
      </c>
      <c r="U409" s="12">
        <v>26.756098669237417</v>
      </c>
      <c r="V409" s="12">
        <v>16.40393252670901</v>
      </c>
      <c r="W409" s="12">
        <v>48.821532729545055</v>
      </c>
      <c r="X409" s="12">
        <v>53.160030183020965</v>
      </c>
      <c r="Y409" s="12">
        <v>29.424698810930739</v>
      </c>
      <c r="Z409" s="12">
        <v>26.405164473775269</v>
      </c>
      <c r="AA409" s="12">
        <v>49.272007639623268</v>
      </c>
      <c r="AB409" s="12">
        <v>54.731679359821605</v>
      </c>
      <c r="AC409" s="12">
        <v>30.526866808418376</v>
      </c>
      <c r="AD409" s="12">
        <v>12.702954062608292</v>
      </c>
      <c r="AE409" s="12">
        <v>26.880122175685983</v>
      </c>
      <c r="AF409" s="12">
        <v>37.097229739468283</v>
      </c>
      <c r="AG409" s="12">
        <v>746.20579653741015</v>
      </c>
      <c r="AH409" s="12">
        <v>35.329745829450388</v>
      </c>
      <c r="AI409" s="12">
        <v>1746.9971512573225</v>
      </c>
      <c r="AJ409" s="12">
        <v>1899.3704451505514</v>
      </c>
      <c r="AK409" s="12">
        <v>2261.2988897493724</v>
      </c>
      <c r="AL409" s="12">
        <v>2752.6636302085199</v>
      </c>
      <c r="AM409" s="12">
        <v>1541.9497223933506</v>
      </c>
      <c r="AN409" s="12">
        <v>2755.7564769816204</v>
      </c>
      <c r="AP409" s="12">
        <f t="shared" si="117"/>
        <v>2.4404856887113544</v>
      </c>
      <c r="AQ409" s="12">
        <f t="shared" si="118"/>
        <v>1.0257345802447368</v>
      </c>
      <c r="AR409" s="12">
        <f t="shared" si="126"/>
        <v>1.2851066988942954</v>
      </c>
      <c r="AS409" s="12">
        <f t="shared" si="127"/>
        <v>1.3231002229473217</v>
      </c>
      <c r="AT409" s="12">
        <f t="shared" si="128"/>
        <v>0.8967996873680889</v>
      </c>
      <c r="AU409" s="12">
        <f t="shared" si="119"/>
        <v>0.97878601209644356</v>
      </c>
      <c r="AV409" s="12">
        <f t="shared" si="120"/>
        <v>0.22081342680050081</v>
      </c>
      <c r="AW409" s="12">
        <f t="shared" si="121"/>
        <v>0.24998102933312216</v>
      </c>
      <c r="AX409" s="12">
        <f t="shared" si="122"/>
        <v>0.83324195706760551</v>
      </c>
      <c r="AY409" s="12">
        <f t="shared" si="123"/>
        <v>0.31579909945421375</v>
      </c>
      <c r="AZ409" s="12">
        <f t="shared" si="124"/>
        <v>0.52191415046972323</v>
      </c>
      <c r="BA409" s="12">
        <f t="shared" si="129"/>
        <v>0.50331233028124156</v>
      </c>
      <c r="BB409" s="12">
        <f t="shared" si="130"/>
        <v>0.30857643365199483</v>
      </c>
      <c r="BC409" s="12">
        <f t="shared" si="131"/>
        <v>0.91838797986872467</v>
      </c>
      <c r="BD409" s="12">
        <f t="shared" si="132"/>
        <v>0.53761732062859635</v>
      </c>
      <c r="BE409" s="12">
        <f t="shared" si="133"/>
        <v>0.48244754742824936</v>
      </c>
      <c r="BF409" s="12">
        <f t="shared" si="134"/>
        <v>0.90024658873876495</v>
      </c>
      <c r="BG409" s="12">
        <f t="shared" si="135"/>
        <v>0.82288804373822011</v>
      </c>
      <c r="BH409" s="12">
        <f t="shared" si="136"/>
        <v>0.34242325240510973</v>
      </c>
      <c r="BI409" s="12">
        <f t="shared" si="137"/>
        <v>0.72458569991515642</v>
      </c>
    </row>
    <row r="410" spans="1:61" x14ac:dyDescent="0.55000000000000004">
      <c r="A410" s="12" t="s">
        <v>982</v>
      </c>
      <c r="B410" s="12" t="s">
        <v>983</v>
      </c>
      <c r="C410" s="12" t="s">
        <v>322</v>
      </c>
      <c r="D410" s="12" t="s">
        <v>9</v>
      </c>
      <c r="E410" s="12">
        <v>2164</v>
      </c>
      <c r="F410" s="12">
        <v>64.052622409510747</v>
      </c>
      <c r="G410" s="12">
        <v>32.186270025406259</v>
      </c>
      <c r="H410" s="14">
        <f t="shared" si="125"/>
        <v>69651.08833497914</v>
      </c>
      <c r="I410" s="12">
        <v>40.398800799409209</v>
      </c>
      <c r="J410" s="12">
        <v>9.1272073278246726</v>
      </c>
      <c r="K410" s="12">
        <v>20.50338407376605</v>
      </c>
      <c r="L410" s="12">
        <v>44.541997395858871</v>
      </c>
      <c r="M410" s="12">
        <v>33.632286729285049</v>
      </c>
      <c r="N410" s="12">
        <v>13.708364310840901</v>
      </c>
      <c r="O410" s="12">
        <v>9.3251137250544787</v>
      </c>
      <c r="P410" s="12">
        <v>36.242196009938155</v>
      </c>
      <c r="Q410" s="12">
        <v>394.69607570799593</v>
      </c>
      <c r="R410" s="15">
        <v>732.20649983506667</v>
      </c>
      <c r="S410" s="15">
        <v>678.04009355587573</v>
      </c>
      <c r="T410" s="15">
        <v>759.3059569761574</v>
      </c>
      <c r="U410" s="12">
        <v>35.581624765749602</v>
      </c>
      <c r="V410" s="12">
        <v>15.236890203400163</v>
      </c>
      <c r="W410" s="12">
        <v>39.755709672707262</v>
      </c>
      <c r="X410" s="12">
        <v>54.498535708865752</v>
      </c>
      <c r="Y410" s="12">
        <v>22.080363102993029</v>
      </c>
      <c r="Z410" s="12">
        <v>31.351529905395203</v>
      </c>
      <c r="AA410" s="12">
        <v>19.019743609879104</v>
      </c>
      <c r="AB410" s="12">
        <v>36.896604687792276</v>
      </c>
      <c r="AC410" s="12">
        <v>27.31657829538948</v>
      </c>
      <c r="AD410" s="12">
        <v>19.727071793852648</v>
      </c>
      <c r="AE410" s="12">
        <v>29.037899585764727</v>
      </c>
      <c r="AF410" s="12">
        <v>35.956681204889399</v>
      </c>
      <c r="AG410" s="12">
        <v>1059.6079889940211</v>
      </c>
      <c r="AH410" s="12">
        <v>150.47689267763982</v>
      </c>
      <c r="AI410" s="12">
        <v>1810.634430486625</v>
      </c>
      <c r="AJ410" s="12">
        <v>2094.2579423165307</v>
      </c>
      <c r="AK410" s="12">
        <v>800.2765188526339</v>
      </c>
      <c r="AL410" s="12">
        <v>2646.4911052879197</v>
      </c>
      <c r="AM410" s="12">
        <v>723.67094788009683</v>
      </c>
      <c r="AN410" s="12">
        <v>2698.127356062233</v>
      </c>
      <c r="AP410" s="12">
        <f t="shared" si="117"/>
        <v>1.3838819273155794</v>
      </c>
      <c r="AQ410" s="12">
        <f t="shared" si="118"/>
        <v>1.1260141663302503</v>
      </c>
      <c r="AR410" s="12">
        <f t="shared" si="126"/>
        <v>1.6932230937554209</v>
      </c>
      <c r="AS410" s="12">
        <f t="shared" si="127"/>
        <v>1.1463460866595574</v>
      </c>
      <c r="AT410" s="12">
        <f t="shared" si="128"/>
        <v>1.1171434644805678</v>
      </c>
      <c r="AU410" s="12">
        <f t="shared" si="119"/>
        <v>0.9069822451016788</v>
      </c>
      <c r="AV410" s="12">
        <f t="shared" si="120"/>
        <v>0.20491239417730381</v>
      </c>
      <c r="AW410" s="12">
        <f t="shared" si="121"/>
        <v>0.4603157755038681</v>
      </c>
      <c r="AX410" s="12">
        <f t="shared" si="122"/>
        <v>0.92798699946500396</v>
      </c>
      <c r="AY410" s="12">
        <f t="shared" si="123"/>
        <v>0.37824320322868576</v>
      </c>
      <c r="AZ410" s="12">
        <f t="shared" si="124"/>
        <v>0.25729990871682812</v>
      </c>
      <c r="BA410" s="12">
        <f t="shared" si="129"/>
        <v>0.65289139062063328</v>
      </c>
      <c r="BB410" s="12">
        <f t="shared" si="130"/>
        <v>0.27958347880751311</v>
      </c>
      <c r="BC410" s="12">
        <f t="shared" si="131"/>
        <v>0.72948216232972762</v>
      </c>
      <c r="BD410" s="12">
        <f t="shared" si="132"/>
        <v>0.59843888861401406</v>
      </c>
      <c r="BE410" s="12">
        <f t="shared" si="133"/>
        <v>0.8497131421897004</v>
      </c>
      <c r="BF410" s="12">
        <f t="shared" si="134"/>
        <v>0.51548763824797228</v>
      </c>
      <c r="BG410" s="12">
        <f t="shared" si="135"/>
        <v>0.75970799806949274</v>
      </c>
      <c r="BH410" s="12">
        <f t="shared" si="136"/>
        <v>0.54863438818069099</v>
      </c>
      <c r="BI410" s="12">
        <f t="shared" si="137"/>
        <v>0.80758008283078542</v>
      </c>
    </row>
    <row r="411" spans="1:61" x14ac:dyDescent="0.55000000000000004">
      <c r="A411" s="12" t="s">
        <v>984</v>
      </c>
      <c r="B411" s="12" t="s">
        <v>985</v>
      </c>
      <c r="C411" s="12" t="s">
        <v>322</v>
      </c>
      <c r="D411" s="12" t="s">
        <v>9</v>
      </c>
      <c r="E411" s="12">
        <v>2090</v>
      </c>
      <c r="F411" s="12">
        <v>66.134909796755863</v>
      </c>
      <c r="G411" s="12">
        <v>36.836054145225255</v>
      </c>
      <c r="H411" s="14">
        <f t="shared" si="125"/>
        <v>76987.353163520776</v>
      </c>
      <c r="I411" s="12">
        <v>45.162446466358119</v>
      </c>
      <c r="J411" s="12">
        <v>18.458447383159967</v>
      </c>
      <c r="K411" s="12">
        <v>22.314306303421478</v>
      </c>
      <c r="L411" s="12">
        <v>51.263250488663729</v>
      </c>
      <c r="M411" s="12">
        <v>38.569204235531899</v>
      </c>
      <c r="N411" s="12">
        <v>13.790057601204385</v>
      </c>
      <c r="O411" s="12">
        <v>10.395690705205427</v>
      </c>
      <c r="P411" s="12">
        <v>40.774750046467027</v>
      </c>
      <c r="Q411" s="12">
        <v>742.42329377875262</v>
      </c>
      <c r="R411" s="15">
        <v>356.19236210413806</v>
      </c>
      <c r="S411" s="15">
        <v>1124.6393502875198</v>
      </c>
      <c r="T411" s="15">
        <v>1328.4787874859094</v>
      </c>
      <c r="U411" s="12">
        <v>28.482528753152987</v>
      </c>
      <c r="V411" s="12">
        <v>10.725964383734338</v>
      </c>
      <c r="W411" s="12">
        <v>62.685139572165582</v>
      </c>
      <c r="X411" s="12">
        <v>66.002747359059299</v>
      </c>
      <c r="Y411" s="12">
        <v>29.241510974886683</v>
      </c>
      <c r="Z411" s="12">
        <v>25.655265837647967</v>
      </c>
      <c r="AA411" s="12">
        <v>17.030124440754477</v>
      </c>
      <c r="AB411" s="12">
        <v>40.267210515399533</v>
      </c>
      <c r="AC411" s="12">
        <v>36.399510398333334</v>
      </c>
      <c r="AD411" s="12">
        <v>16.493723949984336</v>
      </c>
      <c r="AE411" s="12">
        <v>34.080071144987073</v>
      </c>
      <c r="AF411" s="12">
        <v>47.453044802298166</v>
      </c>
      <c r="AG411" s="12">
        <v>886.40214826129852</v>
      </c>
      <c r="AH411" s="12">
        <v>324.50784017493368</v>
      </c>
      <c r="AI411" s="12">
        <v>2247.2410933565761</v>
      </c>
      <c r="AJ411" s="12">
        <v>2348.0525393952962</v>
      </c>
      <c r="AK411" s="12">
        <v>2328.007966743904</v>
      </c>
      <c r="AL411" s="12">
        <v>1785.5561987921028</v>
      </c>
      <c r="AM411" s="12">
        <v>2818.1911391250669</v>
      </c>
      <c r="AN411" s="12">
        <v>3617.1698600570662</v>
      </c>
      <c r="AP411" s="12">
        <f t="shared" si="117"/>
        <v>1.3916596573172468</v>
      </c>
      <c r="AQ411" s="12">
        <f t="shared" si="118"/>
        <v>1.1069250220372018</v>
      </c>
      <c r="AR411" s="12">
        <f t="shared" si="126"/>
        <v>1.7917974357091848</v>
      </c>
      <c r="AS411" s="12">
        <f t="shared" si="127"/>
        <v>1.0931466860333907</v>
      </c>
      <c r="AT411" s="12">
        <f t="shared" si="128"/>
        <v>1.2882227997389646</v>
      </c>
      <c r="AU411" s="12">
        <f t="shared" si="119"/>
        <v>0.8809906909111288</v>
      </c>
      <c r="AV411" s="12">
        <f t="shared" si="120"/>
        <v>0.36007173183920199</v>
      </c>
      <c r="AW411" s="12">
        <f t="shared" si="121"/>
        <v>0.43528855643588243</v>
      </c>
      <c r="AX411" s="12">
        <f t="shared" si="122"/>
        <v>0.94590902927861775</v>
      </c>
      <c r="AY411" s="12">
        <f t="shared" si="123"/>
        <v>0.3382009107471951</v>
      </c>
      <c r="AZ411" s="12">
        <f t="shared" si="124"/>
        <v>0.25495412463248618</v>
      </c>
      <c r="BA411" s="12">
        <f t="shared" si="129"/>
        <v>0.43153550257849349</v>
      </c>
      <c r="BB411" s="12">
        <f t="shared" si="130"/>
        <v>0.16250784721709211</v>
      </c>
      <c r="BC411" s="12">
        <f t="shared" si="131"/>
        <v>0.94973530770097025</v>
      </c>
      <c r="BD411" s="12">
        <f t="shared" si="132"/>
        <v>0.72618665660249171</v>
      </c>
      <c r="BE411" s="12">
        <f t="shared" si="133"/>
        <v>0.63712548024245519</v>
      </c>
      <c r="BF411" s="12">
        <f t="shared" si="134"/>
        <v>0.42292784185389715</v>
      </c>
      <c r="BG411" s="12">
        <f t="shared" si="135"/>
        <v>0.76706374796355525</v>
      </c>
      <c r="BH411" s="12">
        <f t="shared" si="136"/>
        <v>0.34757988699569264</v>
      </c>
      <c r="BI411" s="12">
        <f t="shared" si="137"/>
        <v>0.71818512988942207</v>
      </c>
    </row>
    <row r="412" spans="1:61" x14ac:dyDescent="0.55000000000000004">
      <c r="A412" s="12" t="s">
        <v>986</v>
      </c>
      <c r="B412" s="12" t="s">
        <v>987</v>
      </c>
      <c r="C412" s="12" t="s">
        <v>322</v>
      </c>
      <c r="D412" s="12" t="s">
        <v>9</v>
      </c>
      <c r="E412" s="12">
        <v>2367</v>
      </c>
      <c r="F412" s="12">
        <v>64.732176350101341</v>
      </c>
      <c r="G412" s="12">
        <v>33.045967939475446</v>
      </c>
      <c r="H412" s="14">
        <f t="shared" si="125"/>
        <v>78219.806112738384</v>
      </c>
      <c r="I412" s="12">
        <v>36.983770383940737</v>
      </c>
      <c r="J412" s="12">
        <v>10.952925723127212</v>
      </c>
      <c r="K412" s="12">
        <v>29.467141561072776</v>
      </c>
      <c r="L412" s="12">
        <v>47.673879107511247</v>
      </c>
      <c r="M412" s="12">
        <v>37.79506147608739</v>
      </c>
      <c r="N412" s="12">
        <v>12.529644676876657</v>
      </c>
      <c r="O412" s="12">
        <v>6.3610460967580966</v>
      </c>
      <c r="P412" s="12">
        <v>39.151185356241214</v>
      </c>
      <c r="Q412" s="12">
        <v>534.13788738000517</v>
      </c>
      <c r="R412" s="15">
        <v>46.052833652320174</v>
      </c>
      <c r="S412" s="15">
        <v>1003.9207854496379</v>
      </c>
      <c r="T412" s="15">
        <v>1056.8211193062882</v>
      </c>
      <c r="U412" s="12">
        <v>30.503023357274266</v>
      </c>
      <c r="V412" s="12">
        <v>5.4489822661055474</v>
      </c>
      <c r="W412" s="12">
        <v>46.140548093991178</v>
      </c>
      <c r="X412" s="12">
        <v>49.640973974900582</v>
      </c>
      <c r="Y412" s="12">
        <v>31.385401577854921</v>
      </c>
      <c r="Z412" s="12">
        <v>13.937809952983507</v>
      </c>
      <c r="AA412" s="12">
        <v>13.45652045667601</v>
      </c>
      <c r="AB412" s="12">
        <v>34.486756094413629</v>
      </c>
      <c r="AC412" s="12">
        <v>36.672892659260995</v>
      </c>
      <c r="AD412" s="12">
        <v>13.43041355946619</v>
      </c>
      <c r="AE412" s="12">
        <v>22.349864246523559</v>
      </c>
      <c r="AF412" s="12">
        <v>43.120284147594852</v>
      </c>
      <c r="AG412" s="12">
        <v>621.0978260364717</v>
      </c>
      <c r="AH412" s="12">
        <v>189.31628727107827</v>
      </c>
      <c r="AI412" s="12">
        <v>1671.2533402264633</v>
      </c>
      <c r="AJ412" s="12">
        <v>1778.5893240504508</v>
      </c>
      <c r="AK412" s="12">
        <v>1987.2510969749846</v>
      </c>
      <c r="AL412" s="12">
        <v>1092.1956746239962</v>
      </c>
      <c r="AM412" s="12">
        <v>2291.5025529744844</v>
      </c>
      <c r="AN412" s="12">
        <v>3005.1840383363296</v>
      </c>
      <c r="AP412" s="12">
        <f t="shared" si="117"/>
        <v>1.442653433387916</v>
      </c>
      <c r="AQ412" s="12">
        <f t="shared" si="118"/>
        <v>1.1847492386347294</v>
      </c>
      <c r="AR412" s="12">
        <f t="shared" si="126"/>
        <v>1.5021794509339028</v>
      </c>
      <c r="AS412" s="12">
        <f t="shared" si="127"/>
        <v>1.0435995143969463</v>
      </c>
      <c r="AT412" s="12">
        <f t="shared" si="128"/>
        <v>1.3048576524243678</v>
      </c>
      <c r="AU412" s="12">
        <f t="shared" si="119"/>
        <v>0.77576591366809433</v>
      </c>
      <c r="AV412" s="12">
        <f t="shared" si="120"/>
        <v>0.22974689553637614</v>
      </c>
      <c r="AW412" s="12">
        <f t="shared" si="121"/>
        <v>0.61809825658659456</v>
      </c>
      <c r="AX412" s="12">
        <f t="shared" si="122"/>
        <v>0.96536186917932898</v>
      </c>
      <c r="AY412" s="12">
        <f t="shared" si="123"/>
        <v>0.32003231991235909</v>
      </c>
      <c r="AZ412" s="12">
        <f t="shared" si="124"/>
        <v>0.16247390823236116</v>
      </c>
      <c r="BA412" s="12">
        <f t="shared" si="129"/>
        <v>0.61447270097273221</v>
      </c>
      <c r="BB412" s="12">
        <f t="shared" si="130"/>
        <v>0.1097678355154888</v>
      </c>
      <c r="BC412" s="12">
        <f t="shared" si="131"/>
        <v>0.92948514904886259</v>
      </c>
      <c r="BD412" s="12">
        <f t="shared" si="132"/>
        <v>0.91007114417870449</v>
      </c>
      <c r="BE412" s="12">
        <f t="shared" si="133"/>
        <v>0.40414963688745537</v>
      </c>
      <c r="BF412" s="12">
        <f t="shared" si="134"/>
        <v>0.39019385934230499</v>
      </c>
      <c r="BG412" s="12">
        <f t="shared" si="135"/>
        <v>0.85047891924215258</v>
      </c>
      <c r="BH412" s="12">
        <f t="shared" si="136"/>
        <v>0.31146393918685034</v>
      </c>
      <c r="BI412" s="12">
        <f t="shared" si="137"/>
        <v>0.51831440094464643</v>
      </c>
    </row>
    <row r="413" spans="1:61" x14ac:dyDescent="0.55000000000000004">
      <c r="A413" s="12" t="s">
        <v>988</v>
      </c>
      <c r="B413" s="12" t="s">
        <v>989</v>
      </c>
      <c r="C413" s="12" t="s">
        <v>322</v>
      </c>
      <c r="D413" s="12" t="s">
        <v>9</v>
      </c>
      <c r="E413" s="12">
        <v>2446</v>
      </c>
      <c r="F413" s="12">
        <v>64.432677237098048</v>
      </c>
      <c r="G413" s="12">
        <v>40.538982224944242</v>
      </c>
      <c r="H413" s="14">
        <f t="shared" si="125"/>
        <v>99158.350522213615</v>
      </c>
      <c r="I413" s="12">
        <v>37.730172520121997</v>
      </c>
      <c r="J413" s="12">
        <v>19.298627978932121</v>
      </c>
      <c r="K413" s="12">
        <v>24.530877635530675</v>
      </c>
      <c r="L413" s="12">
        <v>43.271854006970521</v>
      </c>
      <c r="M413" s="12">
        <v>33.866280205907749</v>
      </c>
      <c r="N413" s="12">
        <v>12.046325227796073</v>
      </c>
      <c r="O413" s="12">
        <v>12.314814989361995</v>
      </c>
      <c r="P413" s="12">
        <v>36.750180650949225</v>
      </c>
      <c r="Q413" s="12">
        <v>775.75352313263409</v>
      </c>
      <c r="R413" s="15">
        <v>123.69093308396066</v>
      </c>
      <c r="S413" s="15">
        <v>812.45709150392179</v>
      </c>
      <c r="T413" s="15">
        <v>995.55670431049327</v>
      </c>
      <c r="U413" s="12">
        <v>40.409598057884828</v>
      </c>
      <c r="V413" s="12">
        <v>9.1417518445975734</v>
      </c>
      <c r="W413" s="12">
        <v>49.47058099696234</v>
      </c>
      <c r="X413" s="12">
        <v>52.112838520463924</v>
      </c>
      <c r="Y413" s="12">
        <v>30.96620841663233</v>
      </c>
      <c r="Z413" s="12">
        <v>25.560133449055442</v>
      </c>
      <c r="AA413" s="12">
        <v>22.875351802534261</v>
      </c>
      <c r="AB413" s="12">
        <v>41.014370166389661</v>
      </c>
      <c r="AC413" s="12">
        <v>33.8381316345858</v>
      </c>
      <c r="AD413" s="12">
        <v>18.472978158445844</v>
      </c>
      <c r="AE413" s="12">
        <v>41.283667095589401</v>
      </c>
      <c r="AF413" s="12">
        <v>51.718717561576256</v>
      </c>
      <c r="AG413" s="12">
        <v>695.79616064255208</v>
      </c>
      <c r="AH413" s="12">
        <v>399.2280775850835</v>
      </c>
      <c r="AI413" s="12">
        <v>1747.9914976684267</v>
      </c>
      <c r="AJ413" s="12">
        <v>1812.7804331731993</v>
      </c>
      <c r="AK413" s="12">
        <v>1538.4421311583053</v>
      </c>
      <c r="AL413" s="12">
        <v>2994.3245502047439</v>
      </c>
      <c r="AM413" s="12">
        <v>2610.8280744080721</v>
      </c>
      <c r="AN413" s="12">
        <v>3248.1600848740268</v>
      </c>
      <c r="AP413" s="12">
        <f t="shared" si="117"/>
        <v>1.0674134285577772</v>
      </c>
      <c r="AQ413" s="12">
        <f t="shared" si="118"/>
        <v>0.90653930202362831</v>
      </c>
      <c r="AR413" s="12">
        <f t="shared" si="126"/>
        <v>1.2854994294454218</v>
      </c>
      <c r="AS413" s="12">
        <f t="shared" si="127"/>
        <v>1.0117266866446615</v>
      </c>
      <c r="AT413" s="12">
        <f t="shared" si="128"/>
        <v>1.2757774054266453</v>
      </c>
      <c r="AU413" s="12">
        <f t="shared" si="119"/>
        <v>0.87193334757609797</v>
      </c>
      <c r="AV413" s="12">
        <f t="shared" si="120"/>
        <v>0.44598569721147996</v>
      </c>
      <c r="AW413" s="12">
        <f t="shared" si="121"/>
        <v>0.56690146975396705</v>
      </c>
      <c r="AX413" s="12">
        <f t="shared" si="122"/>
        <v>0.92152690425027917</v>
      </c>
      <c r="AY413" s="12">
        <f t="shared" si="123"/>
        <v>0.32778955135516935</v>
      </c>
      <c r="AZ413" s="12">
        <f t="shared" si="124"/>
        <v>0.33509535929434714</v>
      </c>
      <c r="BA413" s="12">
        <f t="shared" si="129"/>
        <v>0.77542500476186094</v>
      </c>
      <c r="BB413" s="12">
        <f t="shared" si="130"/>
        <v>0.17542225877808873</v>
      </c>
      <c r="BC413" s="12">
        <f t="shared" si="131"/>
        <v>0.94929737856317287</v>
      </c>
      <c r="BD413" s="12">
        <f t="shared" si="132"/>
        <v>0.75500875159137348</v>
      </c>
      <c r="BE413" s="12">
        <f t="shared" si="133"/>
        <v>0.62319946266056248</v>
      </c>
      <c r="BF413" s="12">
        <f t="shared" si="134"/>
        <v>0.55773992651190551</v>
      </c>
      <c r="BG413" s="12">
        <f t="shared" si="135"/>
        <v>0.65427244197032053</v>
      </c>
      <c r="BH413" s="12">
        <f t="shared" si="136"/>
        <v>0.35718167482501734</v>
      </c>
      <c r="BI413" s="12">
        <f t="shared" si="137"/>
        <v>0.79823454722049336</v>
      </c>
    </row>
    <row r="414" spans="1:61" x14ac:dyDescent="0.55000000000000004">
      <c r="A414" s="12" t="s">
        <v>990</v>
      </c>
      <c r="B414" s="12" t="s">
        <v>991</v>
      </c>
      <c r="C414" s="12" t="s">
        <v>322</v>
      </c>
      <c r="D414" s="12" t="s">
        <v>9</v>
      </c>
      <c r="E414" s="12">
        <v>2339</v>
      </c>
      <c r="F414" s="12">
        <v>67.821919189323197</v>
      </c>
      <c r="G414" s="12">
        <v>38.475977708511422</v>
      </c>
      <c r="H414" s="14">
        <f t="shared" si="125"/>
        <v>89995.31186020821</v>
      </c>
      <c r="I414" s="12">
        <v>46.878663579225289</v>
      </c>
      <c r="J414" s="12">
        <v>23.689313536656357</v>
      </c>
      <c r="K414" s="12">
        <v>26.256967116433234</v>
      </c>
      <c r="L414" s="12">
        <v>55.428286185728972</v>
      </c>
      <c r="M414" s="12">
        <v>35.019604026839083</v>
      </c>
      <c r="N414" s="12">
        <v>16.814311004992447</v>
      </c>
      <c r="O414" s="12">
        <v>8.0126658084088973</v>
      </c>
      <c r="P414" s="12">
        <v>38.173928017386956</v>
      </c>
      <c r="Q414" s="12">
        <v>334.47075802891311</v>
      </c>
      <c r="R414" s="15">
        <v>205.39850268953077</v>
      </c>
      <c r="S414" s="15">
        <v>1221.7966481285284</v>
      </c>
      <c r="T414" s="15">
        <v>1223.7791323785671</v>
      </c>
      <c r="U414" s="12">
        <v>42.852599757203485</v>
      </c>
      <c r="V414" s="12">
        <v>21.057684291281983</v>
      </c>
      <c r="W414" s="12">
        <v>57.215180898482934</v>
      </c>
      <c r="X414" s="12">
        <v>60.164395421009985</v>
      </c>
      <c r="Y414" s="12">
        <v>30.52167484531212</v>
      </c>
      <c r="Z414" s="12">
        <v>22.546402959079696</v>
      </c>
      <c r="AA414" s="12">
        <v>21.745188532971074</v>
      </c>
      <c r="AB414" s="12">
        <v>39.855169207979074</v>
      </c>
      <c r="AC414" s="12">
        <v>53.572570882380212</v>
      </c>
      <c r="AD414" s="12">
        <v>25.048825631609212</v>
      </c>
      <c r="AE414" s="12">
        <v>41.025675264014893</v>
      </c>
      <c r="AF414" s="12">
        <v>67.170325838632323</v>
      </c>
      <c r="AG414" s="12">
        <v>713.57316109206295</v>
      </c>
      <c r="AH414" s="12">
        <v>488.70385861968572</v>
      </c>
      <c r="AI414" s="12">
        <v>2039.7700824764056</v>
      </c>
      <c r="AJ414" s="12">
        <v>2116.6973065040975</v>
      </c>
      <c r="AK414" s="12">
        <v>2122.1692036202585</v>
      </c>
      <c r="AL414" s="12">
        <v>2858.4173722831929</v>
      </c>
      <c r="AM414" s="12">
        <v>4717.8768755195406</v>
      </c>
      <c r="AN414" s="12">
        <v>5134.1510098118488</v>
      </c>
      <c r="AP414" s="12">
        <f t="shared" si="117"/>
        <v>1.4405946121927258</v>
      </c>
      <c r="AQ414" s="12">
        <f t="shared" si="118"/>
        <v>0.99214965521051202</v>
      </c>
      <c r="AR414" s="12">
        <f t="shared" si="126"/>
        <v>1.5636872408235329</v>
      </c>
      <c r="AS414" s="12">
        <f t="shared" si="127"/>
        <v>1.0358455218452463</v>
      </c>
      <c r="AT414" s="12">
        <f t="shared" si="128"/>
        <v>1.7457730729419076</v>
      </c>
      <c r="AU414" s="12">
        <f t="shared" si="119"/>
        <v>0.84575343755252275</v>
      </c>
      <c r="AV414" s="12">
        <f t="shared" si="120"/>
        <v>0.4273867219577791</v>
      </c>
      <c r="AW414" s="12">
        <f t="shared" si="121"/>
        <v>0.47371060740451998</v>
      </c>
      <c r="AX414" s="12">
        <f t="shared" si="122"/>
        <v>0.91736967730668995</v>
      </c>
      <c r="AY414" s="12">
        <f t="shared" si="123"/>
        <v>0.4404658330506121</v>
      </c>
      <c r="AZ414" s="12">
        <f t="shared" si="124"/>
        <v>0.20989890809139145</v>
      </c>
      <c r="BA414" s="12">
        <f t="shared" si="129"/>
        <v>0.71225846212424415</v>
      </c>
      <c r="BB414" s="12">
        <f t="shared" si="130"/>
        <v>0.35000242492137529</v>
      </c>
      <c r="BC414" s="12">
        <f t="shared" si="131"/>
        <v>0.95098073367330549</v>
      </c>
      <c r="BD414" s="12">
        <f t="shared" si="132"/>
        <v>0.76581470990723155</v>
      </c>
      <c r="BE414" s="12">
        <f t="shared" si="133"/>
        <v>0.56570837377265148</v>
      </c>
      <c r="BF414" s="12">
        <f t="shared" si="134"/>
        <v>0.54560522424322433</v>
      </c>
      <c r="BG414" s="12">
        <f t="shared" si="135"/>
        <v>0.79756306395001142</v>
      </c>
      <c r="BH414" s="12">
        <f t="shared" si="136"/>
        <v>0.37291505317073564</v>
      </c>
      <c r="BI414" s="12">
        <f t="shared" si="137"/>
        <v>0.61077082404771366</v>
      </c>
    </row>
    <row r="415" spans="1:61" x14ac:dyDescent="0.55000000000000004">
      <c r="A415" s="12" t="s">
        <v>992</v>
      </c>
      <c r="B415" s="12" t="s">
        <v>993</v>
      </c>
      <c r="C415" s="12" t="s">
        <v>322</v>
      </c>
      <c r="D415" s="12" t="s">
        <v>9</v>
      </c>
      <c r="E415" s="12">
        <v>2373</v>
      </c>
      <c r="F415" s="12">
        <v>65.701580751326389</v>
      </c>
      <c r="G415" s="12">
        <v>32.902736481040577</v>
      </c>
      <c r="H415" s="14">
        <f t="shared" si="125"/>
        <v>78078.193669509288</v>
      </c>
      <c r="I415" s="12">
        <v>30.97812571578546</v>
      </c>
      <c r="J415" s="12">
        <v>23.862171670250881</v>
      </c>
      <c r="K415" s="12">
        <v>24.460189540693118</v>
      </c>
      <c r="L415" s="12">
        <v>39.95521858835631</v>
      </c>
      <c r="M415" s="12">
        <v>34.374656768143389</v>
      </c>
      <c r="N415" s="12">
        <v>14.059638122637123</v>
      </c>
      <c r="O415" s="12">
        <v>14.572949290272836</v>
      </c>
      <c r="P415" s="12">
        <v>39.169541269761055</v>
      </c>
      <c r="Q415" s="12">
        <v>357.41993932883503</v>
      </c>
      <c r="R415" s="15">
        <v>172.88537881885941</v>
      </c>
      <c r="S415" s="15">
        <v>1131.2505421323558</v>
      </c>
      <c r="T415" s="15">
        <v>1171.8046537590519</v>
      </c>
      <c r="U415" s="12">
        <v>21.932692708466874</v>
      </c>
      <c r="V415" s="12">
        <v>8.1490136035169094</v>
      </c>
      <c r="W415" s="12">
        <v>53.997099012223657</v>
      </c>
      <c r="X415" s="12">
        <v>57.938302420865874</v>
      </c>
      <c r="Y415" s="12">
        <v>33.186002670906134</v>
      </c>
      <c r="Z415" s="12">
        <v>22.642987341741097</v>
      </c>
      <c r="AA415" s="12">
        <v>51.594272447485395</v>
      </c>
      <c r="AB415" s="12">
        <v>56.202650083940767</v>
      </c>
      <c r="AC415" s="12">
        <v>47.173820624103911</v>
      </c>
      <c r="AD415" s="12">
        <v>20.38830055140253</v>
      </c>
      <c r="AE415" s="12">
        <v>35.478247313425179</v>
      </c>
      <c r="AF415" s="12">
        <v>55.719075209813425</v>
      </c>
      <c r="AG415" s="12">
        <v>740.99186071090435</v>
      </c>
      <c r="AH415" s="12">
        <v>30.427625537453501</v>
      </c>
      <c r="AI415" s="12">
        <v>1984.6832273232594</v>
      </c>
      <c r="AJ415" s="12">
        <v>2091.3045394004789</v>
      </c>
      <c r="AK415" s="12">
        <v>2174.7068330969491</v>
      </c>
      <c r="AL415" s="12">
        <v>1349.9686122990477</v>
      </c>
      <c r="AM415" s="12">
        <v>3958.1246560306058</v>
      </c>
      <c r="AN415" s="12">
        <v>4488.8616089197967</v>
      </c>
      <c r="AP415" s="12">
        <f t="shared" si="117"/>
        <v>1.2143433301172246</v>
      </c>
      <c r="AQ415" s="12">
        <f t="shared" si="118"/>
        <v>1.1904645466899562</v>
      </c>
      <c r="AR415" s="12">
        <f t="shared" si="126"/>
        <v>1.7608961629757285</v>
      </c>
      <c r="AS415" s="12">
        <f t="shared" si="127"/>
        <v>1.7081451603980178</v>
      </c>
      <c r="AT415" s="12">
        <f t="shared" si="128"/>
        <v>1.6934480583984322</v>
      </c>
      <c r="AU415" s="12">
        <f t="shared" si="119"/>
        <v>0.77532114227534366</v>
      </c>
      <c r="AV415" s="12">
        <f t="shared" si="120"/>
        <v>0.59722290387380739</v>
      </c>
      <c r="AW415" s="12">
        <f t="shared" si="121"/>
        <v>0.61219010694691256</v>
      </c>
      <c r="AX415" s="12">
        <f t="shared" si="122"/>
        <v>0.87758640141850919</v>
      </c>
      <c r="AY415" s="12">
        <f t="shared" si="123"/>
        <v>0.35894313966579905</v>
      </c>
      <c r="AZ415" s="12">
        <f t="shared" si="124"/>
        <v>0.37204799489247975</v>
      </c>
      <c r="BA415" s="12">
        <f t="shared" si="129"/>
        <v>0.37855256008619342</v>
      </c>
      <c r="BB415" s="12">
        <f t="shared" si="130"/>
        <v>0.14064985101431152</v>
      </c>
      <c r="BC415" s="12">
        <f t="shared" si="131"/>
        <v>0.93197585631672164</v>
      </c>
      <c r="BD415" s="12">
        <f t="shared" si="132"/>
        <v>0.59047042481700762</v>
      </c>
      <c r="BE415" s="12">
        <f t="shared" si="133"/>
        <v>0.40288113297011702</v>
      </c>
      <c r="BF415" s="12">
        <f t="shared" si="134"/>
        <v>0.91800426439727334</v>
      </c>
      <c r="BG415" s="12">
        <f t="shared" si="135"/>
        <v>0.84663681955359349</v>
      </c>
      <c r="BH415" s="12">
        <f t="shared" si="136"/>
        <v>0.36591240027996152</v>
      </c>
      <c r="BI415" s="12">
        <f t="shared" si="137"/>
        <v>0.63673431728415752</v>
      </c>
    </row>
    <row r="416" spans="1:61" x14ac:dyDescent="0.55000000000000004">
      <c r="A416" s="12" t="s">
        <v>994</v>
      </c>
      <c r="B416" s="12" t="s">
        <v>995</v>
      </c>
      <c r="C416" s="12" t="s">
        <v>322</v>
      </c>
      <c r="D416" s="12" t="s">
        <v>9</v>
      </c>
      <c r="E416" s="12">
        <v>2376</v>
      </c>
      <c r="F416" s="12">
        <v>66.156317511524762</v>
      </c>
      <c r="G416" s="12">
        <v>36.832609716760572</v>
      </c>
      <c r="H416" s="14">
        <f t="shared" si="125"/>
        <v>87514.280687023114</v>
      </c>
      <c r="I416" s="12">
        <v>36.998372345224162</v>
      </c>
      <c r="J416" s="12">
        <v>20.522859913604123</v>
      </c>
      <c r="K416" s="12">
        <v>21.100515624460279</v>
      </c>
      <c r="L416" s="12">
        <v>40.515841487451119</v>
      </c>
      <c r="M416" s="12">
        <v>40.686426938039119</v>
      </c>
      <c r="N416" s="12">
        <v>19.171021940030975</v>
      </c>
      <c r="O416" s="12">
        <v>9.0381718746471371</v>
      </c>
      <c r="P416" s="12">
        <v>44.517695124638934</v>
      </c>
      <c r="Q416" s="12">
        <v>547.9768175803232</v>
      </c>
      <c r="R416" s="15">
        <v>55.749667413858752</v>
      </c>
      <c r="S416" s="15">
        <v>950.03092995819941</v>
      </c>
      <c r="T416" s="15">
        <v>980.48687493094076</v>
      </c>
      <c r="U416" s="12">
        <v>30.850871969868393</v>
      </c>
      <c r="V416" s="12">
        <v>16.982227233524501</v>
      </c>
      <c r="W416" s="12">
        <v>57.718769034163252</v>
      </c>
      <c r="X416" s="12">
        <v>62.529892019581617</v>
      </c>
      <c r="Y416" s="12">
        <v>34.01267771465821</v>
      </c>
      <c r="Z416" s="12">
        <v>20.214791882101931</v>
      </c>
      <c r="AA416" s="12">
        <v>64.508024292661901</v>
      </c>
      <c r="AB416" s="12">
        <v>68.484749038599873</v>
      </c>
      <c r="AC416" s="12">
        <v>47.914614745884322</v>
      </c>
      <c r="AD416" s="12">
        <v>14.77126819234282</v>
      </c>
      <c r="AE416" s="12">
        <v>28.133654539735751</v>
      </c>
      <c r="AF416" s="12">
        <v>55.561960190200033</v>
      </c>
      <c r="AG416" s="12">
        <v>810.81807928423211</v>
      </c>
      <c r="AH416" s="12">
        <v>35.294830857240363</v>
      </c>
      <c r="AI416" s="12">
        <v>2147.6031157273896</v>
      </c>
      <c r="AJ416" s="12">
        <v>2294.9933542743306</v>
      </c>
      <c r="AK416" s="12">
        <v>2838.5750950838478</v>
      </c>
      <c r="AL416" s="12">
        <v>1043.9128259001413</v>
      </c>
      <c r="AM416" s="12">
        <v>2813.1689868678523</v>
      </c>
      <c r="AN416" s="12">
        <v>3955.7804382442041</v>
      </c>
      <c r="AP416" s="12">
        <f t="shared" si="117"/>
        <v>1.099999207197488</v>
      </c>
      <c r="AQ416" s="12">
        <f t="shared" si="118"/>
        <v>1.2086489517570427</v>
      </c>
      <c r="AR416" s="12">
        <f t="shared" si="126"/>
        <v>1.6976774792888913</v>
      </c>
      <c r="AS416" s="12">
        <f t="shared" si="127"/>
        <v>1.8593509817860145</v>
      </c>
      <c r="AT416" s="12">
        <f t="shared" si="128"/>
        <v>1.5084991429460597</v>
      </c>
      <c r="AU416" s="12">
        <f t="shared" si="119"/>
        <v>0.91318286840182217</v>
      </c>
      <c r="AV416" s="12">
        <f t="shared" si="120"/>
        <v>0.50653915012380091</v>
      </c>
      <c r="AW416" s="12">
        <f t="shared" si="121"/>
        <v>0.52079667729462542</v>
      </c>
      <c r="AX416" s="12">
        <f t="shared" si="122"/>
        <v>0.91393830754550121</v>
      </c>
      <c r="AY416" s="12">
        <f t="shared" si="123"/>
        <v>0.4306382414084261</v>
      </c>
      <c r="AZ416" s="12">
        <f t="shared" si="124"/>
        <v>0.20302425472258639</v>
      </c>
      <c r="BA416" s="12">
        <f t="shared" si="129"/>
        <v>0.49337798248887516</v>
      </c>
      <c r="BB416" s="12">
        <f t="shared" si="130"/>
        <v>0.27158574379444655</v>
      </c>
      <c r="BC416" s="12">
        <f t="shared" si="131"/>
        <v>0.92305883106416153</v>
      </c>
      <c r="BD416" s="12">
        <f t="shared" si="132"/>
        <v>0.49664601523892182</v>
      </c>
      <c r="BE416" s="12">
        <f t="shared" si="133"/>
        <v>0.29517216848832029</v>
      </c>
      <c r="BF416" s="12">
        <f t="shared" si="134"/>
        <v>0.94193269593940421</v>
      </c>
      <c r="BG416" s="12">
        <f t="shared" si="135"/>
        <v>0.86236364919205022</v>
      </c>
      <c r="BH416" s="12">
        <f t="shared" si="136"/>
        <v>0.26585217911279097</v>
      </c>
      <c r="BI416" s="12">
        <f t="shared" si="137"/>
        <v>0.50634740825248892</v>
      </c>
    </row>
    <row r="417" spans="1:61" x14ac:dyDescent="0.55000000000000004">
      <c r="A417" s="12" t="s">
        <v>996</v>
      </c>
      <c r="B417" s="12" t="s">
        <v>997</v>
      </c>
      <c r="C417" s="12" t="s">
        <v>8</v>
      </c>
      <c r="D417" s="12" t="s">
        <v>9</v>
      </c>
      <c r="E417" s="12">
        <v>2250</v>
      </c>
      <c r="F417" s="12">
        <v>67.861063938273233</v>
      </c>
      <c r="G417" s="12">
        <v>41.291217179430831</v>
      </c>
      <c r="H417" s="14">
        <f t="shared" si="125"/>
        <v>92905.238653719367</v>
      </c>
      <c r="I417" s="12">
        <v>38.89745230139826</v>
      </c>
      <c r="J417" s="12">
        <v>9.303175583915209</v>
      </c>
      <c r="K417" s="12">
        <v>17.744409084680484</v>
      </c>
      <c r="L417" s="12">
        <v>41.96091301964988</v>
      </c>
      <c r="M417" s="12">
        <v>36.202895564035884</v>
      </c>
      <c r="N417" s="12">
        <v>10.922612423774137</v>
      </c>
      <c r="O417" s="12">
        <v>5.6383274710032749</v>
      </c>
      <c r="P417" s="12">
        <v>37.362936715060137</v>
      </c>
      <c r="Q417" s="12">
        <v>545.29124526863802</v>
      </c>
      <c r="R417" s="15">
        <v>194.04872149714544</v>
      </c>
      <c r="S417" s="15">
        <v>744.38597833672191</v>
      </c>
      <c r="T417" s="15">
        <v>785.73529679987394</v>
      </c>
      <c r="U417" s="12">
        <v>29.314902251882117</v>
      </c>
      <c r="V417" s="12">
        <v>18.023413318685815</v>
      </c>
      <c r="W417" s="12">
        <v>68.909999391010672</v>
      </c>
      <c r="X417" s="12">
        <v>73.164017834429615</v>
      </c>
      <c r="Y417" s="12">
        <v>34.574459048797671</v>
      </c>
      <c r="Z417" s="12">
        <v>24.689704690211084</v>
      </c>
      <c r="AA417" s="12">
        <v>80.341851544601724</v>
      </c>
      <c r="AB417" s="12">
        <v>89.823768966565595</v>
      </c>
      <c r="AC417" s="12">
        <v>32.497964070528198</v>
      </c>
      <c r="AD417" s="12">
        <v>10.540654985627011</v>
      </c>
      <c r="AE417" s="12">
        <v>39.172904758994093</v>
      </c>
      <c r="AF417" s="12">
        <v>46.635659550405975</v>
      </c>
      <c r="AG417" s="12">
        <v>970.99617161354308</v>
      </c>
      <c r="AH417" s="12">
        <v>97.311773226509899</v>
      </c>
      <c r="AI417" s="12">
        <v>2562.4797822517207</v>
      </c>
      <c r="AJ417" s="12">
        <v>2707.3145333122629</v>
      </c>
      <c r="AK417" s="12">
        <v>2311.5293573149352</v>
      </c>
      <c r="AL417" s="12">
        <v>3115.0277209431561</v>
      </c>
      <c r="AM417" s="12">
        <v>2151.2518329623863</v>
      </c>
      <c r="AN417" s="12">
        <v>3151.6499674649049</v>
      </c>
      <c r="AP417" s="12">
        <f t="shared" si="117"/>
        <v>1.0162188447317717</v>
      </c>
      <c r="AQ417" s="12">
        <f t="shared" si="118"/>
        <v>0.90486401872581368</v>
      </c>
      <c r="AR417" s="12">
        <f t="shared" si="126"/>
        <v>1.771902666770409</v>
      </c>
      <c r="AS417" s="12">
        <f t="shared" si="127"/>
        <v>2.1753722729033815</v>
      </c>
      <c r="AT417" s="12">
        <f t="shared" si="128"/>
        <v>1.1294329093703122</v>
      </c>
      <c r="AU417" s="12">
        <f t="shared" si="119"/>
        <v>0.92699251522918413</v>
      </c>
      <c r="AV417" s="12">
        <f t="shared" si="120"/>
        <v>0.22171051377167661</v>
      </c>
      <c r="AW417" s="12">
        <f t="shared" si="121"/>
        <v>0.42287948015742538</v>
      </c>
      <c r="AX417" s="12">
        <f t="shared" si="122"/>
        <v>0.96895208853974624</v>
      </c>
      <c r="AY417" s="12">
        <f t="shared" si="123"/>
        <v>0.29233816675260121</v>
      </c>
      <c r="AZ417" s="12">
        <f t="shared" si="124"/>
        <v>0.15090696735116635</v>
      </c>
      <c r="BA417" s="12">
        <f t="shared" si="129"/>
        <v>0.40067376176936903</v>
      </c>
      <c r="BB417" s="12">
        <f t="shared" si="130"/>
        <v>0.24634258549705201</v>
      </c>
      <c r="BC417" s="12">
        <f t="shared" si="131"/>
        <v>0.94185641290168343</v>
      </c>
      <c r="BD417" s="12">
        <f t="shared" si="132"/>
        <v>0.38491436561370579</v>
      </c>
      <c r="BE417" s="12">
        <f t="shared" si="133"/>
        <v>0.27486827789870566</v>
      </c>
      <c r="BF417" s="12">
        <f t="shared" si="134"/>
        <v>0.89443865993317151</v>
      </c>
      <c r="BG417" s="12">
        <f t="shared" si="135"/>
        <v>0.69684795677442701</v>
      </c>
      <c r="BH417" s="12">
        <f t="shared" si="136"/>
        <v>0.2260213554873001</v>
      </c>
      <c r="BI417" s="12">
        <f t="shared" si="137"/>
        <v>0.83997750083611888</v>
      </c>
    </row>
    <row r="418" spans="1:61" x14ac:dyDescent="0.55000000000000004">
      <c r="A418" s="12" t="s">
        <v>998</v>
      </c>
      <c r="B418" s="12" t="s">
        <v>999</v>
      </c>
      <c r="C418" s="12" t="s">
        <v>8</v>
      </c>
      <c r="D418" s="12" t="s">
        <v>9</v>
      </c>
      <c r="E418" s="12">
        <v>1547</v>
      </c>
      <c r="F418" s="12">
        <v>66.089671534151151</v>
      </c>
      <c r="G418" s="12">
        <v>34.478030418411031</v>
      </c>
      <c r="H418" s="14">
        <f t="shared" si="125"/>
        <v>53337.513057281867</v>
      </c>
      <c r="I418" s="12">
        <v>35.140065344533497</v>
      </c>
      <c r="J418" s="12">
        <v>6.6559490080588173</v>
      </c>
      <c r="K418" s="12">
        <v>26.226337346705851</v>
      </c>
      <c r="L418" s="12">
        <v>40.256307219933632</v>
      </c>
      <c r="M418" s="12">
        <v>39.262828774281815</v>
      </c>
      <c r="N418" s="12">
        <v>17.430442667633379</v>
      </c>
      <c r="O418" s="12">
        <v>8.2398286651550183</v>
      </c>
      <c r="P418" s="12">
        <v>42.572861058725913</v>
      </c>
      <c r="Q418" s="12">
        <v>648.06771750993971</v>
      </c>
      <c r="R418" s="15">
        <v>74.904144443825814</v>
      </c>
      <c r="S418" s="15">
        <v>1104.77432762126</v>
      </c>
      <c r="T418" s="15">
        <v>1160.4813693270244</v>
      </c>
      <c r="U418" s="12">
        <v>57.441109260187055</v>
      </c>
      <c r="V418" s="12">
        <v>20.756835429420754</v>
      </c>
      <c r="W418" s="12">
        <v>33.850996854718815</v>
      </c>
      <c r="X418" s="12">
        <v>59.564853038233586</v>
      </c>
      <c r="Y418" s="12">
        <v>25.109199782310128</v>
      </c>
      <c r="Z418" s="12">
        <v>31.934399840733235</v>
      </c>
      <c r="AA418" s="12">
        <v>110.1134104157525</v>
      </c>
      <c r="AB418" s="12">
        <v>111.34990163484477</v>
      </c>
      <c r="AC418" s="12">
        <v>36.703582926304193</v>
      </c>
      <c r="AD418" s="12">
        <v>21.863385585166995</v>
      </c>
      <c r="AE418" s="12">
        <v>43.077023566136084</v>
      </c>
      <c r="AF418" s="12">
        <v>48.354746067974524</v>
      </c>
      <c r="AG418" s="12">
        <v>1056.1504120956315</v>
      </c>
      <c r="AH418" s="12">
        <v>718.97562005716475</v>
      </c>
      <c r="AI418" s="12">
        <v>1555.1994169163604</v>
      </c>
      <c r="AJ418" s="12">
        <v>1806.9305464087195</v>
      </c>
      <c r="AK418" s="12">
        <v>4135.2294588723908</v>
      </c>
      <c r="AL418" s="12">
        <v>5330.5709106848944</v>
      </c>
      <c r="AM418" s="12">
        <v>1245.4054826518463</v>
      </c>
      <c r="AN418" s="12">
        <v>5658.9337571203841</v>
      </c>
      <c r="AP418" s="12">
        <f t="shared" si="117"/>
        <v>1.1675930072396781</v>
      </c>
      <c r="AQ418" s="12">
        <f t="shared" si="118"/>
        <v>1.2347822814145526</v>
      </c>
      <c r="AR418" s="12">
        <f t="shared" si="126"/>
        <v>1.7276176253509645</v>
      </c>
      <c r="AS418" s="12">
        <f t="shared" si="127"/>
        <v>3.2295899818971296</v>
      </c>
      <c r="AT418" s="12">
        <f t="shared" si="128"/>
        <v>1.4024799410279951</v>
      </c>
      <c r="AU418" s="12">
        <f t="shared" si="119"/>
        <v>0.87290831601993701</v>
      </c>
      <c r="AV418" s="12">
        <f t="shared" si="120"/>
        <v>0.16533928389643759</v>
      </c>
      <c r="AW418" s="12">
        <f t="shared" si="121"/>
        <v>0.65148393277661121</v>
      </c>
      <c r="AX418" s="12">
        <f t="shared" si="122"/>
        <v>0.9222501799942886</v>
      </c>
      <c r="AY418" s="12">
        <f t="shared" si="123"/>
        <v>0.40942615164128748</v>
      </c>
      <c r="AZ418" s="12">
        <f t="shared" si="124"/>
        <v>0.19354650968345358</v>
      </c>
      <c r="BA418" s="12">
        <f t="shared" si="129"/>
        <v>0.96434568928285047</v>
      </c>
      <c r="BB418" s="12">
        <f t="shared" si="130"/>
        <v>0.34847455119376053</v>
      </c>
      <c r="BC418" s="12">
        <f t="shared" si="131"/>
        <v>0.56830488330073581</v>
      </c>
      <c r="BD418" s="12">
        <f t="shared" si="132"/>
        <v>0.22549817659158755</v>
      </c>
      <c r="BE418" s="12">
        <f t="shared" si="133"/>
        <v>0.28679324697975295</v>
      </c>
      <c r="BF418" s="12">
        <f t="shared" si="134"/>
        <v>0.98889544399287255</v>
      </c>
      <c r="BG418" s="12">
        <f t="shared" si="135"/>
        <v>0.75904819921312905</v>
      </c>
      <c r="BH418" s="12">
        <f t="shared" si="136"/>
        <v>0.45214559816801875</v>
      </c>
      <c r="BI418" s="12">
        <f t="shared" si="137"/>
        <v>0.89085409538870708</v>
      </c>
    </row>
    <row r="419" spans="1:61" x14ac:dyDescent="0.55000000000000004">
      <c r="A419" s="12" t="s">
        <v>1001</v>
      </c>
      <c r="B419" s="12" t="s">
        <v>1002</v>
      </c>
      <c r="C419" s="12" t="s">
        <v>51</v>
      </c>
      <c r="D419" s="12" t="s">
        <v>9</v>
      </c>
      <c r="E419" s="12">
        <v>1591</v>
      </c>
      <c r="F419" s="12">
        <v>70.630670098381685</v>
      </c>
      <c r="G419" s="12">
        <v>44.668795342756788</v>
      </c>
      <c r="H419" s="14">
        <f t="shared" si="125"/>
        <v>71068.053390326051</v>
      </c>
      <c r="I419" s="12">
        <v>42.188019433990462</v>
      </c>
      <c r="J419" s="12">
        <v>41.553101144735358</v>
      </c>
      <c r="K419" s="12">
        <v>23.921027686388044</v>
      </c>
      <c r="L419" s="12">
        <v>58.869576716171828</v>
      </c>
      <c r="M419" s="12">
        <v>36.383659229888508</v>
      </c>
      <c r="N419" s="12">
        <v>16.555480311441755</v>
      </c>
      <c r="O419" s="12">
        <v>27.228737394159634</v>
      </c>
      <c r="P419" s="12">
        <v>46.212513751496537</v>
      </c>
      <c r="Q419" s="12">
        <v>561.72581148661652</v>
      </c>
      <c r="R419" s="15">
        <v>340.70636405569496</v>
      </c>
      <c r="S419" s="15">
        <v>1065.8317655467361</v>
      </c>
      <c r="T419" s="15">
        <v>1164.0522243784021</v>
      </c>
      <c r="U419" s="12">
        <v>92.743535523462882</v>
      </c>
      <c r="V419" s="12">
        <v>34.463143699497479</v>
      </c>
      <c r="W419" s="12">
        <v>54.602244931642375</v>
      </c>
      <c r="X419" s="12">
        <v>104.4704216378319</v>
      </c>
      <c r="Y419" s="12">
        <v>29.414604844844025</v>
      </c>
      <c r="Z419" s="12">
        <v>20.695054806450322</v>
      </c>
      <c r="AA419" s="12">
        <v>63.784481907055408</v>
      </c>
      <c r="AB419" s="12">
        <v>70.37407476643321</v>
      </c>
      <c r="AC419" s="12">
        <v>33.695273104849889</v>
      </c>
      <c r="AD419" s="12">
        <v>18.376695726521451</v>
      </c>
      <c r="AE419" s="12">
        <v>28.306168023149333</v>
      </c>
      <c r="AF419" s="12">
        <v>45.401272742351672</v>
      </c>
      <c r="AG419" s="12">
        <v>679.55231414971536</v>
      </c>
      <c r="AH419" s="12">
        <v>1883.0041918654731</v>
      </c>
      <c r="AI419" s="12">
        <v>2004.9418642629007</v>
      </c>
      <c r="AJ419" s="12">
        <v>2099.396112818341</v>
      </c>
      <c r="AK419" s="12">
        <v>3406.0860022778315</v>
      </c>
      <c r="AL419" s="12">
        <v>1529.5043397125826</v>
      </c>
      <c r="AM419" s="12">
        <v>4121.0577479444291</v>
      </c>
      <c r="AN419" s="12">
        <v>5343.439417703813</v>
      </c>
      <c r="AP419" s="12">
        <f t="shared" si="117"/>
        <v>1.3179127904490882</v>
      </c>
      <c r="AQ419" s="12">
        <f t="shared" si="118"/>
        <v>1.0345592129112582</v>
      </c>
      <c r="AR419" s="12">
        <f t="shared" si="126"/>
        <v>2.3387785776670196</v>
      </c>
      <c r="AS419" s="12">
        <f t="shared" si="127"/>
        <v>1.5754639055392532</v>
      </c>
      <c r="AT419" s="12">
        <f t="shared" si="128"/>
        <v>1.0163979662754361</v>
      </c>
      <c r="AU419" s="12">
        <f t="shared" si="119"/>
        <v>0.71663534523768979</v>
      </c>
      <c r="AV419" s="12">
        <f t="shared" si="120"/>
        <v>0.70585017699508057</v>
      </c>
      <c r="AW419" s="12">
        <f t="shared" si="121"/>
        <v>0.40633938650040935</v>
      </c>
      <c r="AX419" s="12">
        <f t="shared" si="122"/>
        <v>0.78731183993881459</v>
      </c>
      <c r="AY419" s="12">
        <f t="shared" si="123"/>
        <v>0.35824669483394256</v>
      </c>
      <c r="AZ419" s="12">
        <f t="shared" si="124"/>
        <v>0.58920701740181491</v>
      </c>
      <c r="BA419" s="12">
        <f t="shared" si="129"/>
        <v>0.88774922192788042</v>
      </c>
      <c r="BB419" s="12">
        <f t="shared" si="130"/>
        <v>0.32988422138249829</v>
      </c>
      <c r="BC419" s="12">
        <f t="shared" si="131"/>
        <v>0.52265745725553048</v>
      </c>
      <c r="BD419" s="12">
        <f t="shared" si="132"/>
        <v>0.41797501341892035</v>
      </c>
      <c r="BE419" s="12">
        <f t="shared" si="133"/>
        <v>0.29407214055937231</v>
      </c>
      <c r="BF419" s="12">
        <f t="shared" si="134"/>
        <v>0.90636334642766936</v>
      </c>
      <c r="BG419" s="12">
        <f t="shared" si="135"/>
        <v>0.74216582640904527</v>
      </c>
      <c r="BH419" s="12">
        <f t="shared" si="136"/>
        <v>0.40476168654582928</v>
      </c>
      <c r="BI419" s="12">
        <f t="shared" si="137"/>
        <v>0.62346639892199518</v>
      </c>
    </row>
    <row r="420" spans="1:61" x14ac:dyDescent="0.55000000000000004">
      <c r="A420" s="12" t="s">
        <v>1003</v>
      </c>
      <c r="B420" s="12" t="s">
        <v>1004</v>
      </c>
      <c r="C420" s="12" t="s">
        <v>322</v>
      </c>
      <c r="D420" s="12" t="s">
        <v>9</v>
      </c>
      <c r="E420" s="12">
        <v>1719</v>
      </c>
      <c r="F420" s="12">
        <v>69.268756265202541</v>
      </c>
      <c r="G420" s="12">
        <v>56.733105055113846</v>
      </c>
      <c r="H420" s="14">
        <f t="shared" si="125"/>
        <v>97524.207589740705</v>
      </c>
      <c r="I420" s="12">
        <v>37.430507852015758</v>
      </c>
      <c r="J420" s="12">
        <v>49.827256196839485</v>
      </c>
      <c r="K420" s="12">
        <v>25.526232694868632</v>
      </c>
      <c r="L420" s="12">
        <v>63.498096920940561</v>
      </c>
      <c r="M420" s="12">
        <v>39.495211364850469</v>
      </c>
      <c r="N420" s="12">
        <v>17.908215424624935</v>
      </c>
      <c r="O420" s="12">
        <v>11.396438876955646</v>
      </c>
      <c r="P420" s="12">
        <v>42.679599041102975</v>
      </c>
      <c r="Q420" s="12">
        <v>606.19051009619648</v>
      </c>
      <c r="R420" s="15">
        <v>41.994216520937265</v>
      </c>
      <c r="S420" s="15">
        <v>1130.3431273557992</v>
      </c>
      <c r="T420" s="15">
        <v>1157.9319352629152</v>
      </c>
      <c r="U420" s="12">
        <v>38.627754840271614</v>
      </c>
      <c r="V420" s="12">
        <v>17.798841503367846</v>
      </c>
      <c r="W420" s="12">
        <v>61.590369848465869</v>
      </c>
      <c r="X420" s="12">
        <v>71.642594689663611</v>
      </c>
      <c r="Y420" s="12">
        <v>31.550860057887569</v>
      </c>
      <c r="Z420" s="12">
        <v>37.751694752617588</v>
      </c>
      <c r="AA420" s="12">
        <v>37.980993699480329</v>
      </c>
      <c r="AB420" s="12">
        <v>48.289142366589402</v>
      </c>
      <c r="AC420" s="12">
        <v>42.813906731044042</v>
      </c>
      <c r="AD420" s="12">
        <v>24.783475745305239</v>
      </c>
      <c r="AE420" s="12">
        <v>36.441797159064407</v>
      </c>
      <c r="AF420" s="12">
        <v>51.096723188928074</v>
      </c>
      <c r="AG420" s="12">
        <v>1198.3067752476863</v>
      </c>
      <c r="AH420" s="12">
        <v>34.151036375222141</v>
      </c>
      <c r="AI420" s="12">
        <v>2770.4935387432192</v>
      </c>
      <c r="AJ420" s="12">
        <v>2967.5487936066866</v>
      </c>
      <c r="AK420" s="12">
        <v>2925.4385613631262</v>
      </c>
      <c r="AL420" s="12">
        <v>3607.0983452054256</v>
      </c>
      <c r="AM420" s="12">
        <v>1851.3899069890356</v>
      </c>
      <c r="AN420" s="12">
        <v>4502.9707627611551</v>
      </c>
      <c r="AP420" s="12">
        <f t="shared" si="117"/>
        <v>1.1192424045758611</v>
      </c>
      <c r="AQ420" s="12">
        <f t="shared" si="118"/>
        <v>0.75228738140881812</v>
      </c>
      <c r="AR420" s="12">
        <f t="shared" si="126"/>
        <v>1.2628005222006766</v>
      </c>
      <c r="AS420" s="12">
        <f t="shared" si="127"/>
        <v>0.85116339603972868</v>
      </c>
      <c r="AT420" s="12">
        <f t="shared" si="128"/>
        <v>0.90065091870592551</v>
      </c>
      <c r="AU420" s="12">
        <f t="shared" si="119"/>
        <v>0.58947448296945471</v>
      </c>
      <c r="AV420" s="12">
        <f t="shared" si="120"/>
        <v>0.7847047173536208</v>
      </c>
      <c r="AW420" s="12">
        <f t="shared" si="121"/>
        <v>0.40199996429263896</v>
      </c>
      <c r="AX420" s="12">
        <f t="shared" si="122"/>
        <v>0.9253885287632212</v>
      </c>
      <c r="AY420" s="12">
        <f t="shared" si="123"/>
        <v>0.41959661821982597</v>
      </c>
      <c r="AZ420" s="12">
        <f t="shared" si="124"/>
        <v>0.26702310080233421</v>
      </c>
      <c r="BA420" s="12">
        <f t="shared" si="129"/>
        <v>0.53917302978202597</v>
      </c>
      <c r="BB420" s="12">
        <f t="shared" si="130"/>
        <v>0.24843937577174061</v>
      </c>
      <c r="BC420" s="12">
        <f t="shared" si="131"/>
        <v>0.8596892688666391</v>
      </c>
      <c r="BD420" s="12">
        <f t="shared" si="132"/>
        <v>0.6533737919461825</v>
      </c>
      <c r="BE420" s="12">
        <f t="shared" si="133"/>
        <v>0.78178432878396842</v>
      </c>
      <c r="BF420" s="12">
        <f t="shared" si="134"/>
        <v>0.78653278642113267</v>
      </c>
      <c r="BG420" s="12">
        <f t="shared" si="135"/>
        <v>0.83789926357393507</v>
      </c>
      <c r="BH420" s="12">
        <f t="shared" si="136"/>
        <v>0.48503062816120979</v>
      </c>
      <c r="BI420" s="12">
        <f t="shared" si="137"/>
        <v>0.71319244923636949</v>
      </c>
    </row>
    <row r="421" spans="1:61" x14ac:dyDescent="0.55000000000000004">
      <c r="A421" s="12" t="s">
        <v>1005</v>
      </c>
      <c r="B421" s="12" t="s">
        <v>1006</v>
      </c>
      <c r="C421" s="12" t="s">
        <v>8</v>
      </c>
      <c r="D421" s="12" t="s">
        <v>9</v>
      </c>
      <c r="E421" s="12">
        <v>1625</v>
      </c>
      <c r="F421" s="12">
        <v>74.753180273682617</v>
      </c>
      <c r="G421" s="12">
        <v>66.584728036936255</v>
      </c>
      <c r="H421" s="14">
        <f t="shared" si="125"/>
        <v>108200.18306002142</v>
      </c>
      <c r="I421" s="12">
        <v>79.752662043655505</v>
      </c>
      <c r="J421" s="12">
        <v>43.077272083752568</v>
      </c>
      <c r="K421" s="12">
        <v>29.175883552753596</v>
      </c>
      <c r="L421" s="12">
        <v>87.953057776308881</v>
      </c>
      <c r="M421" s="12">
        <v>32.822160823839852</v>
      </c>
      <c r="N421" s="12">
        <v>12.323216596830969</v>
      </c>
      <c r="O421" s="12">
        <v>13.510884076385823</v>
      </c>
      <c r="P421" s="12">
        <v>35.645755092491704</v>
      </c>
      <c r="Q421" s="12">
        <v>439.01345789604977</v>
      </c>
      <c r="R421" s="15">
        <v>955.08633493470006</v>
      </c>
      <c r="S421" s="15">
        <v>1026.2125098595193</v>
      </c>
      <c r="T421" s="15">
        <v>1027.2796162146919</v>
      </c>
      <c r="U421" s="12">
        <v>46.079735955399137</v>
      </c>
      <c r="V421" s="12">
        <v>17.040825781546776</v>
      </c>
      <c r="W421" s="12">
        <v>45.912957971671624</v>
      </c>
      <c r="X421" s="12">
        <v>52.891247596169407</v>
      </c>
      <c r="Y421" s="12">
        <v>32.252351489557185</v>
      </c>
      <c r="Z421" s="12">
        <v>29.367667657320002</v>
      </c>
      <c r="AA421" s="12">
        <v>35.345279265862992</v>
      </c>
      <c r="AB421" s="12">
        <v>47.246808303052468</v>
      </c>
      <c r="AC421" s="12">
        <v>34.838585059120689</v>
      </c>
      <c r="AD421" s="12">
        <v>20.829802156340914</v>
      </c>
      <c r="AE421" s="12">
        <v>41.963568774572025</v>
      </c>
      <c r="AF421" s="12">
        <v>53.039718174716313</v>
      </c>
      <c r="AG421" s="12">
        <v>955.77750128780895</v>
      </c>
      <c r="AH421" s="12">
        <v>1172.1217702327308</v>
      </c>
      <c r="AI421" s="12">
        <v>1821.1257709017912</v>
      </c>
      <c r="AJ421" s="12">
        <v>1979.6463654839843</v>
      </c>
      <c r="AK421" s="12">
        <v>3349.7127467728205</v>
      </c>
      <c r="AL421" s="12">
        <v>4116.4670794109743</v>
      </c>
      <c r="AM421" s="12">
        <v>1834.8476631433307</v>
      </c>
      <c r="AN421" s="12">
        <v>5153.0878022890156</v>
      </c>
      <c r="AP421" s="12">
        <f t="shared" si="117"/>
        <v>1.3209193815062077</v>
      </c>
      <c r="AQ421" s="12">
        <f t="shared" si="118"/>
        <v>0.5353443070717071</v>
      </c>
      <c r="AR421" s="12">
        <f t="shared" si="126"/>
        <v>0.79434502708833288</v>
      </c>
      <c r="AS421" s="12">
        <f t="shared" si="127"/>
        <v>0.70957424766897681</v>
      </c>
      <c r="AT421" s="12">
        <f t="shared" si="128"/>
        <v>0.7965748263669985</v>
      </c>
      <c r="AU421" s="12">
        <f t="shared" si="119"/>
        <v>0.90676394954329553</v>
      </c>
      <c r="AV421" s="12">
        <f t="shared" si="120"/>
        <v>0.48977571869429537</v>
      </c>
      <c r="AW421" s="12">
        <f t="shared" si="121"/>
        <v>0.3317210827047839</v>
      </c>
      <c r="AX421" s="12">
        <f t="shared" si="122"/>
        <v>0.92078736272172268</v>
      </c>
      <c r="AY421" s="12">
        <f t="shared" si="123"/>
        <v>0.34571343950648104</v>
      </c>
      <c r="AZ421" s="12">
        <f t="shared" si="124"/>
        <v>0.37903206262087874</v>
      </c>
      <c r="BA421" s="12">
        <f t="shared" si="129"/>
        <v>0.87121665775825663</v>
      </c>
      <c r="BB421" s="12">
        <f t="shared" si="130"/>
        <v>0.32218611880089099</v>
      </c>
      <c r="BC421" s="12">
        <f t="shared" si="131"/>
        <v>0.86806343314535128</v>
      </c>
      <c r="BD421" s="12">
        <f t="shared" si="132"/>
        <v>0.68263556096070643</v>
      </c>
      <c r="BE421" s="12">
        <f t="shared" si="133"/>
        <v>0.62157992702805809</v>
      </c>
      <c r="BF421" s="12">
        <f t="shared" si="134"/>
        <v>0.74809877186094376</v>
      </c>
      <c r="BG421" s="12">
        <f t="shared" si="135"/>
        <v>0.65683955831665819</v>
      </c>
      <c r="BH421" s="12">
        <f t="shared" si="136"/>
        <v>0.39272083022247928</v>
      </c>
      <c r="BI421" s="12">
        <f t="shared" si="137"/>
        <v>0.79117254424959937</v>
      </c>
    </row>
    <row r="422" spans="1:61" x14ac:dyDescent="0.55000000000000004">
      <c r="A422" s="12" t="s">
        <v>1007</v>
      </c>
      <c r="B422" s="12" t="s">
        <v>1008</v>
      </c>
      <c r="C422" s="12" t="s">
        <v>322</v>
      </c>
      <c r="D422" s="12" t="s">
        <v>9</v>
      </c>
      <c r="E422" s="12">
        <v>2706</v>
      </c>
      <c r="F422" s="12">
        <v>68.759711292441949</v>
      </c>
      <c r="G422" s="12">
        <v>36.117998925517831</v>
      </c>
      <c r="H422" s="14">
        <f t="shared" si="125"/>
        <v>97735.30509245125</v>
      </c>
      <c r="I422" s="12">
        <v>38.2923248969295</v>
      </c>
      <c r="J422" s="12">
        <v>16.46608594850526</v>
      </c>
      <c r="K422" s="12">
        <v>31.424225548830766</v>
      </c>
      <c r="L422" s="12">
        <v>43.41025071897662</v>
      </c>
      <c r="M422" s="12">
        <v>34.424608549072104</v>
      </c>
      <c r="N422" s="12">
        <v>11.917610377737798</v>
      </c>
      <c r="O422" s="12">
        <v>15.919892802270688</v>
      </c>
      <c r="P422" s="12">
        <v>38.073104243206565</v>
      </c>
      <c r="Q422" s="12">
        <v>329.69525462018663</v>
      </c>
      <c r="R422" s="15">
        <v>41.703837903826297</v>
      </c>
      <c r="S422" s="15">
        <v>1270.8030577989732</v>
      </c>
      <c r="T422" s="15">
        <v>1281.5208385935439</v>
      </c>
      <c r="U422" s="12">
        <v>20.189760393818563</v>
      </c>
      <c r="V422" s="12">
        <v>10.913251235516297</v>
      </c>
      <c r="W422" s="12">
        <v>49.931961071637375</v>
      </c>
      <c r="X422" s="12">
        <v>53.705259918610921</v>
      </c>
      <c r="Y422" s="12">
        <v>27.767725265120717</v>
      </c>
      <c r="Z422" s="12">
        <v>27.910478578597576</v>
      </c>
      <c r="AA422" s="12">
        <v>14.446316186924848</v>
      </c>
      <c r="AB422" s="12">
        <v>39.224383454424711</v>
      </c>
      <c r="AC422" s="12">
        <v>32.18556010492162</v>
      </c>
      <c r="AD422" s="12">
        <v>17.340047888149201</v>
      </c>
      <c r="AE422" s="12">
        <v>29.433076489018944</v>
      </c>
      <c r="AF422" s="12">
        <v>44.571667858470192</v>
      </c>
      <c r="AG422" s="12">
        <v>659.07667150467341</v>
      </c>
      <c r="AH422" s="12">
        <v>95.449289333398227</v>
      </c>
      <c r="AI422" s="12">
        <v>1771.0562031997631</v>
      </c>
      <c r="AJ422" s="12">
        <v>1857.4389350821584</v>
      </c>
      <c r="AK422" s="12">
        <v>1229.4256464044267</v>
      </c>
      <c r="AL422" s="12">
        <v>2535.6196868212828</v>
      </c>
      <c r="AM422" s="12">
        <v>1396.7332717162458</v>
      </c>
      <c r="AN422" s="12">
        <v>2550.9092051318885</v>
      </c>
      <c r="AP422" s="12">
        <f t="shared" si="117"/>
        <v>1.2019007699871966</v>
      </c>
      <c r="AQ422" s="12">
        <f t="shared" si="118"/>
        <v>1.0541310530996064</v>
      </c>
      <c r="AR422" s="12">
        <f t="shared" si="126"/>
        <v>1.4869389644027997</v>
      </c>
      <c r="AS422" s="12">
        <f t="shared" si="127"/>
        <v>1.0860065513405888</v>
      </c>
      <c r="AT422" s="12">
        <f t="shared" si="128"/>
        <v>1.2340569573188545</v>
      </c>
      <c r="AU422" s="12">
        <f t="shared" si="119"/>
        <v>0.8821032881109383</v>
      </c>
      <c r="AV422" s="12">
        <f t="shared" si="120"/>
        <v>0.37931331139046326</v>
      </c>
      <c r="AW422" s="12">
        <f t="shared" si="121"/>
        <v>0.72388951983393612</v>
      </c>
      <c r="AX422" s="12">
        <f t="shared" si="122"/>
        <v>0.90417131025544184</v>
      </c>
      <c r="AY422" s="12">
        <f t="shared" si="123"/>
        <v>0.31301914079843579</v>
      </c>
      <c r="AZ422" s="12">
        <f t="shared" si="124"/>
        <v>0.41814013116913878</v>
      </c>
      <c r="BA422" s="12">
        <f t="shared" si="129"/>
        <v>0.37593636869862801</v>
      </c>
      <c r="BB422" s="12">
        <f t="shared" si="130"/>
        <v>0.20320637591280774</v>
      </c>
      <c r="BC422" s="12">
        <f t="shared" si="131"/>
        <v>0.92974060915649803</v>
      </c>
      <c r="BD422" s="12">
        <f t="shared" si="132"/>
        <v>0.70791999311816778</v>
      </c>
      <c r="BE422" s="12">
        <f t="shared" si="133"/>
        <v>0.71155939547213287</v>
      </c>
      <c r="BF422" s="12">
        <f t="shared" si="134"/>
        <v>0.36829938203388712</v>
      </c>
      <c r="BG422" s="12">
        <f t="shared" si="135"/>
        <v>0.7221080487075654</v>
      </c>
      <c r="BH422" s="12">
        <f t="shared" si="136"/>
        <v>0.38903744735803014</v>
      </c>
      <c r="BI422" s="12">
        <f t="shared" si="137"/>
        <v>0.66035394014149773</v>
      </c>
    </row>
    <row r="423" spans="1:61" x14ac:dyDescent="0.55000000000000004">
      <c r="A423" s="12" t="s">
        <v>1009</v>
      </c>
      <c r="B423" s="12" t="s">
        <v>1010</v>
      </c>
      <c r="C423" s="12" t="s">
        <v>515</v>
      </c>
      <c r="D423" s="12" t="s">
        <v>9</v>
      </c>
      <c r="E423" s="12">
        <v>2284</v>
      </c>
      <c r="F423" s="12">
        <v>70.894147035524824</v>
      </c>
      <c r="G423" s="12">
        <v>38.429763665896807</v>
      </c>
      <c r="H423" s="14">
        <f t="shared" si="125"/>
        <v>87773.580212908302</v>
      </c>
      <c r="I423" s="12">
        <v>29.968229748433401</v>
      </c>
      <c r="J423" s="12">
        <v>12.401974385657866</v>
      </c>
      <c r="K423" s="12">
        <v>26.430012908384867</v>
      </c>
      <c r="L423" s="12">
        <v>117.39780969013958</v>
      </c>
      <c r="M423" s="12">
        <v>32.004821329108594</v>
      </c>
      <c r="N423" s="12">
        <v>10.417426773465225</v>
      </c>
      <c r="O423" s="12">
        <v>15.096893791854599</v>
      </c>
      <c r="P423" s="12">
        <v>35.669449436507755</v>
      </c>
      <c r="Q423" s="12">
        <v>325.60851437476208</v>
      </c>
      <c r="R423" s="15">
        <v>102.86899652299594</v>
      </c>
      <c r="S423" s="15">
        <v>1170.313496382073</v>
      </c>
      <c r="T423" s="15">
        <v>1186.0271145515974</v>
      </c>
      <c r="U423" s="12">
        <v>32.296745653673469</v>
      </c>
      <c r="V423" s="12">
        <v>19.375889361918404</v>
      </c>
      <c r="W423" s="12">
        <v>53.234820495552285</v>
      </c>
      <c r="X423" s="12">
        <v>63.001820484004369</v>
      </c>
      <c r="Y423" s="12">
        <v>32.797815458475789</v>
      </c>
      <c r="Z423" s="12">
        <v>34.27048653926397</v>
      </c>
      <c r="AA423" s="12">
        <v>11.002970569722274</v>
      </c>
      <c r="AB423" s="12">
        <v>46.616786783318119</v>
      </c>
      <c r="AC423" s="12">
        <v>31.03150419377063</v>
      </c>
      <c r="AD423" s="12">
        <v>17.782314846997405</v>
      </c>
      <c r="AE423" s="12">
        <v>16.04764479232038</v>
      </c>
      <c r="AF423" s="12">
        <v>35.824996129829216</v>
      </c>
      <c r="AG423" s="12">
        <v>844.06948393956338</v>
      </c>
      <c r="AH423" s="12">
        <v>600.68782803170143</v>
      </c>
      <c r="AI423" s="12">
        <v>1691.2437900106397</v>
      </c>
      <c r="AJ423" s="12">
        <v>1869.1067697210058</v>
      </c>
      <c r="AK423" s="12">
        <v>704.36396251233555</v>
      </c>
      <c r="AL423" s="12">
        <v>445.0755038242969</v>
      </c>
      <c r="AM423" s="12">
        <v>978.04935848511423</v>
      </c>
      <c r="AN423" s="12">
        <v>994.58632284046587</v>
      </c>
      <c r="AP423" s="12">
        <f t="shared" si="117"/>
        <v>3.0548668139304822</v>
      </c>
      <c r="AQ423" s="12">
        <f t="shared" si="118"/>
        <v>0.92817249012023983</v>
      </c>
      <c r="AR423" s="12">
        <f t="shared" si="126"/>
        <v>1.6394017156007963</v>
      </c>
      <c r="AS423" s="12">
        <f t="shared" si="127"/>
        <v>1.213038601761858</v>
      </c>
      <c r="AT423" s="12">
        <f t="shared" si="128"/>
        <v>0.93222004801504665</v>
      </c>
      <c r="AU423" s="12">
        <f t="shared" si="119"/>
        <v>0.25527077402493037</v>
      </c>
      <c r="AV423" s="12">
        <f t="shared" si="120"/>
        <v>0.10564059430403092</v>
      </c>
      <c r="AW423" s="12">
        <f t="shared" si="121"/>
        <v>0.22513207851274558</v>
      </c>
      <c r="AX423" s="12">
        <f t="shared" si="122"/>
        <v>0.89726143337529607</v>
      </c>
      <c r="AY423" s="12">
        <f t="shared" si="123"/>
        <v>0.29205459960934993</v>
      </c>
      <c r="AZ423" s="12">
        <f t="shared" si="124"/>
        <v>0.42324437383670122</v>
      </c>
      <c r="BA423" s="12">
        <f t="shared" si="129"/>
        <v>0.5126319431019194</v>
      </c>
      <c r="BB423" s="12">
        <f t="shared" si="130"/>
        <v>0.30754491240198017</v>
      </c>
      <c r="BC423" s="12">
        <f t="shared" si="131"/>
        <v>0.84497273390803296</v>
      </c>
      <c r="BD423" s="12">
        <f t="shared" si="132"/>
        <v>0.7035623371238563</v>
      </c>
      <c r="BE423" s="12">
        <f t="shared" si="133"/>
        <v>0.73515334076023686</v>
      </c>
      <c r="BF423" s="12">
        <f t="shared" si="134"/>
        <v>0.23603022277931224</v>
      </c>
      <c r="BG423" s="12">
        <f t="shared" si="135"/>
        <v>0.86619700058900084</v>
      </c>
      <c r="BH423" s="12">
        <f t="shared" si="136"/>
        <v>0.49636613448762362</v>
      </c>
      <c r="BI423" s="12">
        <f t="shared" si="137"/>
        <v>0.44794547176401556</v>
      </c>
    </row>
    <row r="424" spans="1:61" x14ac:dyDescent="0.55000000000000004">
      <c r="A424" s="12" t="s">
        <v>1011</v>
      </c>
      <c r="B424" s="12" t="s">
        <v>1012</v>
      </c>
      <c r="C424" s="12" t="s">
        <v>322</v>
      </c>
      <c r="D424" s="12" t="s">
        <v>9</v>
      </c>
      <c r="E424" s="12">
        <v>1851</v>
      </c>
      <c r="F424" s="12">
        <v>70.865245503027239</v>
      </c>
      <c r="G424" s="12">
        <v>46.101836057575944</v>
      </c>
      <c r="H424" s="14">
        <f t="shared" si="125"/>
        <v>85334.49854257307</v>
      </c>
      <c r="I424" s="12">
        <v>56.774693942132636</v>
      </c>
      <c r="J424" s="12">
        <v>21.444645770447405</v>
      </c>
      <c r="K424" s="12">
        <v>30.036449822879362</v>
      </c>
      <c r="L424" s="12">
        <v>62.495271990302719</v>
      </c>
      <c r="M424" s="12">
        <v>37.830498125572618</v>
      </c>
      <c r="N424" s="12">
        <v>15.294372041423328</v>
      </c>
      <c r="O424" s="12">
        <v>12.135535091634432</v>
      </c>
      <c r="P424" s="12">
        <v>41.287823709756751</v>
      </c>
      <c r="Q424" s="12">
        <v>420.44448913070045</v>
      </c>
      <c r="R424" s="15">
        <v>261.09874198099897</v>
      </c>
      <c r="S424" s="15">
        <v>1179.1115774310772</v>
      </c>
      <c r="T424" s="15">
        <v>1183.4679564961341</v>
      </c>
      <c r="U424" s="12">
        <v>34.41919419038679</v>
      </c>
      <c r="V424" s="12">
        <v>18.209726451391791</v>
      </c>
      <c r="W424" s="12">
        <v>65.512966388966376</v>
      </c>
      <c r="X424" s="12">
        <v>73.708174654612151</v>
      </c>
      <c r="Y424" s="12">
        <v>30.864904257534789</v>
      </c>
      <c r="Z424" s="12">
        <v>37.229446416109553</v>
      </c>
      <c r="AA424" s="12">
        <v>30.726306804533522</v>
      </c>
      <c r="AB424" s="12">
        <v>53.926035764604372</v>
      </c>
      <c r="AC424" s="12">
        <v>58.167534695156078</v>
      </c>
      <c r="AD424" s="12">
        <v>31.14556894203708</v>
      </c>
      <c r="AE424" s="12">
        <v>33.482427839293237</v>
      </c>
      <c r="AF424" s="12">
        <v>66.70817263337355</v>
      </c>
      <c r="AG424" s="12">
        <v>1110.0286244653455</v>
      </c>
      <c r="AH424" s="12">
        <v>39.574280083892006</v>
      </c>
      <c r="AI424" s="12">
        <v>2382.3231225906247</v>
      </c>
      <c r="AJ424" s="12">
        <v>2618.0589961682253</v>
      </c>
      <c r="AK424" s="12">
        <v>1674.4515405081149</v>
      </c>
      <c r="AL424" s="12">
        <v>1791.2747688542227</v>
      </c>
      <c r="AM424" s="12">
        <v>886.97078426905261</v>
      </c>
      <c r="AN424" s="12">
        <v>2182.6619331704455</v>
      </c>
      <c r="AP424" s="12">
        <f t="shared" si="117"/>
        <v>1.355591823116399</v>
      </c>
      <c r="AQ424" s="12">
        <f t="shared" si="118"/>
        <v>0.89557872832207719</v>
      </c>
      <c r="AR424" s="12">
        <f t="shared" si="126"/>
        <v>1.5988121289260373</v>
      </c>
      <c r="AS424" s="12">
        <f t="shared" si="127"/>
        <v>1.1697155769947403</v>
      </c>
      <c r="AT424" s="12">
        <f t="shared" si="128"/>
        <v>1.4469743146468752</v>
      </c>
      <c r="AU424" s="12">
        <f t="shared" si="119"/>
        <v>0.90846382668663739</v>
      </c>
      <c r="AV424" s="12">
        <f t="shared" si="120"/>
        <v>0.34314029025707632</v>
      </c>
      <c r="AW424" s="12">
        <f t="shared" si="121"/>
        <v>0.48061955514874893</v>
      </c>
      <c r="AX424" s="12">
        <f t="shared" si="122"/>
        <v>0.91626282827382033</v>
      </c>
      <c r="AY424" s="12">
        <f t="shared" si="123"/>
        <v>0.37043299130850305</v>
      </c>
      <c r="AZ424" s="12">
        <f t="shared" si="124"/>
        <v>0.29392527872004737</v>
      </c>
      <c r="BA424" s="12">
        <f t="shared" si="129"/>
        <v>0.46696576535331519</v>
      </c>
      <c r="BB424" s="12">
        <f t="shared" si="130"/>
        <v>0.24705165385956757</v>
      </c>
      <c r="BC424" s="12">
        <f t="shared" si="131"/>
        <v>0.88881547665442051</v>
      </c>
      <c r="BD424" s="12">
        <f t="shared" si="132"/>
        <v>0.57235626205243328</v>
      </c>
      <c r="BE424" s="12">
        <f t="shared" si="133"/>
        <v>0.69037981168543416</v>
      </c>
      <c r="BF424" s="12">
        <f t="shared" si="134"/>
        <v>0.56978612221114644</v>
      </c>
      <c r="BG424" s="12">
        <f t="shared" si="135"/>
        <v>0.87197014097273207</v>
      </c>
      <c r="BH424" s="12">
        <f t="shared" si="136"/>
        <v>0.46689285154327864</v>
      </c>
      <c r="BI424" s="12">
        <f t="shared" si="137"/>
        <v>0.5019239250235773</v>
      </c>
    </row>
    <row r="425" spans="1:61" x14ac:dyDescent="0.55000000000000004">
      <c r="A425" s="12" t="s">
        <v>1013</v>
      </c>
      <c r="B425" s="12" t="s">
        <v>1014</v>
      </c>
      <c r="C425" s="12" t="s">
        <v>515</v>
      </c>
      <c r="D425" s="12" t="s">
        <v>9</v>
      </c>
      <c r="E425" s="12">
        <v>2290</v>
      </c>
      <c r="F425" s="12">
        <v>70.682549647581254</v>
      </c>
      <c r="G425" s="12">
        <v>46.625768419500432</v>
      </c>
      <c r="H425" s="14">
        <f t="shared" si="125"/>
        <v>106773.00968065599</v>
      </c>
      <c r="I425" s="12">
        <v>39.267347578675285</v>
      </c>
      <c r="J425" s="12">
        <v>19.860741357718169</v>
      </c>
      <c r="K425" s="12">
        <v>17.024130961026849</v>
      </c>
      <c r="L425" s="12">
        <v>43.305618231351467</v>
      </c>
      <c r="M425" s="12">
        <v>37.631188039888663</v>
      </c>
      <c r="N425" s="12">
        <v>11.607885445052364</v>
      </c>
      <c r="O425" s="12">
        <v>6.9141878681480904</v>
      </c>
      <c r="P425" s="12">
        <v>39.019049262033739</v>
      </c>
      <c r="Q425" s="12">
        <v>440.87776782701133</v>
      </c>
      <c r="R425" s="15">
        <v>176.91434735199681</v>
      </c>
      <c r="S425" s="15">
        <v>830.72126072904382</v>
      </c>
      <c r="T425" s="15">
        <v>831.61829623137078</v>
      </c>
      <c r="U425" s="12">
        <v>54.198288544745772</v>
      </c>
      <c r="V425" s="12">
        <v>12.411924987793807</v>
      </c>
      <c r="W425" s="12">
        <v>66.024933017751792</v>
      </c>
      <c r="X425" s="12">
        <v>74.407847726017565</v>
      </c>
      <c r="Y425" s="12">
        <v>41.661971030511275</v>
      </c>
      <c r="Z425" s="12">
        <v>23.78677459141532</v>
      </c>
      <c r="AA425" s="12">
        <v>45.199034062960365</v>
      </c>
      <c r="AB425" s="12">
        <v>64.450074879571531</v>
      </c>
      <c r="AC425" s="12">
        <v>41.521086422086682</v>
      </c>
      <c r="AD425" s="12">
        <v>21.154549139219853</v>
      </c>
      <c r="AE425" s="12">
        <v>18.320032105015123</v>
      </c>
      <c r="AF425" s="12">
        <v>43.964331344584259</v>
      </c>
      <c r="AG425" s="12">
        <v>1333.5918931814508</v>
      </c>
      <c r="AH425" s="12">
        <v>347.63164598619852</v>
      </c>
      <c r="AI425" s="12">
        <v>2452.9728959314048</v>
      </c>
      <c r="AJ425" s="12">
        <v>2685.6942084580851</v>
      </c>
      <c r="AK425" s="12">
        <v>2425.7048398372099</v>
      </c>
      <c r="AL425" s="12">
        <v>685.72938426386918</v>
      </c>
      <c r="AM425" s="12">
        <v>1857.2478970275724</v>
      </c>
      <c r="AN425" s="12">
        <v>3042.4978818561235</v>
      </c>
      <c r="AP425" s="12">
        <f t="shared" si="117"/>
        <v>0.9287915180662123</v>
      </c>
      <c r="AQ425" s="12">
        <f t="shared" si="118"/>
        <v>0.83685589717197428</v>
      </c>
      <c r="AR425" s="12">
        <f t="shared" si="126"/>
        <v>1.5958524706028814</v>
      </c>
      <c r="AS425" s="12">
        <f t="shared" si="127"/>
        <v>1.3822844548041033</v>
      </c>
      <c r="AT425" s="12">
        <f t="shared" si="128"/>
        <v>0.94291918042034728</v>
      </c>
      <c r="AU425" s="12">
        <f t="shared" si="119"/>
        <v>0.90674949769559821</v>
      </c>
      <c r="AV425" s="12">
        <f t="shared" si="120"/>
        <v>0.45861812321016165</v>
      </c>
      <c r="AW425" s="12">
        <f t="shared" si="121"/>
        <v>0.39311598947921461</v>
      </c>
      <c r="AX425" s="12">
        <f t="shared" si="122"/>
        <v>0.96443118814031459</v>
      </c>
      <c r="AY425" s="12">
        <f t="shared" si="123"/>
        <v>0.29749278018280811</v>
      </c>
      <c r="AZ425" s="12">
        <f t="shared" si="124"/>
        <v>0.17720031622799493</v>
      </c>
      <c r="BA425" s="12">
        <f t="shared" si="129"/>
        <v>0.72839478900549781</v>
      </c>
      <c r="BB425" s="12">
        <f t="shared" si="130"/>
        <v>0.16680935367861519</v>
      </c>
      <c r="BC425" s="12">
        <f t="shared" si="131"/>
        <v>0.88733829878895165</v>
      </c>
      <c r="BD425" s="12">
        <f t="shared" si="132"/>
        <v>0.64642238365679061</v>
      </c>
      <c r="BE425" s="12">
        <f t="shared" si="133"/>
        <v>0.36907287750808981</v>
      </c>
      <c r="BF425" s="12">
        <f t="shared" si="134"/>
        <v>0.70130304964605883</v>
      </c>
      <c r="BG425" s="12">
        <f t="shared" si="135"/>
        <v>0.94442665570532902</v>
      </c>
      <c r="BH425" s="12">
        <f t="shared" si="136"/>
        <v>0.48117527305065616</v>
      </c>
      <c r="BI425" s="12">
        <f t="shared" si="137"/>
        <v>0.41670216615888267</v>
      </c>
    </row>
    <row r="426" spans="1:61" x14ac:dyDescent="0.55000000000000004">
      <c r="A426" s="12" t="s">
        <v>1015</v>
      </c>
      <c r="B426" s="12" t="s">
        <v>1016</v>
      </c>
      <c r="C426" s="12" t="s">
        <v>322</v>
      </c>
      <c r="D426" s="12" t="s">
        <v>9</v>
      </c>
      <c r="E426" s="12">
        <v>1810</v>
      </c>
      <c r="F426" s="12">
        <v>73.073948223279103</v>
      </c>
      <c r="G426" s="12">
        <v>52.872153647516562</v>
      </c>
      <c r="H426" s="14">
        <f t="shared" si="125"/>
        <v>95698.59810200498</v>
      </c>
      <c r="I426" s="12">
        <v>29.661768612362955</v>
      </c>
      <c r="J426" s="12">
        <v>15.01129312278071</v>
      </c>
      <c r="K426" s="12">
        <v>26.235386501575135</v>
      </c>
      <c r="L426" s="12">
        <v>39.66429657959057</v>
      </c>
      <c r="M426" s="12">
        <v>31.1988902345893</v>
      </c>
      <c r="N426" s="12">
        <v>11.219432771849041</v>
      </c>
      <c r="O426" s="12">
        <v>12.77059925565681</v>
      </c>
      <c r="P426" s="12">
        <v>34.049603164442374</v>
      </c>
      <c r="Q426" s="12">
        <v>560.63598766807797</v>
      </c>
      <c r="R426" s="15">
        <v>101.92702843741469</v>
      </c>
      <c r="S426" s="15">
        <v>941.11091029137333</v>
      </c>
      <c r="T426" s="15">
        <v>1003.7706742486549</v>
      </c>
      <c r="U426" s="12">
        <v>29.949794339866436</v>
      </c>
      <c r="V426" s="12">
        <v>17.447615164413691</v>
      </c>
      <c r="W426" s="12">
        <v>54.316868653674248</v>
      </c>
      <c r="X426" s="12">
        <v>63.020147296766652</v>
      </c>
      <c r="Y426" s="12">
        <v>27.875619091771561</v>
      </c>
      <c r="Z426" s="12">
        <v>34.42319982620127</v>
      </c>
      <c r="AA426" s="12">
        <v>83.845723849498313</v>
      </c>
      <c r="AB426" s="12">
        <v>89.954331589663227</v>
      </c>
      <c r="AC426" s="12">
        <v>29.248412993137624</v>
      </c>
      <c r="AD426" s="12">
        <v>21.248609070540638</v>
      </c>
      <c r="AE426" s="12">
        <v>42.446355310407483</v>
      </c>
      <c r="AF426" s="12">
        <v>48.491104319428302</v>
      </c>
      <c r="AG426" s="12">
        <v>939.65472273367322</v>
      </c>
      <c r="AH426" s="12">
        <v>672.12940538645375</v>
      </c>
      <c r="AI426" s="12">
        <v>2134.1495754358994</v>
      </c>
      <c r="AJ426" s="12">
        <v>2281.2714913866521</v>
      </c>
      <c r="AK426" s="12">
        <v>1802.1269483000792</v>
      </c>
      <c r="AL426" s="12">
        <v>3098.527497660913</v>
      </c>
      <c r="AM426" s="12">
        <v>1008.4075567424851</v>
      </c>
      <c r="AN426" s="12">
        <v>3536.0857500409988</v>
      </c>
      <c r="AP426" s="12">
        <f t="shared" si="117"/>
        <v>0.75019256533450529</v>
      </c>
      <c r="AQ426" s="12">
        <f t="shared" si="118"/>
        <v>0.64399879360771428</v>
      </c>
      <c r="AR426" s="12">
        <f t="shared" si="126"/>
        <v>1.1919345619416952</v>
      </c>
      <c r="AS426" s="12">
        <f t="shared" si="127"/>
        <v>1.7013555413188364</v>
      </c>
      <c r="AT426" s="12">
        <f t="shared" si="128"/>
        <v>0.91713881455831259</v>
      </c>
      <c r="AU426" s="12">
        <f t="shared" si="119"/>
        <v>0.74782036164043664</v>
      </c>
      <c r="AV426" s="12">
        <f t="shared" si="120"/>
        <v>0.37845857401401223</v>
      </c>
      <c r="AW426" s="12">
        <f t="shared" si="121"/>
        <v>0.66143581921164496</v>
      </c>
      <c r="AX426" s="12">
        <f t="shared" si="122"/>
        <v>0.91627764599529771</v>
      </c>
      <c r="AY426" s="12">
        <f t="shared" si="123"/>
        <v>0.32950260000578718</v>
      </c>
      <c r="AZ426" s="12">
        <f t="shared" si="124"/>
        <v>0.37505868112416085</v>
      </c>
      <c r="BA426" s="12">
        <f t="shared" si="129"/>
        <v>0.47524157947188833</v>
      </c>
      <c r="BB426" s="12">
        <f t="shared" si="130"/>
        <v>0.27685773380140716</v>
      </c>
      <c r="BC426" s="12">
        <f t="shared" si="131"/>
        <v>0.8618968851007599</v>
      </c>
      <c r="BD426" s="12">
        <f t="shared" si="132"/>
        <v>0.30988634565069445</v>
      </c>
      <c r="BE426" s="12">
        <f t="shared" si="133"/>
        <v>0.38267417719500774</v>
      </c>
      <c r="BF426" s="12">
        <f t="shared" si="134"/>
        <v>0.93209212238905836</v>
      </c>
      <c r="BG426" s="12">
        <f t="shared" si="135"/>
        <v>0.60317069292684766</v>
      </c>
      <c r="BH426" s="12">
        <f t="shared" si="136"/>
        <v>0.43819602314206801</v>
      </c>
      <c r="BI426" s="12">
        <f t="shared" si="137"/>
        <v>0.87534313573883804</v>
      </c>
    </row>
    <row r="427" spans="1:61" x14ac:dyDescent="0.55000000000000004">
      <c r="A427" s="12" t="s">
        <v>1017</v>
      </c>
      <c r="B427" s="12" t="s">
        <v>1018</v>
      </c>
      <c r="C427" s="12" t="s">
        <v>322</v>
      </c>
      <c r="D427" s="12" t="s">
        <v>9</v>
      </c>
      <c r="E427" s="12">
        <v>2851</v>
      </c>
      <c r="F427" s="12">
        <v>70.930024683721399</v>
      </c>
      <c r="G427" s="12">
        <v>40.836426979319548</v>
      </c>
      <c r="H427" s="14">
        <f t="shared" si="125"/>
        <v>116424.65331804003</v>
      </c>
      <c r="I427" s="12">
        <v>38.573062768683407</v>
      </c>
      <c r="J427" s="12">
        <v>14.000727049999712</v>
      </c>
      <c r="K427" s="12">
        <v>29.180180696789471</v>
      </c>
      <c r="L427" s="12">
        <v>46.170686476268237</v>
      </c>
      <c r="M427" s="12">
        <v>35.399476931723179</v>
      </c>
      <c r="N427" s="12">
        <v>14.597480111420989</v>
      </c>
      <c r="O427" s="12">
        <v>10.692146843665238</v>
      </c>
      <c r="P427" s="12">
        <v>37.523090373355565</v>
      </c>
      <c r="Q427" s="12">
        <v>440.0745497773554</v>
      </c>
      <c r="R427" s="15">
        <v>69.662741881960343</v>
      </c>
      <c r="S427" s="15">
        <v>983.33190522139057</v>
      </c>
      <c r="T427" s="15">
        <v>983.37728917879122</v>
      </c>
      <c r="U427" s="12">
        <v>35.951835116881277</v>
      </c>
      <c r="V427" s="12">
        <v>25.165958877126236</v>
      </c>
      <c r="W427" s="12">
        <v>55.081389243803777</v>
      </c>
      <c r="X427" s="12">
        <v>59.952659997223314</v>
      </c>
      <c r="Y427" s="12">
        <v>28.160506754283666</v>
      </c>
      <c r="Z427" s="12">
        <v>31.826907979231784</v>
      </c>
      <c r="AA427" s="12">
        <v>41.536505723075358</v>
      </c>
      <c r="AB427" s="12">
        <v>49.656533855884568</v>
      </c>
      <c r="AC427" s="12">
        <v>38.161788087437671</v>
      </c>
      <c r="AD427" s="12">
        <v>14.317209977926179</v>
      </c>
      <c r="AE427" s="12">
        <v>30.924656983763715</v>
      </c>
      <c r="AF427" s="12">
        <v>46.514453148957436</v>
      </c>
      <c r="AG427" s="12">
        <v>846.8143314513884</v>
      </c>
      <c r="AH427" s="12">
        <v>39.025397107417362</v>
      </c>
      <c r="AI427" s="12">
        <v>2019.8587253828991</v>
      </c>
      <c r="AJ427" s="12">
        <v>2163.1527130557283</v>
      </c>
      <c r="AK427" s="12">
        <v>2780.4915906052106</v>
      </c>
      <c r="AL427" s="12">
        <v>1992.509088977459</v>
      </c>
      <c r="AM427" s="12">
        <v>2230.9318711785791</v>
      </c>
      <c r="AN427" s="12">
        <v>3550.2344393860544</v>
      </c>
      <c r="AP427" s="12">
        <f t="shared" si="117"/>
        <v>1.1306250299432434</v>
      </c>
      <c r="AQ427" s="12">
        <f t="shared" si="118"/>
        <v>0.91886320985815118</v>
      </c>
      <c r="AR427" s="12">
        <f t="shared" si="126"/>
        <v>1.4681171794874375</v>
      </c>
      <c r="AS427" s="12">
        <f t="shared" si="127"/>
        <v>1.2159862536708148</v>
      </c>
      <c r="AT427" s="12">
        <f t="shared" si="128"/>
        <v>1.1390431678195883</v>
      </c>
      <c r="AU427" s="12">
        <f t="shared" si="119"/>
        <v>0.83544486150341268</v>
      </c>
      <c r="AV427" s="12">
        <f t="shared" si="120"/>
        <v>0.30323844236528941</v>
      </c>
      <c r="AW427" s="12">
        <f t="shared" si="121"/>
        <v>0.63200664585717392</v>
      </c>
      <c r="AX427" s="12">
        <f t="shared" si="122"/>
        <v>0.94340515611847564</v>
      </c>
      <c r="AY427" s="12">
        <f t="shared" si="123"/>
        <v>0.38902659578877286</v>
      </c>
      <c r="AZ427" s="12">
        <f t="shared" si="124"/>
        <v>0.28494846072853131</v>
      </c>
      <c r="BA427" s="12">
        <f t="shared" si="129"/>
        <v>0.59967039191499383</v>
      </c>
      <c r="BB427" s="12">
        <f t="shared" si="130"/>
        <v>0.41976384164258579</v>
      </c>
      <c r="BC427" s="12">
        <f t="shared" si="131"/>
        <v>0.91874804631445628</v>
      </c>
      <c r="BD427" s="12">
        <f t="shared" si="132"/>
        <v>0.56710576771251009</v>
      </c>
      <c r="BE427" s="12">
        <f t="shared" si="133"/>
        <v>0.64094099019479034</v>
      </c>
      <c r="BF427" s="12">
        <f t="shared" si="134"/>
        <v>0.83647613914463859</v>
      </c>
      <c r="BG427" s="12">
        <f t="shared" si="135"/>
        <v>0.82042860882893165</v>
      </c>
      <c r="BH427" s="12">
        <f t="shared" si="136"/>
        <v>0.30780131784150799</v>
      </c>
      <c r="BI427" s="12">
        <f t="shared" si="137"/>
        <v>0.66483974098826637</v>
      </c>
    </row>
    <row r="428" spans="1:61" x14ac:dyDescent="0.55000000000000004">
      <c r="A428" s="12" t="s">
        <v>1019</v>
      </c>
      <c r="B428" s="12" t="s">
        <v>999</v>
      </c>
      <c r="C428" s="12" t="s">
        <v>8</v>
      </c>
      <c r="D428" s="12" t="s">
        <v>9</v>
      </c>
      <c r="E428" s="12">
        <v>1551</v>
      </c>
      <c r="F428" s="12">
        <v>70.686372126508004</v>
      </c>
      <c r="G428" s="12">
        <v>38.530860128809579</v>
      </c>
      <c r="H428" s="14">
        <f t="shared" si="125"/>
        <v>59761.364059783657</v>
      </c>
      <c r="I428" s="12">
        <v>32.170284894957391</v>
      </c>
      <c r="J428" s="12">
        <v>15.760265469436728</v>
      </c>
      <c r="K428" s="12">
        <v>26.958017996599274</v>
      </c>
      <c r="L428" s="12">
        <v>41.852390196557273</v>
      </c>
      <c r="M428" s="12">
        <v>40.908523380441906</v>
      </c>
      <c r="N428" s="12">
        <v>16.490632678442658</v>
      </c>
      <c r="O428" s="12">
        <v>8.3839049200935065</v>
      </c>
      <c r="P428" s="12">
        <v>42.894741216695365</v>
      </c>
      <c r="Q428" s="12">
        <v>617.08164090252467</v>
      </c>
      <c r="R428" s="15">
        <v>39.836527777593929</v>
      </c>
      <c r="S428" s="15">
        <v>991.36373896002613</v>
      </c>
      <c r="T428" s="15">
        <v>998.90195536332328</v>
      </c>
      <c r="U428" s="12">
        <v>41.105574062846969</v>
      </c>
      <c r="V428" s="12">
        <v>12.68827257778306</v>
      </c>
      <c r="W428" s="12">
        <v>41.994068193200462</v>
      </c>
      <c r="X428" s="12">
        <v>46.871041995352257</v>
      </c>
      <c r="Y428" s="12">
        <v>24.130702391131408</v>
      </c>
      <c r="Z428" s="12">
        <v>24.102309419438711</v>
      </c>
      <c r="AA428" s="12">
        <v>88.436971427446537</v>
      </c>
      <c r="AB428" s="12">
        <v>92.367072891830347</v>
      </c>
      <c r="AC428" s="12">
        <v>36.391969767698058</v>
      </c>
      <c r="AD428" s="12">
        <v>24.979257940510067</v>
      </c>
      <c r="AE428" s="12">
        <v>37.186152503788264</v>
      </c>
      <c r="AF428" s="12">
        <v>56.958812721588053</v>
      </c>
      <c r="AG428" s="12">
        <v>780.84314638830108</v>
      </c>
      <c r="AH428" s="12">
        <v>123.92050347649072</v>
      </c>
      <c r="AI428" s="12">
        <v>1537.3461545123491</v>
      </c>
      <c r="AJ428" s="12">
        <v>1630.3346594748275</v>
      </c>
      <c r="AK428" s="12">
        <v>1471.041691503292</v>
      </c>
      <c r="AL428" s="12">
        <v>5100.1454763425854</v>
      </c>
      <c r="AM428" s="12">
        <v>1630.1373723447639</v>
      </c>
      <c r="AN428" s="12">
        <v>5284.8320163430308</v>
      </c>
      <c r="AP428" s="12">
        <f t="shared" si="117"/>
        <v>1.0862044100921635</v>
      </c>
      <c r="AQ428" s="12">
        <f t="shared" si="118"/>
        <v>1.1132567784185774</v>
      </c>
      <c r="AR428" s="12">
        <f t="shared" si="126"/>
        <v>1.2164545986946893</v>
      </c>
      <c r="AS428" s="12">
        <f t="shared" si="127"/>
        <v>2.3972232279021291</v>
      </c>
      <c r="AT428" s="12">
        <f t="shared" si="128"/>
        <v>1.4782647605367072</v>
      </c>
      <c r="AU428" s="12">
        <f t="shared" si="119"/>
        <v>0.7686606366774168</v>
      </c>
      <c r="AV428" s="12">
        <f t="shared" si="120"/>
        <v>0.37656787092492389</v>
      </c>
      <c r="AW428" s="12">
        <f t="shared" si="121"/>
        <v>0.64412134814744249</v>
      </c>
      <c r="AX428" s="12">
        <f t="shared" si="122"/>
        <v>0.95369553982807598</v>
      </c>
      <c r="AY428" s="12">
        <f t="shared" si="123"/>
        <v>0.38444415820427474</v>
      </c>
      <c r="AZ428" s="12">
        <f t="shared" si="124"/>
        <v>0.19545297820401228</v>
      </c>
      <c r="BA428" s="12">
        <f t="shared" si="129"/>
        <v>0.87699296437495478</v>
      </c>
      <c r="BB428" s="12">
        <f t="shared" si="130"/>
        <v>0.27070600604614747</v>
      </c>
      <c r="BC428" s="12">
        <f t="shared" si="131"/>
        <v>0.89594910643046088</v>
      </c>
      <c r="BD428" s="12">
        <f t="shared" si="132"/>
        <v>0.26124788450739911</v>
      </c>
      <c r="BE428" s="12">
        <f t="shared" si="133"/>
        <v>0.26094049172332823</v>
      </c>
      <c r="BF428" s="12">
        <f t="shared" si="134"/>
        <v>0.95745127195936708</v>
      </c>
      <c r="BG428" s="12">
        <f t="shared" si="135"/>
        <v>0.63891728125690161</v>
      </c>
      <c r="BH428" s="12">
        <f t="shared" si="136"/>
        <v>0.43854948421427747</v>
      </c>
      <c r="BI428" s="12">
        <f t="shared" si="137"/>
        <v>0.65286038677723846</v>
      </c>
    </row>
    <row r="429" spans="1:61" x14ac:dyDescent="0.55000000000000004">
      <c r="A429" s="12" t="s">
        <v>1020</v>
      </c>
      <c r="B429" s="12" t="s">
        <v>1000</v>
      </c>
      <c r="C429" s="12" t="s">
        <v>8</v>
      </c>
      <c r="D429" s="12" t="s">
        <v>9</v>
      </c>
      <c r="E429" s="12">
        <v>1577</v>
      </c>
      <c r="F429" s="12">
        <v>71.586907987449521</v>
      </c>
      <c r="G429" s="12">
        <v>41.179991011468047</v>
      </c>
      <c r="H429" s="14">
        <f t="shared" si="125"/>
        <v>64940.845825085111</v>
      </c>
      <c r="I429" s="12">
        <v>38.335434398905647</v>
      </c>
      <c r="J429" s="12">
        <v>13.975040213978309</v>
      </c>
      <c r="K429" s="12">
        <v>22.781638173289146</v>
      </c>
      <c r="L429" s="12">
        <v>43.993660203723287</v>
      </c>
      <c r="M429" s="12">
        <v>44.982358431578206</v>
      </c>
      <c r="N429" s="12">
        <v>11.567807112931881</v>
      </c>
      <c r="O429" s="12">
        <v>7.2632643158099723</v>
      </c>
      <c r="P429" s="12">
        <v>46.52560579654866</v>
      </c>
      <c r="Q429" s="12">
        <v>485.42350928266058</v>
      </c>
      <c r="R429" s="15">
        <v>91.257768862477775</v>
      </c>
      <c r="S429" s="15">
        <v>1010.9447880731941</v>
      </c>
      <c r="T429" s="15">
        <v>1035.9398072367044</v>
      </c>
      <c r="U429" s="12">
        <v>24.528920951477073</v>
      </c>
      <c r="V429" s="12">
        <v>7.3211049857940829</v>
      </c>
      <c r="W429" s="12">
        <v>36.233528242814721</v>
      </c>
      <c r="X429" s="12">
        <v>37.608273925338437</v>
      </c>
      <c r="Y429" s="12">
        <v>23.789864247896862</v>
      </c>
      <c r="Z429" s="12">
        <v>17.175198546852322</v>
      </c>
      <c r="AA429" s="12">
        <v>22.819550571619494</v>
      </c>
      <c r="AB429" s="12">
        <v>33.80900819441802</v>
      </c>
      <c r="AC429" s="12">
        <v>35.389557023369449</v>
      </c>
      <c r="AD429" s="12">
        <v>17.708462903306899</v>
      </c>
      <c r="AE429" s="12">
        <v>29.137985540568096</v>
      </c>
      <c r="AF429" s="12">
        <v>46.538220201179683</v>
      </c>
      <c r="AG429" s="12">
        <v>775.75829136764446</v>
      </c>
      <c r="AH429" s="12">
        <v>59.732526337012267</v>
      </c>
      <c r="AI429" s="12">
        <v>1284.553229569264</v>
      </c>
      <c r="AJ429" s="12">
        <v>1342.4910865961062</v>
      </c>
      <c r="AK429" s="12">
        <v>1359.2557237946487</v>
      </c>
      <c r="AL429" s="12">
        <v>3563.6680907660207</v>
      </c>
      <c r="AM429" s="12">
        <v>1614.8461998679177</v>
      </c>
      <c r="AN429" s="12">
        <v>3807.13166451897</v>
      </c>
      <c r="AP429" s="12">
        <f t="shared" si="117"/>
        <v>1.0683261244877804</v>
      </c>
      <c r="AQ429" s="12">
        <f t="shared" si="118"/>
        <v>1.1298109750337715</v>
      </c>
      <c r="AR429" s="12">
        <f t="shared" si="126"/>
        <v>0.91326571477067742</v>
      </c>
      <c r="AS429" s="12">
        <f t="shared" si="127"/>
        <v>0.82100572059383614</v>
      </c>
      <c r="AT429" s="12">
        <f t="shared" si="128"/>
        <v>1.1301172986710815</v>
      </c>
      <c r="AU429" s="12">
        <f t="shared" si="119"/>
        <v>0.87138542738622204</v>
      </c>
      <c r="AV429" s="12">
        <f t="shared" si="120"/>
        <v>0.31766032081130563</v>
      </c>
      <c r="AW429" s="12">
        <f t="shared" si="121"/>
        <v>0.51783911744995204</v>
      </c>
      <c r="AX429" s="12">
        <f t="shared" si="122"/>
        <v>0.96683015000989125</v>
      </c>
      <c r="AY429" s="12">
        <f t="shared" si="123"/>
        <v>0.24863313254891564</v>
      </c>
      <c r="AZ429" s="12">
        <f t="shared" si="124"/>
        <v>0.15611326690879482</v>
      </c>
      <c r="BA429" s="12">
        <f t="shared" si="129"/>
        <v>0.65222139681743818</v>
      </c>
      <c r="BB429" s="12">
        <f t="shared" si="130"/>
        <v>0.19466740218730205</v>
      </c>
      <c r="BC429" s="12">
        <f t="shared" si="131"/>
        <v>0.96344565865338783</v>
      </c>
      <c r="BD429" s="12">
        <f t="shared" si="132"/>
        <v>0.70365460326708573</v>
      </c>
      <c r="BE429" s="12">
        <f t="shared" si="133"/>
        <v>0.50800657765784463</v>
      </c>
      <c r="BF429" s="12">
        <f t="shared" si="134"/>
        <v>0.67495474698329305</v>
      </c>
      <c r="BG429" s="12">
        <f t="shared" si="135"/>
        <v>0.76044070594844904</v>
      </c>
      <c r="BH429" s="12">
        <f t="shared" si="136"/>
        <v>0.38051439927773628</v>
      </c>
      <c r="BI429" s="12">
        <f t="shared" si="137"/>
        <v>0.62610872127485195</v>
      </c>
    </row>
    <row r="430" spans="1:61" x14ac:dyDescent="0.55000000000000004">
      <c r="A430" s="12" t="s">
        <v>1021</v>
      </c>
      <c r="B430" s="12" t="s">
        <v>1022</v>
      </c>
      <c r="C430" s="12" t="s">
        <v>51</v>
      </c>
      <c r="D430" s="12" t="s">
        <v>9</v>
      </c>
      <c r="E430" s="12">
        <v>1643</v>
      </c>
      <c r="F430" s="12">
        <v>71.674588313898283</v>
      </c>
      <c r="G430" s="12">
        <v>61.662801684793777</v>
      </c>
      <c r="H430" s="14">
        <f t="shared" si="125"/>
        <v>101311.98316811617</v>
      </c>
      <c r="I430" s="12">
        <v>37.328875344861487</v>
      </c>
      <c r="J430" s="12">
        <v>20.793913110680716</v>
      </c>
      <c r="K430" s="12">
        <v>24.556320945185121</v>
      </c>
      <c r="L430" s="12">
        <v>38.720180513983067</v>
      </c>
      <c r="M430" s="12">
        <v>35.723628638076804</v>
      </c>
      <c r="N430" s="12">
        <v>15.556119725652534</v>
      </c>
      <c r="O430" s="12">
        <v>7.6855791213687423</v>
      </c>
      <c r="P430" s="12">
        <v>38.692606067568036</v>
      </c>
      <c r="Q430" s="12">
        <v>379.68457874923922</v>
      </c>
      <c r="R430" s="15">
        <v>184.11871013621723</v>
      </c>
      <c r="S430" s="15">
        <v>972.15842877470141</v>
      </c>
      <c r="T430" s="15">
        <v>983.91840306162385</v>
      </c>
      <c r="U430" s="12">
        <v>28.169635734362487</v>
      </c>
      <c r="V430" s="12">
        <v>8.908593613620825</v>
      </c>
      <c r="W430" s="12">
        <v>48.191852564409515</v>
      </c>
      <c r="X430" s="12">
        <v>50.73076701387189</v>
      </c>
      <c r="Y430" s="12">
        <v>28.520506144574583</v>
      </c>
      <c r="Z430" s="12">
        <v>18.69557972080473</v>
      </c>
      <c r="AA430" s="12">
        <v>11.778367340942566</v>
      </c>
      <c r="AB430" s="12">
        <v>34.764012410290867</v>
      </c>
      <c r="AC430" s="12">
        <v>30.15786751425032</v>
      </c>
      <c r="AD430" s="12">
        <v>16.862024068217611</v>
      </c>
      <c r="AE430" s="12">
        <v>27.455948500996641</v>
      </c>
      <c r="AF430" s="12">
        <v>41.888834627788285</v>
      </c>
      <c r="AG430" s="12">
        <v>662.45648219359043</v>
      </c>
      <c r="AH430" s="12">
        <v>127.33589225862625</v>
      </c>
      <c r="AI430" s="12">
        <v>1722.0283547652864</v>
      </c>
      <c r="AJ430" s="12">
        <v>1787.7938969540498</v>
      </c>
      <c r="AK430" s="12">
        <v>1756.9801062572437</v>
      </c>
      <c r="AL430" s="12">
        <v>1102.9201865190744</v>
      </c>
      <c r="AM430" s="12">
        <v>2509.4065171947586</v>
      </c>
      <c r="AN430" s="12">
        <v>3050.814462778495</v>
      </c>
      <c r="AP430" s="12">
        <f t="shared" si="117"/>
        <v>0.6279341751597961</v>
      </c>
      <c r="AQ430" s="12">
        <f t="shared" si="118"/>
        <v>0.62748699394743435</v>
      </c>
      <c r="AR430" s="12">
        <f t="shared" si="126"/>
        <v>0.82271265054085663</v>
      </c>
      <c r="AS430" s="12">
        <f t="shared" si="127"/>
        <v>0.56377607666931184</v>
      </c>
      <c r="AT430" s="12">
        <f t="shared" si="128"/>
        <v>0.67932097607102715</v>
      </c>
      <c r="AU430" s="12">
        <f t="shared" si="119"/>
        <v>0.96406769930684755</v>
      </c>
      <c r="AV430" s="12">
        <f t="shared" si="120"/>
        <v>0.53703037627036332</v>
      </c>
      <c r="AW430" s="12">
        <f t="shared" si="121"/>
        <v>0.63419954708932891</v>
      </c>
      <c r="AX430" s="12">
        <f t="shared" si="122"/>
        <v>0.92326757664483561</v>
      </c>
      <c r="AY430" s="12">
        <f t="shared" si="123"/>
        <v>0.4020437315203641</v>
      </c>
      <c r="AZ430" s="12">
        <f t="shared" si="124"/>
        <v>0.19863172586378872</v>
      </c>
      <c r="BA430" s="12">
        <f t="shared" si="129"/>
        <v>0.5552771501889523</v>
      </c>
      <c r="BB430" s="12">
        <f t="shared" si="130"/>
        <v>0.17560534046695661</v>
      </c>
      <c r="BC430" s="12">
        <f t="shared" si="131"/>
        <v>0.94995316256960727</v>
      </c>
      <c r="BD430" s="12">
        <f t="shared" si="132"/>
        <v>0.82040317463849266</v>
      </c>
      <c r="BE430" s="12">
        <f t="shared" si="133"/>
        <v>0.53778544030407871</v>
      </c>
      <c r="BF430" s="12">
        <f t="shared" si="134"/>
        <v>0.3388092030900301</v>
      </c>
      <c r="BG430" s="12">
        <f t="shared" si="135"/>
        <v>0.71995002444503775</v>
      </c>
      <c r="BH430" s="12">
        <f t="shared" si="136"/>
        <v>0.40254221006739715</v>
      </c>
      <c r="BI430" s="12">
        <f t="shared" si="137"/>
        <v>0.6554478954824603</v>
      </c>
    </row>
    <row r="431" spans="1:61" x14ac:dyDescent="0.55000000000000004">
      <c r="A431" s="12" t="s">
        <v>1023</v>
      </c>
      <c r="B431" s="12" t="s">
        <v>1024</v>
      </c>
      <c r="C431" s="12" t="s">
        <v>8</v>
      </c>
      <c r="D431" s="12" t="s">
        <v>9</v>
      </c>
      <c r="E431" s="12">
        <v>1716</v>
      </c>
      <c r="F431" s="12">
        <v>72.293328635144718</v>
      </c>
      <c r="G431" s="12">
        <v>40.678628966989692</v>
      </c>
      <c r="H431" s="14">
        <f t="shared" si="125"/>
        <v>69804.527307354307</v>
      </c>
      <c r="I431" s="12">
        <v>45.796172273549132</v>
      </c>
      <c r="J431" s="12">
        <v>16.831157264240119</v>
      </c>
      <c r="K431" s="12">
        <v>17.636942126402008</v>
      </c>
      <c r="L431" s="12">
        <v>49.723478343272774</v>
      </c>
      <c r="M431" s="12">
        <v>33.873289073298302</v>
      </c>
      <c r="N431" s="12">
        <v>11.344390762870681</v>
      </c>
      <c r="O431" s="12">
        <v>6.7875571888448487</v>
      </c>
      <c r="P431" s="12">
        <v>35.922125954945152</v>
      </c>
      <c r="Q431" s="12">
        <v>544.71944844997017</v>
      </c>
      <c r="R431" s="15">
        <v>114.69011042750003</v>
      </c>
      <c r="S431" s="15">
        <v>775.48585480722352</v>
      </c>
      <c r="T431" s="15">
        <v>777.5677553675738</v>
      </c>
      <c r="U431" s="12">
        <v>30.367167488171845</v>
      </c>
      <c r="V431" s="12">
        <v>9.4303627263855336</v>
      </c>
      <c r="W431" s="12">
        <v>35.074431533636343</v>
      </c>
      <c r="X431" s="12">
        <v>43.310007017405368</v>
      </c>
      <c r="Y431" s="12">
        <v>23.028733135407887</v>
      </c>
      <c r="Z431" s="12">
        <v>20.553834072358246</v>
      </c>
      <c r="AA431" s="12">
        <v>15.845881792919727</v>
      </c>
      <c r="AB431" s="12">
        <v>30.866527807279798</v>
      </c>
      <c r="AC431" s="12">
        <v>27.861154747231076</v>
      </c>
      <c r="AD431" s="12">
        <v>13.357319847466972</v>
      </c>
      <c r="AE431" s="12">
        <v>22.699769758765406</v>
      </c>
      <c r="AF431" s="12">
        <v>35.51920758179876</v>
      </c>
      <c r="AG431" s="12">
        <v>815.62147753225088</v>
      </c>
      <c r="AH431" s="12">
        <v>76.402139923335312</v>
      </c>
      <c r="AI431" s="12">
        <v>1499.3506884191529</v>
      </c>
      <c r="AJ431" s="12">
        <v>1685.7593907739997</v>
      </c>
      <c r="AK431" s="12">
        <v>907.97315394775796</v>
      </c>
      <c r="AL431" s="12">
        <v>2739.0968317703505</v>
      </c>
      <c r="AM431" s="12">
        <v>641.13278200028242</v>
      </c>
      <c r="AN431" s="12">
        <v>2846.9705810797514</v>
      </c>
      <c r="AP431" s="12">
        <f t="shared" si="117"/>
        <v>1.2223489238937451</v>
      </c>
      <c r="AQ431" s="12">
        <f t="shared" si="118"/>
        <v>0.88307120635987035</v>
      </c>
      <c r="AR431" s="12">
        <f t="shared" si="126"/>
        <v>1.0646869896365243</v>
      </c>
      <c r="AS431" s="12">
        <f t="shared" si="127"/>
        <v>0.75878977711681683</v>
      </c>
      <c r="AT431" s="12">
        <f t="shared" si="128"/>
        <v>0.87316629109162569</v>
      </c>
      <c r="AU431" s="12">
        <f t="shared" si="119"/>
        <v>0.92101706878567602</v>
      </c>
      <c r="AV431" s="12">
        <f t="shared" si="120"/>
        <v>0.33849517018990388</v>
      </c>
      <c r="AW431" s="12">
        <f t="shared" si="121"/>
        <v>0.3547004898700567</v>
      </c>
      <c r="AX431" s="12">
        <f t="shared" si="122"/>
        <v>0.94296448700679425</v>
      </c>
      <c r="AY431" s="12">
        <f t="shared" si="123"/>
        <v>0.315805105107065</v>
      </c>
      <c r="AZ431" s="12">
        <f t="shared" si="124"/>
        <v>0.18895199012881508</v>
      </c>
      <c r="BA431" s="12">
        <f t="shared" si="129"/>
        <v>0.70115822137751971</v>
      </c>
      <c r="BB431" s="12">
        <f t="shared" si="130"/>
        <v>0.21774096509833563</v>
      </c>
      <c r="BC431" s="12">
        <f t="shared" si="131"/>
        <v>0.80984589819024222</v>
      </c>
      <c r="BD431" s="12">
        <f t="shared" si="132"/>
        <v>0.74607462423993842</v>
      </c>
      <c r="BE431" s="12">
        <f t="shared" si="133"/>
        <v>0.66589394831480442</v>
      </c>
      <c r="BF431" s="12">
        <f t="shared" si="134"/>
        <v>0.51336781033020862</v>
      </c>
      <c r="BG431" s="12">
        <f t="shared" si="135"/>
        <v>0.78439685578762941</v>
      </c>
      <c r="BH431" s="12">
        <f t="shared" si="136"/>
        <v>0.37605906090967278</v>
      </c>
      <c r="BI431" s="12">
        <f t="shared" si="137"/>
        <v>0.63908435193800706</v>
      </c>
    </row>
    <row r="432" spans="1:61" x14ac:dyDescent="0.55000000000000004">
      <c r="A432" s="12" t="s">
        <v>1025</v>
      </c>
      <c r="B432" s="12" t="s">
        <v>1026</v>
      </c>
      <c r="C432" s="12" t="s">
        <v>322</v>
      </c>
      <c r="D432" s="12" t="s">
        <v>9</v>
      </c>
      <c r="E432" s="12">
        <v>1788</v>
      </c>
      <c r="F432" s="12">
        <v>69.042652942624656</v>
      </c>
      <c r="G432" s="12">
        <v>59.780737276952081</v>
      </c>
      <c r="H432" s="14">
        <f t="shared" si="125"/>
        <v>106887.95825119033</v>
      </c>
      <c r="I432" s="12">
        <v>43.325700411449404</v>
      </c>
      <c r="J432" s="12">
        <v>18.76260929117997</v>
      </c>
      <c r="K432" s="12">
        <v>32.497529479229968</v>
      </c>
      <c r="L432" s="12">
        <v>50.381648977313048</v>
      </c>
      <c r="M432" s="12">
        <v>36.026308860358704</v>
      </c>
      <c r="N432" s="12">
        <v>16.813473192178066</v>
      </c>
      <c r="O432" s="12">
        <v>19.576932223601993</v>
      </c>
      <c r="P432" s="12">
        <v>39.414122711270309</v>
      </c>
      <c r="Q432" s="12">
        <v>358.64147920674958</v>
      </c>
      <c r="R432" s="15">
        <v>49.725674318088181</v>
      </c>
      <c r="S432" s="15">
        <v>1524.2842508744181</v>
      </c>
      <c r="T432" s="15">
        <v>1531.1065588455465</v>
      </c>
      <c r="U432" s="12">
        <v>22.529745922722292</v>
      </c>
      <c r="V432" s="12">
        <v>10.615715149358893</v>
      </c>
      <c r="W432" s="12">
        <v>50.668401297005914</v>
      </c>
      <c r="X432" s="12">
        <v>56.011027174329577</v>
      </c>
      <c r="Y432" s="12">
        <v>28.762932618220894</v>
      </c>
      <c r="Z432" s="12">
        <v>31.568082414651375</v>
      </c>
      <c r="AA432" s="12">
        <v>55.654339339437449</v>
      </c>
      <c r="AB432" s="12">
        <v>61.607632441372644</v>
      </c>
      <c r="AC432" s="12">
        <v>40.289297200984457</v>
      </c>
      <c r="AD432" s="12">
        <v>24.30969109055787</v>
      </c>
      <c r="AE432" s="12">
        <v>34.706758285321051</v>
      </c>
      <c r="AF432" s="12">
        <v>52.25112917432962</v>
      </c>
      <c r="AG432" s="12">
        <v>753.32162022578314</v>
      </c>
      <c r="AH432" s="12">
        <v>91.06928756572961</v>
      </c>
      <c r="AI432" s="12">
        <v>1887.1333106898398</v>
      </c>
      <c r="AJ432" s="12">
        <v>2026.5627910048404</v>
      </c>
      <c r="AK432" s="12">
        <v>966.32041226419904</v>
      </c>
      <c r="AL432" s="12">
        <v>3234.9346282362735</v>
      </c>
      <c r="AM432" s="12">
        <v>1460.5426331973908</v>
      </c>
      <c r="AN432" s="12">
        <v>3341.2021603696439</v>
      </c>
      <c r="AP432" s="12">
        <f t="shared" si="117"/>
        <v>0.84277396486271228</v>
      </c>
      <c r="AQ432" s="12">
        <f t="shared" si="118"/>
        <v>0.65931141880490096</v>
      </c>
      <c r="AR432" s="12">
        <f t="shared" si="126"/>
        <v>0.93694105703049135</v>
      </c>
      <c r="AS432" s="12">
        <f t="shared" si="127"/>
        <v>1.0305599302992354</v>
      </c>
      <c r="AT432" s="12">
        <f t="shared" si="128"/>
        <v>0.87404624891561122</v>
      </c>
      <c r="AU432" s="12">
        <f t="shared" si="119"/>
        <v>0.85995002726010517</v>
      </c>
      <c r="AV432" s="12">
        <f t="shared" si="120"/>
        <v>0.37240959103241755</v>
      </c>
      <c r="AW432" s="12">
        <f t="shared" si="121"/>
        <v>0.64502711084076791</v>
      </c>
      <c r="AX432" s="12">
        <f t="shared" si="122"/>
        <v>0.91404568672683217</v>
      </c>
      <c r="AY432" s="12">
        <f t="shared" si="123"/>
        <v>0.42658499125670812</v>
      </c>
      <c r="AZ432" s="12">
        <f t="shared" si="124"/>
        <v>0.49669841358676364</v>
      </c>
      <c r="BA432" s="12">
        <f t="shared" si="129"/>
        <v>0.40223768531507853</v>
      </c>
      <c r="BB432" s="12">
        <f t="shared" si="130"/>
        <v>0.18952902106791183</v>
      </c>
      <c r="BC432" s="12">
        <f t="shared" si="131"/>
        <v>0.90461474915117712</v>
      </c>
      <c r="BD432" s="12">
        <f t="shared" si="132"/>
        <v>0.46687287724605253</v>
      </c>
      <c r="BE432" s="12">
        <f t="shared" si="133"/>
        <v>0.51240538166585692</v>
      </c>
      <c r="BF432" s="12">
        <f t="shared" si="134"/>
        <v>0.90336760453178433</v>
      </c>
      <c r="BG432" s="12">
        <f t="shared" si="135"/>
        <v>0.77107036417460095</v>
      </c>
      <c r="BH432" s="12">
        <f t="shared" si="136"/>
        <v>0.46524719129899572</v>
      </c>
      <c r="BI432" s="12">
        <f t="shared" si="137"/>
        <v>0.66422982304413214</v>
      </c>
    </row>
    <row r="433" spans="1:61" x14ac:dyDescent="0.55000000000000004">
      <c r="A433" s="12" t="s">
        <v>1027</v>
      </c>
      <c r="B433" s="12" t="s">
        <v>1028</v>
      </c>
      <c r="C433" s="12" t="s">
        <v>322</v>
      </c>
      <c r="D433" s="12" t="s">
        <v>9</v>
      </c>
      <c r="E433" s="12">
        <v>2262</v>
      </c>
      <c r="F433" s="12">
        <v>70.486834863131818</v>
      </c>
      <c r="G433" s="12">
        <v>41.781155866992719</v>
      </c>
      <c r="H433" s="14">
        <f t="shared" si="125"/>
        <v>94508.974571137529</v>
      </c>
      <c r="I433" s="12">
        <v>38.810033338281968</v>
      </c>
      <c r="J433" s="12">
        <v>15.977123818215704</v>
      </c>
      <c r="K433" s="12">
        <v>18.716356286876788</v>
      </c>
      <c r="L433" s="12">
        <v>40.52492836278401</v>
      </c>
      <c r="M433" s="12">
        <v>28.104012286735561</v>
      </c>
      <c r="N433" s="12">
        <v>16.599868987260805</v>
      </c>
      <c r="O433" s="12">
        <v>9.5744087157853901</v>
      </c>
      <c r="P433" s="12">
        <v>32.434558179694449</v>
      </c>
      <c r="Q433" s="12">
        <v>487.77253786334927</v>
      </c>
      <c r="R433" s="15">
        <v>485.66115464255853</v>
      </c>
      <c r="S433" s="15">
        <v>694.30140442772074</v>
      </c>
      <c r="T433" s="15">
        <v>840.15122450431147</v>
      </c>
      <c r="U433" s="12">
        <v>30.745650980817533</v>
      </c>
      <c r="V433" s="12">
        <v>10.139357976091741</v>
      </c>
      <c r="W433" s="12">
        <v>43.697430009585318</v>
      </c>
      <c r="X433" s="12">
        <v>46.848194235280943</v>
      </c>
      <c r="Y433" s="12">
        <v>25.746212608817522</v>
      </c>
      <c r="Z433" s="12">
        <v>19.0023748825841</v>
      </c>
      <c r="AA433" s="12">
        <v>50.097287192029356</v>
      </c>
      <c r="AB433" s="12">
        <v>56.002844901454239</v>
      </c>
      <c r="AC433" s="12">
        <v>36.264268525728383</v>
      </c>
      <c r="AD433" s="12">
        <v>16.690307792409616</v>
      </c>
      <c r="AE433" s="12">
        <v>25.370908263331611</v>
      </c>
      <c r="AF433" s="12">
        <v>44.889818342052514</v>
      </c>
      <c r="AG433" s="12">
        <v>628.58275868573071</v>
      </c>
      <c r="AH433" s="12">
        <v>29.270347428114736</v>
      </c>
      <c r="AI433" s="12">
        <v>1591.9592263814288</v>
      </c>
      <c r="AJ433" s="12">
        <v>1631.6478299205846</v>
      </c>
      <c r="AK433" s="12">
        <v>1934.7180906720862</v>
      </c>
      <c r="AL433" s="12">
        <v>1760.3624205669648</v>
      </c>
      <c r="AM433" s="12">
        <v>1950.8606905122169</v>
      </c>
      <c r="AN433" s="12">
        <v>2726.9479633142064</v>
      </c>
      <c r="AP433" s="12">
        <f t="shared" si="117"/>
        <v>0.96993315579377892</v>
      </c>
      <c r="AQ433" s="12">
        <f t="shared" si="118"/>
        <v>0.77629633519349039</v>
      </c>
      <c r="AR433" s="12">
        <f t="shared" si="126"/>
        <v>1.1212756866856142</v>
      </c>
      <c r="AS433" s="12">
        <f t="shared" si="127"/>
        <v>1.3403852463951749</v>
      </c>
      <c r="AT433" s="12">
        <f t="shared" si="128"/>
        <v>1.0744034579836901</v>
      </c>
      <c r="AU433" s="12">
        <f t="shared" si="119"/>
        <v>0.95768295975380646</v>
      </c>
      <c r="AV433" s="12">
        <f t="shared" si="120"/>
        <v>0.39425421496582497</v>
      </c>
      <c r="AW433" s="12">
        <f t="shared" si="121"/>
        <v>0.46184797957755103</v>
      </c>
      <c r="AX433" s="12">
        <f t="shared" si="122"/>
        <v>0.86648358615009557</v>
      </c>
      <c r="AY433" s="12">
        <f t="shared" si="123"/>
        <v>0.51179574869785338</v>
      </c>
      <c r="AZ433" s="12">
        <f t="shared" si="124"/>
        <v>0.29519158740319817</v>
      </c>
      <c r="BA433" s="12">
        <f t="shared" si="129"/>
        <v>0.65628252022707134</v>
      </c>
      <c r="BB433" s="12">
        <f t="shared" si="130"/>
        <v>0.21643007039225184</v>
      </c>
      <c r="BC433" s="12">
        <f t="shared" si="131"/>
        <v>0.93274523645731444</v>
      </c>
      <c r="BD433" s="12">
        <f t="shared" si="132"/>
        <v>0.45973044144671593</v>
      </c>
      <c r="BE433" s="12">
        <f t="shared" si="133"/>
        <v>0.33931088529559078</v>
      </c>
      <c r="BF433" s="12">
        <f t="shared" si="134"/>
        <v>0.89454896943509499</v>
      </c>
      <c r="BG433" s="12">
        <f t="shared" si="135"/>
        <v>0.80785064108304117</v>
      </c>
      <c r="BH433" s="12">
        <f t="shared" si="136"/>
        <v>0.37180608897172202</v>
      </c>
      <c r="BI433" s="12">
        <f t="shared" si="137"/>
        <v>0.56518179846507188</v>
      </c>
    </row>
    <row r="434" spans="1:61" x14ac:dyDescent="0.55000000000000004">
      <c r="A434" s="12" t="s">
        <v>1029</v>
      </c>
      <c r="B434" s="12" t="s">
        <v>1030</v>
      </c>
      <c r="C434" s="12" t="s">
        <v>322</v>
      </c>
      <c r="D434" s="12" t="s">
        <v>9</v>
      </c>
      <c r="E434" s="12">
        <v>2129</v>
      </c>
      <c r="F434" s="12">
        <v>67.409046035947597</v>
      </c>
      <c r="G434" s="12">
        <v>41.631260305787102</v>
      </c>
      <c r="H434" s="14">
        <f t="shared" si="125"/>
        <v>88632.953191020744</v>
      </c>
      <c r="I434" s="12">
        <v>36.41694310778098</v>
      </c>
      <c r="J434" s="12">
        <v>13.304230674894647</v>
      </c>
      <c r="K434" s="12">
        <v>18.548423457330216</v>
      </c>
      <c r="L434" s="12">
        <v>39.67352692422542</v>
      </c>
      <c r="M434" s="12">
        <v>35.411027883056157</v>
      </c>
      <c r="N434" s="12">
        <v>10.498589178925181</v>
      </c>
      <c r="O434" s="12">
        <v>8.5472549804089084</v>
      </c>
      <c r="P434" s="12">
        <v>37.55330652094883</v>
      </c>
      <c r="Q434" s="12">
        <v>434.57236177395015</v>
      </c>
      <c r="R434" s="15">
        <v>164.45704873883187</v>
      </c>
      <c r="S434" s="15">
        <v>1111.9835941413212</v>
      </c>
      <c r="T434" s="15">
        <v>1191.2437188455294</v>
      </c>
      <c r="U434" s="12">
        <v>35.303547436132575</v>
      </c>
      <c r="V434" s="12">
        <v>7.6495487498632952</v>
      </c>
      <c r="W434" s="12">
        <v>49.945943003595055</v>
      </c>
      <c r="X434" s="12">
        <v>52.761634688852197</v>
      </c>
      <c r="Y434" s="12">
        <v>23.885247421159235</v>
      </c>
      <c r="Z434" s="12">
        <v>20.769074571383094</v>
      </c>
      <c r="AA434" s="12">
        <v>44.259171775232574</v>
      </c>
      <c r="AB434" s="12">
        <v>50.686565977898752</v>
      </c>
      <c r="AC434" s="12">
        <v>37.111472307349381</v>
      </c>
      <c r="AD434" s="12">
        <v>16.159188768017525</v>
      </c>
      <c r="AE434" s="12">
        <v>28.970808539172889</v>
      </c>
      <c r="AF434" s="12">
        <v>47.514864970921543</v>
      </c>
      <c r="AG434" s="12">
        <v>633.00440428425929</v>
      </c>
      <c r="AH434" s="12">
        <v>118.85160633964057</v>
      </c>
      <c r="AI434" s="12">
        <v>1796.8123345010367</v>
      </c>
      <c r="AJ434" s="12">
        <v>1873.1464346874122</v>
      </c>
      <c r="AK434" s="12">
        <v>1150.4153075477316</v>
      </c>
      <c r="AL434" s="12">
        <v>2338.9589397357445</v>
      </c>
      <c r="AM434" s="12">
        <v>1647.8944808568976</v>
      </c>
      <c r="AN434" s="12">
        <v>2364.3122417954464</v>
      </c>
      <c r="AP434" s="12">
        <f t="shared" si="117"/>
        <v>0.95297443874670451</v>
      </c>
      <c r="AQ434" s="12">
        <f t="shared" si="118"/>
        <v>0.9020458723832725</v>
      </c>
      <c r="AR434" s="12">
        <f t="shared" si="126"/>
        <v>1.2673561718120236</v>
      </c>
      <c r="AS434" s="12">
        <f t="shared" si="127"/>
        <v>1.2175121676739842</v>
      </c>
      <c r="AT434" s="12">
        <f t="shared" si="128"/>
        <v>1.1413266046215893</v>
      </c>
      <c r="AU434" s="12">
        <f t="shared" si="119"/>
        <v>0.91791544465748254</v>
      </c>
      <c r="AV434" s="12">
        <f t="shared" si="120"/>
        <v>0.33534277656496497</v>
      </c>
      <c r="AW434" s="12">
        <f t="shared" si="121"/>
        <v>0.46752645643924817</v>
      </c>
      <c r="AX434" s="12">
        <f t="shared" si="122"/>
        <v>0.94295366143863735</v>
      </c>
      <c r="AY434" s="12">
        <f t="shared" si="123"/>
        <v>0.27956497447351597</v>
      </c>
      <c r="AZ434" s="12">
        <f t="shared" si="124"/>
        <v>0.22760325979926391</v>
      </c>
      <c r="BA434" s="12">
        <f t="shared" si="129"/>
        <v>0.66911398110247944</v>
      </c>
      <c r="BB434" s="12">
        <f t="shared" si="130"/>
        <v>0.1449831642816696</v>
      </c>
      <c r="BC434" s="12">
        <f t="shared" si="131"/>
        <v>0.94663372918860567</v>
      </c>
      <c r="BD434" s="12">
        <f t="shared" si="132"/>
        <v>0.47123427993867451</v>
      </c>
      <c r="BE434" s="12">
        <f t="shared" si="133"/>
        <v>0.40975501438466339</v>
      </c>
      <c r="BF434" s="12">
        <f t="shared" si="134"/>
        <v>0.8731933387345916</v>
      </c>
      <c r="BG434" s="12">
        <f t="shared" si="135"/>
        <v>0.78104972686044882</v>
      </c>
      <c r="BH434" s="12">
        <f t="shared" si="136"/>
        <v>0.34008701861842039</v>
      </c>
      <c r="BI434" s="12">
        <f t="shared" si="137"/>
        <v>0.60972094852637448</v>
      </c>
    </row>
    <row r="435" spans="1:61" x14ac:dyDescent="0.55000000000000004">
      <c r="A435" s="12" t="s">
        <v>1031</v>
      </c>
      <c r="B435" s="12" t="s">
        <v>1032</v>
      </c>
      <c r="C435" s="12" t="s">
        <v>322</v>
      </c>
      <c r="D435" s="12" t="s">
        <v>9</v>
      </c>
      <c r="E435" s="12">
        <v>2137</v>
      </c>
      <c r="F435" s="12">
        <v>70.046594211413563</v>
      </c>
      <c r="G435" s="12">
        <v>38.999314570637594</v>
      </c>
      <c r="H435" s="14">
        <f t="shared" si="125"/>
        <v>83341.535237452539</v>
      </c>
      <c r="I435" s="12">
        <v>24.066269295958016</v>
      </c>
      <c r="J435" s="12">
        <v>14.528868256976507</v>
      </c>
      <c r="K435" s="12">
        <v>30.911568261758866</v>
      </c>
      <c r="L435" s="12">
        <v>38.363766644688702</v>
      </c>
      <c r="M435" s="12">
        <v>32.504539521749628</v>
      </c>
      <c r="N435" s="12">
        <v>12.364201506133657</v>
      </c>
      <c r="O435" s="12">
        <v>12.218608108387919</v>
      </c>
      <c r="P435" s="12">
        <v>35.390440512678751</v>
      </c>
      <c r="Q435" s="12">
        <v>517.15655465487896</v>
      </c>
      <c r="R435" s="15">
        <v>301.80512609121644</v>
      </c>
      <c r="S435" s="15">
        <v>1244.8331736361515</v>
      </c>
      <c r="T435" s="15">
        <v>1245.1311656069192</v>
      </c>
      <c r="U435" s="12">
        <v>20.448281304749116</v>
      </c>
      <c r="V435" s="12">
        <v>14.779291770240125</v>
      </c>
      <c r="W435" s="12">
        <v>47.460582534139505</v>
      </c>
      <c r="X435" s="12">
        <v>51.316245010492409</v>
      </c>
      <c r="Y435" s="12">
        <v>26.016748743931409</v>
      </c>
      <c r="Z435" s="12">
        <v>22.269477842208776</v>
      </c>
      <c r="AA435" s="12">
        <v>45.95108821513405</v>
      </c>
      <c r="AB435" s="12">
        <v>54.944323673002501</v>
      </c>
      <c r="AC435" s="12">
        <v>35.151961850691251</v>
      </c>
      <c r="AD435" s="12">
        <v>20.211229361127138</v>
      </c>
      <c r="AE435" s="12">
        <v>30.708776753710069</v>
      </c>
      <c r="AF435" s="12">
        <v>45.704244206194488</v>
      </c>
      <c r="AG435" s="12">
        <v>643.29292215712485</v>
      </c>
      <c r="AH435" s="12">
        <v>117.46644833186525</v>
      </c>
      <c r="AI435" s="12">
        <v>1711.2438215337322</v>
      </c>
      <c r="AJ435" s="12">
        <v>1798.6758800870111</v>
      </c>
      <c r="AK435" s="12">
        <v>798.2041736472645</v>
      </c>
      <c r="AL435" s="12">
        <v>2527.5818300494057</v>
      </c>
      <c r="AM435" s="12">
        <v>782.81809801245117</v>
      </c>
      <c r="AN435" s="12">
        <v>2528.7287736442277</v>
      </c>
      <c r="AP435" s="12">
        <f t="shared" si="117"/>
        <v>0.98370361292381803</v>
      </c>
      <c r="AQ435" s="12">
        <f t="shared" si="118"/>
        <v>0.9074631413990043</v>
      </c>
      <c r="AR435" s="12">
        <f t="shared" si="126"/>
        <v>1.3158242798740925</v>
      </c>
      <c r="AS435" s="12">
        <f t="shared" si="127"/>
        <v>1.4088535728874023</v>
      </c>
      <c r="AT435" s="12">
        <f t="shared" si="128"/>
        <v>1.1719242942952901</v>
      </c>
      <c r="AU435" s="12">
        <f t="shared" si="119"/>
        <v>0.62731768543091915</v>
      </c>
      <c r="AV435" s="12">
        <f t="shared" si="120"/>
        <v>0.37871328932681758</v>
      </c>
      <c r="AW435" s="12">
        <f t="shared" si="121"/>
        <v>0.80574904305019379</v>
      </c>
      <c r="AX435" s="12">
        <f t="shared" si="122"/>
        <v>0.91845535265673683</v>
      </c>
      <c r="AY435" s="12">
        <f t="shared" si="123"/>
        <v>0.34936557236986465</v>
      </c>
      <c r="AZ435" s="12">
        <f t="shared" si="124"/>
        <v>0.3452516535930249</v>
      </c>
      <c r="BA435" s="12">
        <f t="shared" si="129"/>
        <v>0.39847579066956568</v>
      </c>
      <c r="BB435" s="12">
        <f t="shared" si="130"/>
        <v>0.28800415477044877</v>
      </c>
      <c r="BC435" s="12">
        <f t="shared" si="131"/>
        <v>0.92486468026714441</v>
      </c>
      <c r="BD435" s="12">
        <f t="shared" si="132"/>
        <v>0.47351112917083782</v>
      </c>
      <c r="BE435" s="12">
        <f t="shared" si="133"/>
        <v>0.40530989105888532</v>
      </c>
      <c r="BF435" s="12">
        <f t="shared" si="134"/>
        <v>0.83632093623736103</v>
      </c>
      <c r="BG435" s="12">
        <f t="shared" si="135"/>
        <v>0.76911810842125161</v>
      </c>
      <c r="BH435" s="12">
        <f t="shared" si="136"/>
        <v>0.44221777894289793</v>
      </c>
      <c r="BI435" s="12">
        <f t="shared" si="137"/>
        <v>0.67190208014747088</v>
      </c>
    </row>
    <row r="436" spans="1:61" x14ac:dyDescent="0.55000000000000004">
      <c r="A436" s="12" t="s">
        <v>1033</v>
      </c>
      <c r="B436" s="12" t="s">
        <v>1034</v>
      </c>
      <c r="C436" s="12" t="s">
        <v>8</v>
      </c>
      <c r="D436" s="12" t="s">
        <v>9</v>
      </c>
      <c r="E436" s="12">
        <v>1986</v>
      </c>
      <c r="F436" s="12">
        <v>69.325664392626848</v>
      </c>
      <c r="G436" s="12">
        <v>30.940021585728431</v>
      </c>
      <c r="H436" s="14">
        <f t="shared" si="125"/>
        <v>61446.88286925666</v>
      </c>
      <c r="I436" s="12">
        <v>45.641596367603881</v>
      </c>
      <c r="J436" s="12">
        <v>10.357147903458815</v>
      </c>
      <c r="K436" s="12">
        <v>19.207573513841233</v>
      </c>
      <c r="L436" s="12">
        <v>49.608777436210502</v>
      </c>
      <c r="M436" s="12">
        <v>35.492428763777419</v>
      </c>
      <c r="N436" s="12">
        <v>12.342345577332466</v>
      </c>
      <c r="O436" s="12">
        <v>12.743933899383915</v>
      </c>
      <c r="P436" s="12">
        <v>37.387893090637476</v>
      </c>
      <c r="Q436" s="12">
        <v>831.56316029467848</v>
      </c>
      <c r="R436" s="15">
        <v>209.98622426777152</v>
      </c>
      <c r="S436" s="15">
        <v>715.93097284617704</v>
      </c>
      <c r="T436" s="15">
        <v>978.31281354985799</v>
      </c>
      <c r="U436" s="12">
        <v>21.602187851745562</v>
      </c>
      <c r="V436" s="12">
        <v>11.081384192942259</v>
      </c>
      <c r="W436" s="12">
        <v>47.526220736937567</v>
      </c>
      <c r="X436" s="12">
        <v>52.091689533037901</v>
      </c>
      <c r="Y436" s="12">
        <v>26.206346353361127</v>
      </c>
      <c r="Z436" s="12">
        <v>28.721319498261185</v>
      </c>
      <c r="AA436" s="12">
        <v>47.074123099432668</v>
      </c>
      <c r="AB436" s="12">
        <v>56.471171467389524</v>
      </c>
      <c r="AC436" s="12">
        <v>29.591448372052042</v>
      </c>
      <c r="AD436" s="12">
        <v>21.380947754390014</v>
      </c>
      <c r="AE436" s="12">
        <v>22.070454798852538</v>
      </c>
      <c r="AF436" s="12">
        <v>37.385151853814712</v>
      </c>
      <c r="AG436" s="12">
        <v>704.24098100807782</v>
      </c>
      <c r="AH436" s="12">
        <v>297.44186586342323</v>
      </c>
      <c r="AI436" s="12">
        <v>1753.1407764337837</v>
      </c>
      <c r="AJ436" s="12">
        <v>1864.8449705460266</v>
      </c>
      <c r="AK436" s="12">
        <v>560.39526034290475</v>
      </c>
      <c r="AL436" s="12">
        <v>1556.6360100255843</v>
      </c>
      <c r="AM436" s="12">
        <v>847.95771003802736</v>
      </c>
      <c r="AN436" s="12">
        <v>1556.823598853679</v>
      </c>
      <c r="AP436" s="12">
        <f t="shared" si="117"/>
        <v>1.6033853531341209</v>
      </c>
      <c r="AQ436" s="12">
        <f t="shared" si="118"/>
        <v>1.2083990629109072</v>
      </c>
      <c r="AR436" s="12">
        <f t="shared" si="126"/>
        <v>1.6836345569023781</v>
      </c>
      <c r="AS436" s="12">
        <f t="shared" si="127"/>
        <v>1.8251820319814429</v>
      </c>
      <c r="AT436" s="12">
        <f t="shared" si="128"/>
        <v>1.2083104644975167</v>
      </c>
      <c r="AU436" s="12">
        <f t="shared" si="119"/>
        <v>0.92003066244259246</v>
      </c>
      <c r="AV436" s="12">
        <f t="shared" si="120"/>
        <v>0.20877651977569017</v>
      </c>
      <c r="AW436" s="12">
        <f t="shared" si="121"/>
        <v>0.38718094874519554</v>
      </c>
      <c r="AX436" s="12">
        <f t="shared" si="122"/>
        <v>0.94930272421970974</v>
      </c>
      <c r="AY436" s="12">
        <f t="shared" si="123"/>
        <v>0.33011610329075181</v>
      </c>
      <c r="AZ436" s="12">
        <f t="shared" si="124"/>
        <v>0.34085723601727103</v>
      </c>
      <c r="BA436" s="12">
        <f t="shared" si="129"/>
        <v>0.41469547341222046</v>
      </c>
      <c r="BB436" s="12">
        <f t="shared" si="130"/>
        <v>0.21272844655795159</v>
      </c>
      <c r="BC436" s="12">
        <f t="shared" si="131"/>
        <v>0.91235706046345844</v>
      </c>
      <c r="BD436" s="12">
        <f t="shared" si="132"/>
        <v>0.46406592376952083</v>
      </c>
      <c r="BE436" s="12">
        <f t="shared" si="133"/>
        <v>0.50860144657786888</v>
      </c>
      <c r="BF436" s="12">
        <f t="shared" si="134"/>
        <v>0.83359565378622646</v>
      </c>
      <c r="BG436" s="12">
        <f t="shared" si="135"/>
        <v>0.79152944162864447</v>
      </c>
      <c r="BH436" s="12">
        <f t="shared" si="136"/>
        <v>0.57191014865995105</v>
      </c>
      <c r="BI436" s="12">
        <f t="shared" si="137"/>
        <v>0.59035348806803123</v>
      </c>
    </row>
    <row r="437" spans="1:61" x14ac:dyDescent="0.55000000000000004">
      <c r="A437" s="12" t="s">
        <v>1035</v>
      </c>
      <c r="B437" s="12" t="s">
        <v>1036</v>
      </c>
      <c r="C437" s="12" t="s">
        <v>322</v>
      </c>
      <c r="D437" s="12" t="s">
        <v>9</v>
      </c>
      <c r="E437" s="12">
        <v>2254</v>
      </c>
      <c r="F437" s="12">
        <v>68.698152925948307</v>
      </c>
      <c r="G437" s="12">
        <v>39.292124141685605</v>
      </c>
      <c r="H437" s="14">
        <f t="shared" si="125"/>
        <v>88564.447815359352</v>
      </c>
      <c r="I437" s="12">
        <v>42.815313262357776</v>
      </c>
      <c r="J437" s="12">
        <v>14.417746863880268</v>
      </c>
      <c r="K437" s="12">
        <v>23.268339210531728</v>
      </c>
      <c r="L437" s="12">
        <v>45.755778471211222</v>
      </c>
      <c r="M437" s="12">
        <v>34.075771026506018</v>
      </c>
      <c r="N437" s="12">
        <v>9.0842077806236787</v>
      </c>
      <c r="O437" s="12">
        <v>14.213565113590692</v>
      </c>
      <c r="P437" s="12">
        <v>36.404535568829175</v>
      </c>
      <c r="Q437" s="12">
        <v>704.83290661287174</v>
      </c>
      <c r="R437" s="15">
        <v>86.652643871854821</v>
      </c>
      <c r="S437" s="15">
        <v>1282.7786497915959</v>
      </c>
      <c r="T437" s="15">
        <v>1317.5494429700705</v>
      </c>
      <c r="U437" s="12">
        <v>28.82509465901807</v>
      </c>
      <c r="V437" s="12">
        <v>19.761630556207837</v>
      </c>
      <c r="W437" s="12">
        <v>57.229695057888378</v>
      </c>
      <c r="X437" s="12">
        <v>65.280845686883225</v>
      </c>
      <c r="Y437" s="12">
        <v>34.465166270021953</v>
      </c>
      <c r="Z437" s="12">
        <v>30.395169821642629</v>
      </c>
      <c r="AA437" s="12">
        <v>31.184804060312871</v>
      </c>
      <c r="AB437" s="12">
        <v>53.060037986644929</v>
      </c>
      <c r="AC437" s="12">
        <v>42.536803235762363</v>
      </c>
      <c r="AD437" s="12">
        <v>20.873385864536857</v>
      </c>
      <c r="AE437" s="12">
        <v>17.342304673859768</v>
      </c>
      <c r="AF437" s="12">
        <v>48.169436733405959</v>
      </c>
      <c r="AG437" s="12">
        <v>853.20688391296585</v>
      </c>
      <c r="AH437" s="12">
        <v>315.82876308561924</v>
      </c>
      <c r="AI437" s="12">
        <v>2133.97491669175</v>
      </c>
      <c r="AJ437" s="12">
        <v>2296.755401048867</v>
      </c>
      <c r="AK437" s="12">
        <v>931.63159247213355</v>
      </c>
      <c r="AL437" s="12">
        <v>699.990812467007</v>
      </c>
      <c r="AM437" s="12">
        <v>596.06797268668925</v>
      </c>
      <c r="AN437" s="12">
        <v>1013.3838626251728</v>
      </c>
      <c r="AP437" s="12">
        <f t="shared" si="117"/>
        <v>1.1645025427034175</v>
      </c>
      <c r="AQ437" s="12">
        <f t="shared" si="118"/>
        <v>0.92650973608746834</v>
      </c>
      <c r="AR437" s="12">
        <f t="shared" si="126"/>
        <v>1.6614231760920708</v>
      </c>
      <c r="AS437" s="12">
        <f t="shared" si="127"/>
        <v>1.3503988177201327</v>
      </c>
      <c r="AT437" s="12">
        <f t="shared" si="128"/>
        <v>1.2259310939696</v>
      </c>
      <c r="AU437" s="12">
        <f t="shared" si="119"/>
        <v>0.93573565335133491</v>
      </c>
      <c r="AV437" s="12">
        <f t="shared" si="120"/>
        <v>0.3151022088489146</v>
      </c>
      <c r="AW437" s="12">
        <f t="shared" si="121"/>
        <v>0.50853334787368509</v>
      </c>
      <c r="AX437" s="12">
        <f t="shared" si="122"/>
        <v>0.93603092290738832</v>
      </c>
      <c r="AY437" s="12">
        <f t="shared" si="123"/>
        <v>0.24953505486832503</v>
      </c>
      <c r="AZ437" s="12">
        <f t="shared" si="124"/>
        <v>0.39043390861881611</v>
      </c>
      <c r="BA437" s="12">
        <f t="shared" si="129"/>
        <v>0.44155516607852169</v>
      </c>
      <c r="BB437" s="12">
        <f t="shared" si="130"/>
        <v>0.30271713468593298</v>
      </c>
      <c r="BC437" s="12">
        <f t="shared" si="131"/>
        <v>0.87666902068622321</v>
      </c>
      <c r="BD437" s="12">
        <f t="shared" si="132"/>
        <v>0.64955035046708309</v>
      </c>
      <c r="BE437" s="12">
        <f t="shared" si="133"/>
        <v>0.57284485603446067</v>
      </c>
      <c r="BF437" s="12">
        <f t="shared" si="134"/>
        <v>0.58772675715313294</v>
      </c>
      <c r="BG437" s="12">
        <f t="shared" si="135"/>
        <v>0.88306623702457976</v>
      </c>
      <c r="BH437" s="12">
        <f t="shared" si="136"/>
        <v>0.43333257102549771</v>
      </c>
      <c r="BI437" s="12">
        <f t="shared" si="137"/>
        <v>0.3600271427262241</v>
      </c>
    </row>
    <row r="438" spans="1:61" x14ac:dyDescent="0.55000000000000004">
      <c r="A438" s="12" t="s">
        <v>1037</v>
      </c>
      <c r="B438" s="12" t="s">
        <v>1038</v>
      </c>
      <c r="C438" s="12" t="s">
        <v>8</v>
      </c>
      <c r="D438" s="12" t="s">
        <v>9</v>
      </c>
      <c r="E438" s="12">
        <v>2540</v>
      </c>
      <c r="F438" s="12">
        <v>73.141916946263905</v>
      </c>
      <c r="G438" s="12">
        <v>44.935643621343409</v>
      </c>
      <c r="H438" s="14">
        <f t="shared" si="125"/>
        <v>114136.53479821226</v>
      </c>
      <c r="I438" s="12">
        <v>46.15663242015215</v>
      </c>
      <c r="J438" s="12">
        <v>12.712616583444873</v>
      </c>
      <c r="K438" s="12">
        <v>32.067829110031248</v>
      </c>
      <c r="L438" s="12">
        <v>55.360465014583617</v>
      </c>
      <c r="M438" s="12">
        <v>51.672434624932549</v>
      </c>
      <c r="N438" s="12">
        <v>12.973206062930256</v>
      </c>
      <c r="O438" s="12">
        <v>20.097735849164049</v>
      </c>
      <c r="P438" s="12">
        <v>54.290008144759163</v>
      </c>
      <c r="Q438" s="12">
        <v>1015.7892491812254</v>
      </c>
      <c r="R438" s="15">
        <v>274.43954142035091</v>
      </c>
      <c r="S438" s="15">
        <v>1541.7498129544324</v>
      </c>
      <c r="T438" s="15">
        <v>1565.3025019111606</v>
      </c>
      <c r="U438" s="12">
        <v>30.169348212894675</v>
      </c>
      <c r="V438" s="12">
        <v>13.657031960852713</v>
      </c>
      <c r="W438" s="12">
        <v>38.336693589537319</v>
      </c>
      <c r="X438" s="12">
        <v>39.737831546231305</v>
      </c>
      <c r="Y438" s="12">
        <v>23.630372160961638</v>
      </c>
      <c r="Z438" s="12">
        <v>14.068589401630174</v>
      </c>
      <c r="AA438" s="12">
        <v>23.085691748226022</v>
      </c>
      <c r="AB438" s="12">
        <v>34.091216112105066</v>
      </c>
      <c r="AC438" s="12">
        <v>29.226002617775986</v>
      </c>
      <c r="AD438" s="12">
        <v>10.288562649296971</v>
      </c>
      <c r="AE438" s="12">
        <v>32.232633713924713</v>
      </c>
      <c r="AF438" s="12">
        <v>41.11996891315335</v>
      </c>
      <c r="AG438" s="12">
        <v>605.9463097464884</v>
      </c>
      <c r="AH438" s="12">
        <v>99.018524263907224</v>
      </c>
      <c r="AI438" s="12">
        <v>1334.8625392240897</v>
      </c>
      <c r="AJ438" s="12">
        <v>1378.3523277755953</v>
      </c>
      <c r="AK438" s="12">
        <v>1236.716846169199</v>
      </c>
      <c r="AL438" s="12">
        <v>3718.9557535025642</v>
      </c>
      <c r="AM438" s="12">
        <v>2038.7158960029599</v>
      </c>
      <c r="AN438" s="12">
        <v>3846.107901262053</v>
      </c>
      <c r="AP438" s="12">
        <f t="shared" si="117"/>
        <v>1.2319944826224467</v>
      </c>
      <c r="AQ438" s="12">
        <f t="shared" si="118"/>
        <v>1.2081724833462193</v>
      </c>
      <c r="AR438" s="12">
        <f t="shared" si="126"/>
        <v>0.88432763712227636</v>
      </c>
      <c r="AS438" s="12">
        <f t="shared" si="127"/>
        <v>0.75866758245146204</v>
      </c>
      <c r="AT438" s="12">
        <f t="shared" si="128"/>
        <v>0.91508578934924389</v>
      </c>
      <c r="AU438" s="12">
        <f t="shared" si="119"/>
        <v>0.8337471950062757</v>
      </c>
      <c r="AV438" s="12">
        <f t="shared" si="120"/>
        <v>0.22963348628115726</v>
      </c>
      <c r="AW438" s="12">
        <f t="shared" si="121"/>
        <v>0.57925505325115334</v>
      </c>
      <c r="AX438" s="12">
        <f t="shared" si="122"/>
        <v>0.95178535407754772</v>
      </c>
      <c r="AY438" s="12">
        <f t="shared" si="123"/>
        <v>0.23896121047428159</v>
      </c>
      <c r="AZ438" s="12">
        <f t="shared" si="124"/>
        <v>0.37019216861370402</v>
      </c>
      <c r="BA438" s="12">
        <f t="shared" si="129"/>
        <v>0.7592097263232751</v>
      </c>
      <c r="BB438" s="12">
        <f t="shared" si="130"/>
        <v>0.3436783394927832</v>
      </c>
      <c r="BC438" s="12">
        <f t="shared" si="131"/>
        <v>0.96474045255680618</v>
      </c>
      <c r="BD438" s="12">
        <f t="shared" si="132"/>
        <v>0.69315134089836694</v>
      </c>
      <c r="BE438" s="12">
        <f t="shared" si="133"/>
        <v>0.4126749059161523</v>
      </c>
      <c r="BF438" s="12">
        <f t="shared" si="134"/>
        <v>0.67717419268093471</v>
      </c>
      <c r="BG438" s="12">
        <f t="shared" si="135"/>
        <v>0.71074962822812948</v>
      </c>
      <c r="BH438" s="12">
        <f t="shared" si="136"/>
        <v>0.25020842479299377</v>
      </c>
      <c r="BI438" s="12">
        <f t="shared" si="137"/>
        <v>0.78386814401540617</v>
      </c>
    </row>
    <row r="439" spans="1:61" x14ac:dyDescent="0.55000000000000004">
      <c r="A439" s="12" t="s">
        <v>1039</v>
      </c>
      <c r="B439" s="12" t="s">
        <v>1040</v>
      </c>
      <c r="C439" s="12" t="s">
        <v>322</v>
      </c>
      <c r="D439" s="12" t="s">
        <v>9</v>
      </c>
      <c r="E439" s="12">
        <v>1822</v>
      </c>
      <c r="F439" s="12">
        <v>70.39904663963955</v>
      </c>
      <c r="G439" s="12">
        <v>42.319036361050138</v>
      </c>
      <c r="H439" s="14">
        <f t="shared" si="125"/>
        <v>77105.284249833348</v>
      </c>
      <c r="I439" s="12">
        <v>47.601542482831917</v>
      </c>
      <c r="J439" s="12">
        <v>13.04416373244201</v>
      </c>
      <c r="K439" s="12">
        <v>22.427532655930477</v>
      </c>
      <c r="L439" s="12">
        <v>51.257114451460481</v>
      </c>
      <c r="M439" s="12">
        <v>27.471973792549267</v>
      </c>
      <c r="N439" s="12">
        <v>18.269252280019131</v>
      </c>
      <c r="O439" s="12">
        <v>11.37230036092172</v>
      </c>
      <c r="P439" s="12">
        <v>30.801693338729685</v>
      </c>
      <c r="Q439" s="12">
        <v>472.95650222718263</v>
      </c>
      <c r="R439" s="15">
        <v>144.80683348460494</v>
      </c>
      <c r="S439" s="15">
        <v>985.03046237494505</v>
      </c>
      <c r="T439" s="15">
        <v>1002.0400045487994</v>
      </c>
      <c r="U439" s="12">
        <v>24.575024532098173</v>
      </c>
      <c r="V439" s="12">
        <v>11.113737436143131</v>
      </c>
      <c r="W439" s="12">
        <v>34.062477964494519</v>
      </c>
      <c r="X439" s="12">
        <v>39.083132117202631</v>
      </c>
      <c r="Y439" s="12">
        <v>24.696102878187133</v>
      </c>
      <c r="Z439" s="12">
        <v>22.728748155840623</v>
      </c>
      <c r="AA439" s="12">
        <v>14.687289058335711</v>
      </c>
      <c r="AB439" s="12">
        <v>33.232617409446839</v>
      </c>
      <c r="AC439" s="12">
        <v>28.721206791909232</v>
      </c>
      <c r="AD439" s="12">
        <v>17.703919291927818</v>
      </c>
      <c r="AE439" s="12">
        <v>22.719200333850047</v>
      </c>
      <c r="AF439" s="12">
        <v>37.913962601476278</v>
      </c>
      <c r="AG439" s="12">
        <v>775.70265609470528</v>
      </c>
      <c r="AH439" s="12">
        <v>18.399445024423624</v>
      </c>
      <c r="AI439" s="12">
        <v>1148.9007570840722</v>
      </c>
      <c r="AJ439" s="12">
        <v>1301.1135411125774</v>
      </c>
      <c r="AK439" s="12">
        <v>984.7326081445118</v>
      </c>
      <c r="AL439" s="12">
        <v>1884.2092055970543</v>
      </c>
      <c r="AM439" s="12">
        <v>497.63920549943282</v>
      </c>
      <c r="AN439" s="12">
        <v>1978.9081347391639</v>
      </c>
      <c r="AP439" s="12">
        <f t="shared" si="117"/>
        <v>1.211207032555137</v>
      </c>
      <c r="AQ439" s="12">
        <f t="shared" si="118"/>
        <v>0.72784486574649754</v>
      </c>
      <c r="AR439" s="12">
        <f t="shared" ref="AR439:AR457" si="138">X439/G439</f>
        <v>0.92353549319412698</v>
      </c>
      <c r="AS439" s="12">
        <f t="shared" ref="AS439:AS457" si="139">AB439/G439</f>
        <v>0.7852876687909105</v>
      </c>
      <c r="AT439" s="12">
        <f t="shared" ref="AT439:AT457" si="140">AF439/G439</f>
        <v>0.8959079851915478</v>
      </c>
      <c r="AU439" s="12">
        <f t="shared" si="119"/>
        <v>0.92868166677446651</v>
      </c>
      <c r="AV439" s="12">
        <f t="shared" si="120"/>
        <v>0.2544849407157827</v>
      </c>
      <c r="AW439" s="12">
        <f t="shared" si="121"/>
        <v>0.43754965327142881</v>
      </c>
      <c r="AX439" s="12">
        <f t="shared" si="122"/>
        <v>0.891898165806564</v>
      </c>
      <c r="AY439" s="12">
        <f t="shared" si="123"/>
        <v>0.59312493242206232</v>
      </c>
      <c r="AZ439" s="12">
        <f t="shared" si="124"/>
        <v>0.36921023256284174</v>
      </c>
      <c r="BA439" s="12">
        <f t="shared" ref="BA439:BA457" si="141">U439/$X439</f>
        <v>0.62878851312127448</v>
      </c>
      <c r="BB439" s="12">
        <f t="shared" ref="BB439:BB457" si="142">V439/$X439</f>
        <v>0.28436148369110276</v>
      </c>
      <c r="BC439" s="12">
        <f t="shared" ref="BC439:BC457" si="143">W439/$X439</f>
        <v>0.87153910444914817</v>
      </c>
      <c r="BD439" s="12">
        <f t="shared" ref="BD439:BD457" si="144">Y439/$AB439</f>
        <v>0.74312843234451098</v>
      </c>
      <c r="BE439" s="12">
        <f t="shared" ref="BE439:BE457" si="145">Z439/$AB439</f>
        <v>0.6839289206687541</v>
      </c>
      <c r="BF439" s="12">
        <f t="shared" ref="BF439:BF457" si="146">AA439/$AB439</f>
        <v>0.44195402599136363</v>
      </c>
      <c r="BG439" s="12">
        <f t="shared" ref="BG439:BG457" si="147">AC439/$AF439</f>
        <v>0.75753640139928025</v>
      </c>
      <c r="BH439" s="12">
        <f t="shared" ref="BH439:BH457" si="148">AD439/$AF439</f>
        <v>0.46694985375225512</v>
      </c>
      <c r="BI439" s="12">
        <f t="shared" ref="BI439:BI457" si="149">AE439/$AF439</f>
        <v>0.59923043583329949</v>
      </c>
    </row>
    <row r="440" spans="1:61" x14ac:dyDescent="0.55000000000000004">
      <c r="A440" s="12" t="s">
        <v>1041</v>
      </c>
      <c r="B440" s="12" t="s">
        <v>1042</v>
      </c>
      <c r="C440" s="12" t="s">
        <v>322</v>
      </c>
      <c r="D440" s="12" t="s">
        <v>9</v>
      </c>
      <c r="E440" s="12">
        <v>2281</v>
      </c>
      <c r="F440" s="12">
        <v>69.677401321251054</v>
      </c>
      <c r="G440" s="12">
        <v>31.136550222302997</v>
      </c>
      <c r="H440" s="14">
        <f t="shared" si="125"/>
        <v>71022.47105707314</v>
      </c>
      <c r="I440" s="12">
        <v>31.059595399344325</v>
      </c>
      <c r="J440" s="12">
        <v>21.390905041095024</v>
      </c>
      <c r="K440" s="12">
        <v>23.425333564437729</v>
      </c>
      <c r="L440" s="12">
        <v>38.489005254094778</v>
      </c>
      <c r="M440" s="12">
        <v>30.656293969486768</v>
      </c>
      <c r="N440" s="12">
        <v>15.922966293940718</v>
      </c>
      <c r="O440" s="12">
        <v>10.940665438851775</v>
      </c>
      <c r="P440" s="12">
        <v>34.66458780474639</v>
      </c>
      <c r="Q440" s="12">
        <v>457.91625615917866</v>
      </c>
      <c r="R440" s="15">
        <v>302.42459791483174</v>
      </c>
      <c r="S440" s="15">
        <v>1327.9463254806551</v>
      </c>
      <c r="T440" s="15">
        <v>1344.0112489171145</v>
      </c>
      <c r="U440" s="12">
        <v>28.923327933497859</v>
      </c>
      <c r="V440" s="12">
        <v>8.7991752750427583</v>
      </c>
      <c r="W440" s="12">
        <v>48.752028384500633</v>
      </c>
      <c r="X440" s="12">
        <v>52.874725509165678</v>
      </c>
      <c r="Y440" s="12">
        <v>32.544550562772152</v>
      </c>
      <c r="Z440" s="12">
        <v>12.838530865078035</v>
      </c>
      <c r="AA440" s="12">
        <v>15.113454797620479</v>
      </c>
      <c r="AB440" s="12">
        <v>34.899192148324268</v>
      </c>
      <c r="AC440" s="12">
        <v>48.56728534530842</v>
      </c>
      <c r="AD440" s="12">
        <v>16.17086998268476</v>
      </c>
      <c r="AE440" s="12">
        <v>23.972728594146858</v>
      </c>
      <c r="AF440" s="12">
        <v>54.509977669337182</v>
      </c>
      <c r="AG440" s="12">
        <v>694.04102704883474</v>
      </c>
      <c r="AH440" s="12">
        <v>84.258067838900345</v>
      </c>
      <c r="AI440" s="12">
        <v>1770.0609639879624</v>
      </c>
      <c r="AJ440" s="12">
        <v>1891.9544994708915</v>
      </c>
      <c r="AK440" s="12">
        <v>1197.9719882350396</v>
      </c>
      <c r="AL440" s="12">
        <v>1967.1974728701093</v>
      </c>
      <c r="AM440" s="12">
        <v>1659.5710254946175</v>
      </c>
      <c r="AN440" s="12">
        <v>1974.5989731894067</v>
      </c>
      <c r="AP440" s="12">
        <f t="shared" si="117"/>
        <v>1.2361358268433105</v>
      </c>
      <c r="AQ440" s="12">
        <f t="shared" si="118"/>
        <v>1.113308557218271</v>
      </c>
      <c r="AR440" s="12">
        <f t="shared" si="138"/>
        <v>1.6981561904469336</v>
      </c>
      <c r="AS440" s="12">
        <f t="shared" si="139"/>
        <v>1.1208432501082315</v>
      </c>
      <c r="AT440" s="12">
        <f t="shared" si="140"/>
        <v>1.7506749232062286</v>
      </c>
      <c r="AU440" s="12">
        <f t="shared" si="119"/>
        <v>0.80697319128661937</v>
      </c>
      <c r="AV440" s="12">
        <f t="shared" si="120"/>
        <v>0.55576663776778912</v>
      </c>
      <c r="AW440" s="12">
        <f t="shared" si="121"/>
        <v>0.60862403197457404</v>
      </c>
      <c r="AX440" s="12">
        <f t="shared" si="122"/>
        <v>0.88436920531589902</v>
      </c>
      <c r="AY440" s="12">
        <f t="shared" si="123"/>
        <v>0.45934388095509082</v>
      </c>
      <c r="AZ440" s="12">
        <f t="shared" si="124"/>
        <v>0.31561504496971815</v>
      </c>
      <c r="BA440" s="12">
        <f t="shared" si="141"/>
        <v>0.5470161339841676</v>
      </c>
      <c r="BB440" s="12">
        <f t="shared" si="142"/>
        <v>0.16641552632774326</v>
      </c>
      <c r="BC440" s="12">
        <f t="shared" si="143"/>
        <v>0.92202896402837331</v>
      </c>
      <c r="BD440" s="12">
        <f t="shared" si="144"/>
        <v>0.93253019796146841</v>
      </c>
      <c r="BE440" s="12">
        <f t="shared" si="145"/>
        <v>0.36787472932076148</v>
      </c>
      <c r="BF440" s="12">
        <f t="shared" si="146"/>
        <v>0.43306030504623505</v>
      </c>
      <c r="BG440" s="12">
        <f t="shared" si="147"/>
        <v>0.89097973292013233</v>
      </c>
      <c r="BH440" s="12">
        <f t="shared" si="148"/>
        <v>0.29665889941798962</v>
      </c>
      <c r="BI440" s="12">
        <f t="shared" si="149"/>
        <v>0.43978606521484481</v>
      </c>
    </row>
    <row r="441" spans="1:61" x14ac:dyDescent="0.55000000000000004">
      <c r="A441" s="12" t="s">
        <v>1043</v>
      </c>
      <c r="B441" s="12" t="s">
        <v>1044</v>
      </c>
      <c r="C441" s="12" t="s">
        <v>322</v>
      </c>
      <c r="D441" s="12" t="s">
        <v>9</v>
      </c>
      <c r="E441" s="12">
        <v>2497</v>
      </c>
      <c r="F441" s="12">
        <v>69.238545683026317</v>
      </c>
      <c r="G441" s="12">
        <v>28.922686947988961</v>
      </c>
      <c r="H441" s="14">
        <f t="shared" si="125"/>
        <v>72219.949309128438</v>
      </c>
      <c r="I441" s="12">
        <v>32.366054920885517</v>
      </c>
      <c r="J441" s="12">
        <v>26.163467312649736</v>
      </c>
      <c r="K441" s="12">
        <v>22.249653680915664</v>
      </c>
      <c r="L441" s="12">
        <v>39.981105023165064</v>
      </c>
      <c r="M441" s="12">
        <v>35.638935622104519</v>
      </c>
      <c r="N441" s="12">
        <v>17.439209468353923</v>
      </c>
      <c r="O441" s="12">
        <v>7.8873738018804804</v>
      </c>
      <c r="P441" s="12">
        <v>40.045139228525926</v>
      </c>
      <c r="Q441" s="12">
        <v>410.58744270832642</v>
      </c>
      <c r="R441" s="15">
        <v>75.97298869276581</v>
      </c>
      <c r="S441" s="15">
        <v>1206.5057182691921</v>
      </c>
      <c r="T441" s="15">
        <v>1244.8380461585703</v>
      </c>
      <c r="U441" s="12">
        <v>40.078692897059717</v>
      </c>
      <c r="V441" s="12">
        <v>8.0783868605576341</v>
      </c>
      <c r="W441" s="12">
        <v>45.39495599927163</v>
      </c>
      <c r="X441" s="12">
        <v>49.652301791902339</v>
      </c>
      <c r="Y441" s="12">
        <v>26.418198986925315</v>
      </c>
      <c r="Z441" s="12">
        <v>15.27740285419048</v>
      </c>
      <c r="AA441" s="12">
        <v>16.065898360613485</v>
      </c>
      <c r="AB441" s="12">
        <v>31.562891896079648</v>
      </c>
      <c r="AC441" s="12">
        <v>34.132003546896463</v>
      </c>
      <c r="AD441" s="12">
        <v>18.523995403755301</v>
      </c>
      <c r="AE441" s="12">
        <v>26.45214828780594</v>
      </c>
      <c r="AF441" s="12">
        <v>42.481031755194621</v>
      </c>
      <c r="AG441" s="12">
        <v>648.28170175481443</v>
      </c>
      <c r="AH441" s="12">
        <v>67.538432163972004</v>
      </c>
      <c r="AI441" s="12">
        <v>1628.0467616014539</v>
      </c>
      <c r="AJ441" s="12">
        <v>1750.6671780249183</v>
      </c>
      <c r="AK441" s="12">
        <v>870.91624818199148</v>
      </c>
      <c r="AL441" s="12">
        <v>2427.0922060014282</v>
      </c>
      <c r="AM441" s="12">
        <v>1000.5088696555412</v>
      </c>
      <c r="AN441" s="12">
        <v>2443.5980512926585</v>
      </c>
      <c r="AP441" s="12">
        <f t="shared" si="117"/>
        <v>1.3823440780264371</v>
      </c>
      <c r="AQ441" s="12">
        <f t="shared" si="118"/>
        <v>1.384558056467514</v>
      </c>
      <c r="AR441" s="12">
        <f t="shared" si="138"/>
        <v>1.7167250705714512</v>
      </c>
      <c r="AS441" s="12">
        <f t="shared" si="139"/>
        <v>1.0912849125269208</v>
      </c>
      <c r="AT441" s="12">
        <f t="shared" si="140"/>
        <v>1.4687788804542032</v>
      </c>
      <c r="AU441" s="12">
        <f t="shared" si="119"/>
        <v>0.8095337760707868</v>
      </c>
      <c r="AV441" s="12">
        <f t="shared" si="120"/>
        <v>0.65439580265454433</v>
      </c>
      <c r="AW441" s="12">
        <f t="shared" si="121"/>
        <v>0.55650422038170799</v>
      </c>
      <c r="AX441" s="12">
        <f t="shared" si="122"/>
        <v>0.88996907761322819</v>
      </c>
      <c r="AY441" s="12">
        <f t="shared" si="123"/>
        <v>0.43548879600176799</v>
      </c>
      <c r="AZ441" s="12">
        <f t="shared" si="124"/>
        <v>0.19696207714173597</v>
      </c>
      <c r="BA441" s="12">
        <f t="shared" si="141"/>
        <v>0.80718700746308691</v>
      </c>
      <c r="BB441" s="12">
        <f t="shared" si="142"/>
        <v>0.16269914120829573</v>
      </c>
      <c r="BC441" s="12">
        <f t="shared" si="143"/>
        <v>0.91425682921058404</v>
      </c>
      <c r="BD441" s="12">
        <f t="shared" si="144"/>
        <v>0.83700185248889236</v>
      </c>
      <c r="BE441" s="12">
        <f t="shared" si="145"/>
        <v>0.48403051610388242</v>
      </c>
      <c r="BF441" s="12">
        <f t="shared" si="146"/>
        <v>0.50901224176511506</v>
      </c>
      <c r="BG441" s="12">
        <f t="shared" si="147"/>
        <v>0.80346456139739986</v>
      </c>
      <c r="BH441" s="12">
        <f t="shared" si="148"/>
        <v>0.43605333106087207</v>
      </c>
      <c r="BI441" s="12">
        <f t="shared" si="149"/>
        <v>0.62268139908281173</v>
      </c>
    </row>
    <row r="442" spans="1:61" x14ac:dyDescent="0.55000000000000004">
      <c r="A442" s="12" t="s">
        <v>1045</v>
      </c>
      <c r="B442" s="12" t="s">
        <v>1046</v>
      </c>
      <c r="C442" s="12" t="s">
        <v>322</v>
      </c>
      <c r="D442" s="12" t="s">
        <v>9</v>
      </c>
      <c r="E442" s="12">
        <v>2484</v>
      </c>
      <c r="F442" s="12">
        <v>69.925086580148559</v>
      </c>
      <c r="G442" s="12">
        <v>30.320018069599698</v>
      </c>
      <c r="H442" s="14">
        <f t="shared" si="125"/>
        <v>75314.924884885651</v>
      </c>
      <c r="I442" s="12">
        <v>37.136608760535168</v>
      </c>
      <c r="J442" s="12">
        <v>18.615659178774223</v>
      </c>
      <c r="K442" s="12">
        <v>22.05379016342135</v>
      </c>
      <c r="L442" s="12">
        <v>41.111310263914739</v>
      </c>
      <c r="M442" s="12">
        <v>28.319295283144456</v>
      </c>
      <c r="N442" s="12">
        <v>9.8506991567994557</v>
      </c>
      <c r="O442" s="12">
        <v>13.532451215802741</v>
      </c>
      <c r="P442" s="12">
        <v>31.650890275872548</v>
      </c>
      <c r="Q442" s="12">
        <v>401.1284683079885</v>
      </c>
      <c r="R442" s="15">
        <v>44.621852439765448</v>
      </c>
      <c r="S442" s="15">
        <v>1084.2670735117106</v>
      </c>
      <c r="T442" s="15">
        <v>1128.9434337775263</v>
      </c>
      <c r="U442" s="12">
        <v>27.078333669654469</v>
      </c>
      <c r="V442" s="12">
        <v>8.4430648318260229</v>
      </c>
      <c r="W442" s="12">
        <v>50.868153938612224</v>
      </c>
      <c r="X442" s="12">
        <v>56.441953155417558</v>
      </c>
      <c r="Y442" s="12">
        <v>35.878614313684238</v>
      </c>
      <c r="Z442" s="12">
        <v>18.57713329887622</v>
      </c>
      <c r="AA442" s="12">
        <v>33.696515407420264</v>
      </c>
      <c r="AB442" s="12">
        <v>46.520158479202159</v>
      </c>
      <c r="AC442" s="12">
        <v>43.616855264675543</v>
      </c>
      <c r="AD442" s="12">
        <v>19.100700265155311</v>
      </c>
      <c r="AE442" s="12">
        <v>26.571149029196068</v>
      </c>
      <c r="AF442" s="12">
        <v>52.324407994967451</v>
      </c>
      <c r="AG442" s="12">
        <v>753.98673846075144</v>
      </c>
      <c r="AH442" s="12">
        <v>527.46549054405546</v>
      </c>
      <c r="AI442" s="12">
        <v>1883.1437119555294</v>
      </c>
      <c r="AJ442" s="12">
        <v>2023.2856391353018</v>
      </c>
      <c r="AK442" s="12">
        <v>1037.7626104357205</v>
      </c>
      <c r="AL442" s="12">
        <v>1970.9283313090316</v>
      </c>
      <c r="AM442" s="12">
        <v>604.23267014608064</v>
      </c>
      <c r="AN442" s="12">
        <v>2005.294062686856</v>
      </c>
      <c r="AP442" s="12">
        <f t="shared" si="117"/>
        <v>1.3559131188359979</v>
      </c>
      <c r="AQ442" s="12">
        <f t="shared" si="118"/>
        <v>1.043894175894547</v>
      </c>
      <c r="AR442" s="12">
        <f t="shared" si="138"/>
        <v>1.8615408812044529</v>
      </c>
      <c r="AS442" s="12">
        <f t="shared" si="139"/>
        <v>1.5343051040541924</v>
      </c>
      <c r="AT442" s="12">
        <f t="shared" si="140"/>
        <v>1.725738021489849</v>
      </c>
      <c r="AU442" s="12">
        <f t="shared" si="119"/>
        <v>0.903318539889293</v>
      </c>
      <c r="AV442" s="12">
        <f t="shared" si="120"/>
        <v>0.45281113784189048</v>
      </c>
      <c r="AW442" s="12">
        <f t="shared" si="121"/>
        <v>0.53644094585764057</v>
      </c>
      <c r="AX442" s="12">
        <f t="shared" si="122"/>
        <v>0.89473929599800972</v>
      </c>
      <c r="AY442" s="12">
        <f t="shared" si="123"/>
        <v>0.31122976544860848</v>
      </c>
      <c r="AZ442" s="12">
        <f t="shared" si="124"/>
        <v>0.42755357267528488</v>
      </c>
      <c r="BA442" s="12">
        <f t="shared" si="141"/>
        <v>0.4797554328974416</v>
      </c>
      <c r="BB442" s="12">
        <f t="shared" si="142"/>
        <v>0.14958845964414713</v>
      </c>
      <c r="BC442" s="12">
        <f t="shared" si="143"/>
        <v>0.90124723002661833</v>
      </c>
      <c r="BD442" s="12">
        <f t="shared" si="144"/>
        <v>0.7712487550902164</v>
      </c>
      <c r="BE442" s="12">
        <f t="shared" si="145"/>
        <v>0.39933512494764023</v>
      </c>
      <c r="BF442" s="12">
        <f t="shared" si="146"/>
        <v>0.7243422316044994</v>
      </c>
      <c r="BG442" s="12">
        <f t="shared" si="147"/>
        <v>0.83358526041748249</v>
      </c>
      <c r="BH442" s="12">
        <f t="shared" si="148"/>
        <v>0.36504379116897817</v>
      </c>
      <c r="BI442" s="12">
        <f t="shared" si="149"/>
        <v>0.50781556920341409</v>
      </c>
    </row>
    <row r="443" spans="1:61" x14ac:dyDescent="0.55000000000000004">
      <c r="A443" s="12" t="s">
        <v>1047</v>
      </c>
      <c r="B443" s="12" t="s">
        <v>1048</v>
      </c>
      <c r="C443" s="12" t="s">
        <v>515</v>
      </c>
      <c r="D443" s="12" t="s">
        <v>9</v>
      </c>
      <c r="E443" s="12">
        <v>3232</v>
      </c>
      <c r="F443" s="12">
        <v>73.151384874713258</v>
      </c>
      <c r="G443" s="12">
        <v>69.443511850940652</v>
      </c>
      <c r="H443" s="14">
        <f t="shared" si="125"/>
        <v>224441.43030224019</v>
      </c>
      <c r="I443" s="12">
        <v>70.736236159888122</v>
      </c>
      <c r="J443" s="12">
        <v>16.524239327168161</v>
      </c>
      <c r="K443" s="12">
        <v>14.47781821217411</v>
      </c>
      <c r="L443" s="12">
        <v>71.372841429404801</v>
      </c>
      <c r="M443" s="12">
        <v>35.423562746130862</v>
      </c>
      <c r="N443" s="12">
        <v>10.601978652285688</v>
      </c>
      <c r="O443" s="12">
        <v>12.665590498915451</v>
      </c>
      <c r="P443" s="12">
        <v>37.351061239593001</v>
      </c>
      <c r="Q443" s="12">
        <v>653.86787619759787</v>
      </c>
      <c r="R443" s="15">
        <v>58.105853975192616</v>
      </c>
      <c r="S443" s="15">
        <v>1444.4048403220802</v>
      </c>
      <c r="T443" s="15">
        <v>1560.4740888354922</v>
      </c>
      <c r="U443" s="12">
        <v>47.017630917051434</v>
      </c>
      <c r="V443" s="12">
        <v>7.5147511758053485</v>
      </c>
      <c r="W443" s="12">
        <v>35.179583557062415</v>
      </c>
      <c r="X443" s="12">
        <v>51.927244513969491</v>
      </c>
      <c r="Y443" s="12">
        <v>26.341248312354704</v>
      </c>
      <c r="Z443" s="12">
        <v>15.541285736996171</v>
      </c>
      <c r="AA443" s="12">
        <v>40.653575624013214</v>
      </c>
      <c r="AB443" s="12">
        <v>43.724327698334839</v>
      </c>
      <c r="AC443" s="12">
        <v>26.703491853227568</v>
      </c>
      <c r="AD443" s="12">
        <v>14.251530643478791</v>
      </c>
      <c r="AE443" s="12">
        <v>22.870171571076732</v>
      </c>
      <c r="AF443" s="12">
        <v>36.402509484797434</v>
      </c>
      <c r="AG443" s="12">
        <v>760.9161728762549</v>
      </c>
      <c r="AH443" s="12">
        <v>633.91410078659965</v>
      </c>
      <c r="AI443" s="12">
        <v>1630.0916299062808</v>
      </c>
      <c r="AJ443" s="12">
        <v>1758.7147661506779</v>
      </c>
      <c r="AK443" s="12">
        <v>1154.3006911883165</v>
      </c>
      <c r="AL443" s="12">
        <v>2057.9369997340809</v>
      </c>
      <c r="AM443" s="12">
        <v>718.17389080248518</v>
      </c>
      <c r="AN443" s="12">
        <v>2082.3920920105725</v>
      </c>
      <c r="AP443" s="12">
        <f t="shared" si="117"/>
        <v>1.027782719033643</v>
      </c>
      <c r="AQ443" s="12">
        <f t="shared" si="118"/>
        <v>0.53786250499206367</v>
      </c>
      <c r="AR443" s="12">
        <f t="shared" si="138"/>
        <v>0.74776236296099863</v>
      </c>
      <c r="AS443" s="12">
        <f t="shared" si="139"/>
        <v>0.62963877449326566</v>
      </c>
      <c r="AT443" s="12">
        <f t="shared" si="140"/>
        <v>0.52420317628715007</v>
      </c>
      <c r="AU443" s="12">
        <f t="shared" si="119"/>
        <v>0.9910805671069387</v>
      </c>
      <c r="AV443" s="12">
        <f t="shared" si="120"/>
        <v>0.23151998710198976</v>
      </c>
      <c r="AW443" s="12">
        <f t="shared" si="121"/>
        <v>0.20284772081680658</v>
      </c>
      <c r="AX443" s="12">
        <f t="shared" si="122"/>
        <v>0.94839508090284341</v>
      </c>
      <c r="AY443" s="12">
        <f t="shared" si="123"/>
        <v>0.28384678508270444</v>
      </c>
      <c r="AZ443" s="12">
        <f t="shared" si="124"/>
        <v>0.33909586712062756</v>
      </c>
      <c r="BA443" s="12">
        <f t="shared" si="141"/>
        <v>0.9054520677368646</v>
      </c>
      <c r="BB443" s="12">
        <f t="shared" si="142"/>
        <v>0.14471692550109658</v>
      </c>
      <c r="BC443" s="12">
        <f t="shared" si="143"/>
        <v>0.67747834275316476</v>
      </c>
      <c r="BD443" s="12">
        <f t="shared" si="144"/>
        <v>0.60243918429322951</v>
      </c>
      <c r="BE443" s="12">
        <f t="shared" si="145"/>
        <v>0.35543795765642</v>
      </c>
      <c r="BF443" s="12">
        <f t="shared" si="146"/>
        <v>0.92977017061285616</v>
      </c>
      <c r="BG443" s="12">
        <f t="shared" si="147"/>
        <v>0.73356184041046923</v>
      </c>
      <c r="BH443" s="12">
        <f t="shared" si="148"/>
        <v>0.39149857647672814</v>
      </c>
      <c r="BI443" s="12">
        <f t="shared" si="149"/>
        <v>0.62825810348673539</v>
      </c>
    </row>
    <row r="444" spans="1:61" x14ac:dyDescent="0.55000000000000004">
      <c r="A444" s="12" t="s">
        <v>1049</v>
      </c>
      <c r="B444" s="12" t="s">
        <v>1050</v>
      </c>
      <c r="C444" s="12" t="s">
        <v>322</v>
      </c>
      <c r="D444" s="12" t="s">
        <v>9</v>
      </c>
      <c r="E444" s="12">
        <v>2230</v>
      </c>
      <c r="F444" s="12">
        <v>71.242141713657134</v>
      </c>
      <c r="G444" s="12">
        <v>32.809004481989177</v>
      </c>
      <c r="H444" s="14">
        <f t="shared" si="125"/>
        <v>73164.079994835862</v>
      </c>
      <c r="I444" s="12">
        <v>48.270274377977998</v>
      </c>
      <c r="J444" s="12">
        <v>9.5024929790543116</v>
      </c>
      <c r="K444" s="12">
        <v>15.985337936740228</v>
      </c>
      <c r="L444" s="12">
        <v>49.116545859608379</v>
      </c>
      <c r="M444" s="12">
        <v>33.906353841474967</v>
      </c>
      <c r="N444" s="12">
        <v>27.981108496815647</v>
      </c>
      <c r="O444" s="12">
        <v>12.572578953950213</v>
      </c>
      <c r="P444" s="12">
        <v>38.987619622809419</v>
      </c>
      <c r="Q444" s="12">
        <v>552.95129698726328</v>
      </c>
      <c r="R444" s="15">
        <v>175.34917137124643</v>
      </c>
      <c r="S444" s="15">
        <v>668.5224897959796</v>
      </c>
      <c r="T444" s="15">
        <v>829.38291678845133</v>
      </c>
      <c r="U444" s="12">
        <v>22.507044213252197</v>
      </c>
      <c r="V444" s="12">
        <v>5.4604848229851806</v>
      </c>
      <c r="W444" s="12">
        <v>47.135838138812815</v>
      </c>
      <c r="X444" s="12">
        <v>51.234322222351679</v>
      </c>
      <c r="Y444" s="12">
        <v>31.648240463157457</v>
      </c>
      <c r="Z444" s="12">
        <v>16.46746703786356</v>
      </c>
      <c r="AA444" s="12">
        <v>50.736489736534587</v>
      </c>
      <c r="AB444" s="12">
        <v>55.361924771568965</v>
      </c>
      <c r="AC444" s="12">
        <v>27.722459320067475</v>
      </c>
      <c r="AD444" s="12">
        <v>12.426359259639094</v>
      </c>
      <c r="AE444" s="12">
        <v>36.038316702532171</v>
      </c>
      <c r="AF444" s="12">
        <v>42.891502138301462</v>
      </c>
      <c r="AG444" s="12">
        <v>703.39053626020336</v>
      </c>
      <c r="AH444" s="12">
        <v>1869.149781281355</v>
      </c>
      <c r="AI444" s="12">
        <v>1702.1176322671922</v>
      </c>
      <c r="AJ444" s="12">
        <v>1885.4311178832343</v>
      </c>
      <c r="AK444" s="12">
        <v>1262.4509537903248</v>
      </c>
      <c r="AL444" s="12">
        <v>1617.7139093804317</v>
      </c>
      <c r="AM444" s="12">
        <v>1831.5491604742981</v>
      </c>
      <c r="AN444" s="12">
        <v>2186.3556836578136</v>
      </c>
      <c r="AP444" s="12">
        <f t="shared" si="117"/>
        <v>1.4970446874293728</v>
      </c>
      <c r="AQ444" s="12">
        <f t="shared" si="118"/>
        <v>1.1883207137300387</v>
      </c>
      <c r="AR444" s="12">
        <f t="shared" si="138"/>
        <v>1.5615933196167917</v>
      </c>
      <c r="AS444" s="12">
        <f t="shared" si="139"/>
        <v>1.687400323346002</v>
      </c>
      <c r="AT444" s="12">
        <f t="shared" si="140"/>
        <v>1.3073088566843645</v>
      </c>
      <c r="AU444" s="12">
        <f t="shared" si="119"/>
        <v>0.98277013444615369</v>
      </c>
      <c r="AV444" s="12">
        <f t="shared" si="120"/>
        <v>0.19346826640080991</v>
      </c>
      <c r="AW444" s="12">
        <f t="shared" si="121"/>
        <v>0.32545729055198025</v>
      </c>
      <c r="AX444" s="12">
        <f t="shared" si="122"/>
        <v>0.86966976105507876</v>
      </c>
      <c r="AY444" s="12">
        <f t="shared" si="123"/>
        <v>0.71769214862364938</v>
      </c>
      <c r="AZ444" s="12">
        <f t="shared" si="124"/>
        <v>0.32247618796903205</v>
      </c>
      <c r="BA444" s="12">
        <f t="shared" si="141"/>
        <v>0.43929622247316835</v>
      </c>
      <c r="BB444" s="12">
        <f t="shared" si="142"/>
        <v>0.10657864857247919</v>
      </c>
      <c r="BC444" s="12">
        <f t="shared" si="143"/>
        <v>0.9200051077917677</v>
      </c>
      <c r="BD444" s="12">
        <f t="shared" si="144"/>
        <v>0.57166076854702064</v>
      </c>
      <c r="BE444" s="12">
        <f t="shared" si="145"/>
        <v>0.29745112919774069</v>
      </c>
      <c r="BF444" s="12">
        <f t="shared" si="146"/>
        <v>0.91645097141908327</v>
      </c>
      <c r="BG444" s="12">
        <f t="shared" si="147"/>
        <v>0.64633920329201389</v>
      </c>
      <c r="BH444" s="12">
        <f t="shared" si="148"/>
        <v>0.28971611251969986</v>
      </c>
      <c r="BI444" s="12">
        <f t="shared" si="149"/>
        <v>0.8402204377531115</v>
      </c>
    </row>
    <row r="445" spans="1:61" x14ac:dyDescent="0.55000000000000004">
      <c r="A445" s="12" t="s">
        <v>1051</v>
      </c>
      <c r="B445" s="12" t="s">
        <v>1052</v>
      </c>
      <c r="C445" s="12" t="s">
        <v>8</v>
      </c>
      <c r="D445" s="12" t="s">
        <v>9</v>
      </c>
      <c r="E445" s="12">
        <v>2378</v>
      </c>
      <c r="F445" s="12">
        <v>68.259774857934389</v>
      </c>
      <c r="G445" s="12">
        <v>36.617210147771971</v>
      </c>
      <c r="H445" s="14">
        <f t="shared" si="125"/>
        <v>87075.725731401748</v>
      </c>
      <c r="I445" s="12">
        <v>28.582117611766684</v>
      </c>
      <c r="J445" s="12">
        <v>23.131195241062141</v>
      </c>
      <c r="K445" s="12">
        <v>11.731892976493583</v>
      </c>
      <c r="L445" s="12">
        <v>33.7128859004684</v>
      </c>
      <c r="M445" s="12">
        <v>34.728187408060016</v>
      </c>
      <c r="N445" s="12">
        <v>11.995159626096513</v>
      </c>
      <c r="O445" s="12">
        <v>8.8979093762111905</v>
      </c>
      <c r="P445" s="12">
        <v>36.429517928510194</v>
      </c>
      <c r="Q445" s="12">
        <v>585.29253642148342</v>
      </c>
      <c r="R445" s="15">
        <v>76.797536976202238</v>
      </c>
      <c r="S445" s="15">
        <v>900.73100380332221</v>
      </c>
      <c r="T445" s="15">
        <v>1053.6904297016683</v>
      </c>
      <c r="U445" s="12">
        <v>35.050663080285155</v>
      </c>
      <c r="V445" s="12">
        <v>11.110936171770771</v>
      </c>
      <c r="W445" s="12">
        <v>56.318088766328998</v>
      </c>
      <c r="X445" s="12">
        <v>59.610886528332145</v>
      </c>
      <c r="Y445" s="12">
        <v>26.667459735892649</v>
      </c>
      <c r="Z445" s="12">
        <v>26.435797118823906</v>
      </c>
      <c r="AA445" s="12">
        <v>37.97593207904761</v>
      </c>
      <c r="AB445" s="12">
        <v>50.275823727549991</v>
      </c>
      <c r="AC445" s="12">
        <v>31.932020531538154</v>
      </c>
      <c r="AD445" s="12">
        <v>18.448923788489616</v>
      </c>
      <c r="AE445" s="12">
        <v>29.227313381629216</v>
      </c>
      <c r="AF445" s="12">
        <v>44.840159400183836</v>
      </c>
      <c r="AG445" s="12">
        <v>766.98829203423281</v>
      </c>
      <c r="AH445" s="12">
        <v>573.34130171380139</v>
      </c>
      <c r="AI445" s="12">
        <v>2052.0369066629382</v>
      </c>
      <c r="AJ445" s="12">
        <v>2136.0900963411768</v>
      </c>
      <c r="AK445" s="12">
        <v>2038.1601238637948</v>
      </c>
      <c r="AL445" s="12">
        <v>1394.0105864202192</v>
      </c>
      <c r="AM445" s="12">
        <v>2515.6648971338941</v>
      </c>
      <c r="AN445" s="12">
        <v>3129.7145771786677</v>
      </c>
      <c r="AP445" s="12">
        <f t="shared" si="117"/>
        <v>0.92068417458394802</v>
      </c>
      <c r="AQ445" s="12">
        <f t="shared" si="118"/>
        <v>0.99487420755146749</v>
      </c>
      <c r="AR445" s="12">
        <f t="shared" si="138"/>
        <v>1.6279472490604054</v>
      </c>
      <c r="AS445" s="12">
        <f t="shared" si="139"/>
        <v>1.3730107652837964</v>
      </c>
      <c r="AT445" s="12">
        <f t="shared" si="140"/>
        <v>1.2245651489894351</v>
      </c>
      <c r="AU445" s="12">
        <f t="shared" si="119"/>
        <v>0.84780987590770351</v>
      </c>
      <c r="AV445" s="12">
        <f t="shared" si="120"/>
        <v>0.68612326186945505</v>
      </c>
      <c r="AW445" s="12">
        <f t="shared" si="121"/>
        <v>0.34799432511147266</v>
      </c>
      <c r="AX445" s="12">
        <f t="shared" si="122"/>
        <v>0.95329802266972363</v>
      </c>
      <c r="AY445" s="12">
        <f t="shared" si="123"/>
        <v>0.32927033647922505</v>
      </c>
      <c r="AZ445" s="12">
        <f t="shared" si="124"/>
        <v>0.24424998962853625</v>
      </c>
      <c r="BA445" s="12">
        <f t="shared" si="141"/>
        <v>0.58799097147508639</v>
      </c>
      <c r="BB445" s="12">
        <f t="shared" si="142"/>
        <v>0.1863910573866388</v>
      </c>
      <c r="BC445" s="12">
        <f t="shared" si="143"/>
        <v>0.94476180520418651</v>
      </c>
      <c r="BD445" s="12">
        <f t="shared" si="144"/>
        <v>0.53042312902532307</v>
      </c>
      <c r="BE445" s="12">
        <f t="shared" si="145"/>
        <v>0.5258152956793366</v>
      </c>
      <c r="BF445" s="12">
        <f t="shared" si="146"/>
        <v>0.75535176280438898</v>
      </c>
      <c r="BG445" s="12">
        <f t="shared" si="147"/>
        <v>0.71212995133570467</v>
      </c>
      <c r="BH445" s="12">
        <f t="shared" si="148"/>
        <v>0.41143751572867909</v>
      </c>
      <c r="BI445" s="12">
        <f t="shared" si="149"/>
        <v>0.65181109462134046</v>
      </c>
    </row>
    <row r="446" spans="1:61" x14ac:dyDescent="0.55000000000000004">
      <c r="A446" s="12" t="s">
        <v>1053</v>
      </c>
      <c r="B446" s="12" t="s">
        <v>1054</v>
      </c>
      <c r="C446" s="12" t="s">
        <v>322</v>
      </c>
      <c r="D446" s="12" t="s">
        <v>9</v>
      </c>
      <c r="E446" s="12">
        <v>2371</v>
      </c>
      <c r="F446" s="12">
        <v>72.742186520552906</v>
      </c>
      <c r="G446" s="12">
        <v>45.312472424378562</v>
      </c>
      <c r="H446" s="14">
        <f t="shared" si="125"/>
        <v>107435.87211820157</v>
      </c>
      <c r="I446" s="12">
        <v>43.282127687917225</v>
      </c>
      <c r="J446" s="12">
        <v>24.054525988282784</v>
      </c>
      <c r="K446" s="12">
        <v>42.626988037067143</v>
      </c>
      <c r="L446" s="12">
        <v>64.327042397804362</v>
      </c>
      <c r="M446" s="12">
        <v>32.927619414171687</v>
      </c>
      <c r="N446" s="12">
        <v>16.495249850419029</v>
      </c>
      <c r="O446" s="12">
        <v>24.161334047473218</v>
      </c>
      <c r="P446" s="12">
        <v>36.083991531800955</v>
      </c>
      <c r="Q446" s="12">
        <v>686.371741629437</v>
      </c>
      <c r="R446" s="15">
        <v>80.894377602205353</v>
      </c>
      <c r="S446" s="15">
        <v>1486.7197982438947</v>
      </c>
      <c r="T446" s="15">
        <v>1503.6355861117247</v>
      </c>
      <c r="U446" s="12">
        <v>38.215874341420886</v>
      </c>
      <c r="V446" s="12">
        <v>12.279424806793433</v>
      </c>
      <c r="W446" s="12">
        <v>43.445890812083313</v>
      </c>
      <c r="X446" s="12">
        <v>48.421831046224789</v>
      </c>
      <c r="Y446" s="12">
        <v>28.329152335550582</v>
      </c>
      <c r="Z446" s="12">
        <v>31.273398287792098</v>
      </c>
      <c r="AA446" s="12">
        <v>8.0531583826988751</v>
      </c>
      <c r="AB446" s="12">
        <v>41.873455837765093</v>
      </c>
      <c r="AC446" s="12">
        <v>33.738781292148118</v>
      </c>
      <c r="AD446" s="12">
        <v>18.436881710082563</v>
      </c>
      <c r="AE446" s="12">
        <v>17.746361207108048</v>
      </c>
      <c r="AF446" s="12">
        <v>38.489275223546507</v>
      </c>
      <c r="AG446" s="12">
        <v>706.85513860717003</v>
      </c>
      <c r="AH446" s="12">
        <v>611.16505800134246</v>
      </c>
      <c r="AI446" s="12">
        <v>1491.1522921184951</v>
      </c>
      <c r="AJ446" s="12">
        <v>1609.8892851991848</v>
      </c>
      <c r="AK446" s="12">
        <v>642.07062533286671</v>
      </c>
      <c r="AL446" s="12">
        <v>813.39622663896989</v>
      </c>
      <c r="AM446" s="12">
        <v>888.03657119868944</v>
      </c>
      <c r="AN446" s="12">
        <v>1042.5744333555804</v>
      </c>
      <c r="AP446" s="12">
        <f t="shared" si="117"/>
        <v>1.4196321444423274</v>
      </c>
      <c r="AQ446" s="12">
        <f t="shared" si="118"/>
        <v>0.79633684946282934</v>
      </c>
      <c r="AR446" s="12">
        <f t="shared" si="138"/>
        <v>1.0686203699662471</v>
      </c>
      <c r="AS446" s="12">
        <f t="shared" si="139"/>
        <v>0.92410441534937648</v>
      </c>
      <c r="AT446" s="12">
        <f t="shared" si="140"/>
        <v>0.84941900461911002</v>
      </c>
      <c r="AU446" s="12">
        <f t="shared" si="119"/>
        <v>0.67284498205679277</v>
      </c>
      <c r="AV446" s="12">
        <f t="shared" si="120"/>
        <v>0.37394111545697029</v>
      </c>
      <c r="AW446" s="12">
        <f t="shared" si="121"/>
        <v>0.66266046825933511</v>
      </c>
      <c r="AX446" s="12">
        <f t="shared" si="122"/>
        <v>0.91252707963730828</v>
      </c>
      <c r="AY446" s="12">
        <f t="shared" si="123"/>
        <v>0.45713484429464252</v>
      </c>
      <c r="AZ446" s="12">
        <f t="shared" si="124"/>
        <v>0.66958595825463896</v>
      </c>
      <c r="BA446" s="12">
        <f t="shared" si="141"/>
        <v>0.78922819554136603</v>
      </c>
      <c r="BB446" s="12">
        <f t="shared" si="142"/>
        <v>0.25359273991665376</v>
      </c>
      <c r="BC446" s="12">
        <f t="shared" si="143"/>
        <v>0.89723766890617362</v>
      </c>
      <c r="BD446" s="12">
        <f t="shared" si="144"/>
        <v>0.67654201853578344</v>
      </c>
      <c r="BE446" s="12">
        <f t="shared" si="145"/>
        <v>0.74685496246018102</v>
      </c>
      <c r="BF446" s="12">
        <f t="shared" si="146"/>
        <v>0.19232132198259697</v>
      </c>
      <c r="BG446" s="12">
        <f t="shared" si="147"/>
        <v>0.87657616559918516</v>
      </c>
      <c r="BH446" s="12">
        <f t="shared" si="148"/>
        <v>0.47901348110612041</v>
      </c>
      <c r="BI446" s="12">
        <f t="shared" si="149"/>
        <v>0.46107288599322316</v>
      </c>
    </row>
    <row r="447" spans="1:61" x14ac:dyDescent="0.55000000000000004">
      <c r="A447" s="12" t="s">
        <v>1055</v>
      </c>
      <c r="B447" s="12" t="s">
        <v>1056</v>
      </c>
      <c r="C447" s="12" t="s">
        <v>322</v>
      </c>
      <c r="D447" s="12" t="s">
        <v>9</v>
      </c>
      <c r="E447" s="12">
        <v>2565</v>
      </c>
      <c r="F447" s="12">
        <v>70.012501591528576</v>
      </c>
      <c r="G447" s="12">
        <v>29.439757695264273</v>
      </c>
      <c r="H447" s="14">
        <f t="shared" si="125"/>
        <v>75512.978488352863</v>
      </c>
      <c r="I447" s="12">
        <v>39.326325475717738</v>
      </c>
      <c r="J447" s="12">
        <v>14.199830055965597</v>
      </c>
      <c r="K447" s="12">
        <v>22.877208042943842</v>
      </c>
      <c r="L447" s="12">
        <v>41.076974225700752</v>
      </c>
      <c r="M447" s="12">
        <v>37.433448534148617</v>
      </c>
      <c r="N447" s="12">
        <v>7.8818059007056736</v>
      </c>
      <c r="O447" s="12">
        <v>12.14880347319275</v>
      </c>
      <c r="P447" s="12">
        <v>37.566116130647124</v>
      </c>
      <c r="Q447" s="12">
        <v>533.59202529925426</v>
      </c>
      <c r="R447" s="15">
        <v>79.117932560842121</v>
      </c>
      <c r="S447" s="15">
        <v>956.43631653082559</v>
      </c>
      <c r="T447" s="15">
        <v>965.39243646477257</v>
      </c>
      <c r="U447" s="12">
        <v>35.51684442408353</v>
      </c>
      <c r="V447" s="12">
        <v>10.464259587994251</v>
      </c>
      <c r="W447" s="12">
        <v>56.273652479254494</v>
      </c>
      <c r="X447" s="12">
        <v>59.196674559154786</v>
      </c>
      <c r="Y447" s="12">
        <v>29.912102315843754</v>
      </c>
      <c r="Z447" s="12">
        <v>20.653897472829684</v>
      </c>
      <c r="AA447" s="12">
        <v>17.690420729845151</v>
      </c>
      <c r="AB447" s="12">
        <v>35.612632930550902</v>
      </c>
      <c r="AC447" s="12">
        <v>34.435831958885423</v>
      </c>
      <c r="AD447" s="12">
        <v>15.351217233067588</v>
      </c>
      <c r="AE447" s="12">
        <v>21.076076741612219</v>
      </c>
      <c r="AF447" s="12">
        <v>39.754545383134179</v>
      </c>
      <c r="AG447" s="12">
        <v>616.37734113228294</v>
      </c>
      <c r="AH447" s="12">
        <v>640.04960709686247</v>
      </c>
      <c r="AI447" s="12">
        <v>1999.7034695621398</v>
      </c>
      <c r="AJ447" s="12">
        <v>2074.6511801075553</v>
      </c>
      <c r="AK447" s="12">
        <v>2184.4586076668579</v>
      </c>
      <c r="AL447" s="12">
        <v>698.33496115922537</v>
      </c>
      <c r="AM447" s="12">
        <v>2802.6616561829992</v>
      </c>
      <c r="AN447" s="12">
        <v>3503.9084480900565</v>
      </c>
      <c r="AP447" s="12">
        <f t="shared" si="117"/>
        <v>1.3952891409941346</v>
      </c>
      <c r="AQ447" s="12">
        <f t="shared" si="118"/>
        <v>1.2760334687363977</v>
      </c>
      <c r="AR447" s="12">
        <f t="shared" si="138"/>
        <v>2.0107731582545347</v>
      </c>
      <c r="AS447" s="12">
        <f t="shared" si="139"/>
        <v>1.209678194337843</v>
      </c>
      <c r="AT447" s="12">
        <f t="shared" si="140"/>
        <v>1.3503693133156853</v>
      </c>
      <c r="AU447" s="12">
        <f t="shared" si="119"/>
        <v>0.95738126327504225</v>
      </c>
      <c r="AV447" s="12">
        <f t="shared" si="120"/>
        <v>0.34568831623146057</v>
      </c>
      <c r="AW447" s="12">
        <f t="shared" si="121"/>
        <v>0.55693508283358883</v>
      </c>
      <c r="AX447" s="12">
        <f t="shared" si="122"/>
        <v>0.99646842393722268</v>
      </c>
      <c r="AY447" s="12">
        <f t="shared" si="123"/>
        <v>0.20981157256966343</v>
      </c>
      <c r="AZ447" s="12">
        <f t="shared" si="124"/>
        <v>0.32339791079124985</v>
      </c>
      <c r="BA447" s="12">
        <f t="shared" si="141"/>
        <v>0.59998039904406819</v>
      </c>
      <c r="BB447" s="12">
        <f t="shared" si="142"/>
        <v>0.17677107144823476</v>
      </c>
      <c r="BC447" s="12">
        <f t="shared" si="143"/>
        <v>0.95062185331070681</v>
      </c>
      <c r="BD447" s="12">
        <f t="shared" si="144"/>
        <v>0.83992953776195378</v>
      </c>
      <c r="BE447" s="12">
        <f t="shared" si="145"/>
        <v>0.57995985618663393</v>
      </c>
      <c r="BF447" s="12">
        <f t="shared" si="146"/>
        <v>0.49674565664222831</v>
      </c>
      <c r="BG447" s="12">
        <f t="shared" si="147"/>
        <v>0.86621118735003289</v>
      </c>
      <c r="BH447" s="12">
        <f t="shared" si="148"/>
        <v>0.3861499882622309</v>
      </c>
      <c r="BI447" s="12">
        <f t="shared" si="149"/>
        <v>0.5301551442354997</v>
      </c>
    </row>
    <row r="448" spans="1:61" x14ac:dyDescent="0.55000000000000004">
      <c r="A448" s="12" t="s">
        <v>1057</v>
      </c>
      <c r="B448" s="12" t="s">
        <v>1058</v>
      </c>
      <c r="C448" s="12" t="s">
        <v>515</v>
      </c>
      <c r="D448" s="12" t="s">
        <v>9</v>
      </c>
      <c r="E448" s="12">
        <v>2997</v>
      </c>
      <c r="F448" s="12">
        <v>69.181530927657477</v>
      </c>
      <c r="G448" s="12">
        <v>37.758712464090628</v>
      </c>
      <c r="H448" s="14">
        <f t="shared" si="125"/>
        <v>113162.86125487961</v>
      </c>
      <c r="I448" s="12">
        <v>52.115289074795427</v>
      </c>
      <c r="J448" s="12">
        <v>16.81028009201825</v>
      </c>
      <c r="K448" s="12">
        <v>15.156652120309163</v>
      </c>
      <c r="L448" s="12">
        <v>52.183907304701265</v>
      </c>
      <c r="M448" s="12">
        <v>30.724533917171787</v>
      </c>
      <c r="N448" s="12">
        <v>9.2969974216693014</v>
      </c>
      <c r="O448" s="12">
        <v>10.382372843450273</v>
      </c>
      <c r="P448" s="12">
        <v>32.976903459492767</v>
      </c>
      <c r="Q448" s="12">
        <v>736.21852897213728</v>
      </c>
      <c r="R448" s="15">
        <v>184.98500890196792</v>
      </c>
      <c r="S448" s="15">
        <v>909.65514018254248</v>
      </c>
      <c r="T448" s="15">
        <v>930.38532190414037</v>
      </c>
      <c r="U448" s="12">
        <v>60.244700860571413</v>
      </c>
      <c r="V448" s="12">
        <v>20.414632313513078</v>
      </c>
      <c r="W448" s="12">
        <v>42.28767060983575</v>
      </c>
      <c r="X448" s="12">
        <v>68.06354288509246</v>
      </c>
      <c r="Y448" s="12">
        <v>31.011888600039125</v>
      </c>
      <c r="Z448" s="12">
        <v>25.857903780315603</v>
      </c>
      <c r="AA448" s="12">
        <v>12.840639751036296</v>
      </c>
      <c r="AB448" s="12">
        <v>35.369612515207017</v>
      </c>
      <c r="AC448" s="12">
        <v>40.005626139835648</v>
      </c>
      <c r="AD448" s="12">
        <v>11.877357486112295</v>
      </c>
      <c r="AE448" s="12">
        <v>20.075724944759106</v>
      </c>
      <c r="AF448" s="12">
        <v>42.519633242732212</v>
      </c>
      <c r="AG448" s="12">
        <v>1575.4322292491825</v>
      </c>
      <c r="AH448" s="12">
        <v>36.597508665843733</v>
      </c>
      <c r="AI448" s="12">
        <v>2596.4370247750294</v>
      </c>
      <c r="AJ448" s="12">
        <v>3018.6485530592781</v>
      </c>
      <c r="AK448" s="12">
        <v>723.39940531447087</v>
      </c>
      <c r="AL448" s="12">
        <v>1742.851597759276</v>
      </c>
      <c r="AM448" s="12">
        <v>620.85096899512268</v>
      </c>
      <c r="AN448" s="12">
        <v>1781.7914363505499</v>
      </c>
      <c r="AP448" s="12">
        <f t="shared" ref="AP448:AP457" si="150">L448/G448</f>
        <v>1.3820361950723112</v>
      </c>
      <c r="AQ448" s="12">
        <f t="shared" ref="AQ448:AQ457" si="151">P448/G448</f>
        <v>0.87335879079178169</v>
      </c>
      <c r="AR448" s="12">
        <f t="shared" si="138"/>
        <v>1.8025917316386886</v>
      </c>
      <c r="AS448" s="12">
        <f t="shared" si="139"/>
        <v>0.93672718710534164</v>
      </c>
      <c r="AT448" s="12">
        <f t="shared" si="140"/>
        <v>1.1260880063950625</v>
      </c>
      <c r="AU448" s="12">
        <f t="shared" ref="AU448:AU457" si="152">I448/$L448</f>
        <v>0.99868506914391875</v>
      </c>
      <c r="AV448" s="12">
        <f t="shared" ref="AV448:AV457" si="153">J448/$L448</f>
        <v>0.32213532792520128</v>
      </c>
      <c r="AW448" s="12">
        <f t="shared" ref="AW448:AW457" si="154">K448/$L448</f>
        <v>0.29044686193790809</v>
      </c>
      <c r="AX448" s="12">
        <f t="shared" ref="AX448:AX457" si="155">M448/$P448</f>
        <v>0.93169857366724307</v>
      </c>
      <c r="AY448" s="12">
        <f t="shared" ref="AY448:AY457" si="156">N448/$P448</f>
        <v>0.28192451219955456</v>
      </c>
      <c r="AZ448" s="12">
        <f t="shared" ref="AZ448:AZ457" si="157">O448/$P448</f>
        <v>0.31483771228561463</v>
      </c>
      <c r="BA448" s="12">
        <f t="shared" si="141"/>
        <v>0.88512437506050601</v>
      </c>
      <c r="BB448" s="12">
        <f t="shared" si="142"/>
        <v>0.29993490565100117</v>
      </c>
      <c r="BC448" s="12">
        <f t="shared" si="143"/>
        <v>0.62129693544203912</v>
      </c>
      <c r="BD448" s="12">
        <f t="shared" si="144"/>
        <v>0.87679469450522518</v>
      </c>
      <c r="BE448" s="12">
        <f t="shared" si="145"/>
        <v>0.73107681824894477</v>
      </c>
      <c r="BF448" s="12">
        <f t="shared" si="146"/>
        <v>0.36304157263570574</v>
      </c>
      <c r="BG448" s="12">
        <f t="shared" si="147"/>
        <v>0.94087420536896849</v>
      </c>
      <c r="BH448" s="12">
        <f t="shared" si="148"/>
        <v>0.27933819227244783</v>
      </c>
      <c r="BI448" s="12">
        <f t="shared" si="149"/>
        <v>0.47215188405207154</v>
      </c>
    </row>
    <row r="449" spans="1:61" x14ac:dyDescent="0.55000000000000004">
      <c r="A449" s="12" t="s">
        <v>1059</v>
      </c>
      <c r="B449" s="12" t="s">
        <v>1060</v>
      </c>
      <c r="C449" s="12" t="s">
        <v>322</v>
      </c>
      <c r="D449" s="12" t="s">
        <v>9</v>
      </c>
      <c r="E449" s="12">
        <v>2244</v>
      </c>
      <c r="F449" s="12">
        <v>70.750879044106355</v>
      </c>
      <c r="G449" s="12">
        <v>63.998376699626881</v>
      </c>
      <c r="H449" s="14">
        <f t="shared" ref="H449:H549" si="158">E449*G449</f>
        <v>143612.35731396271</v>
      </c>
      <c r="I449" s="12">
        <v>40.953341016564181</v>
      </c>
      <c r="J449" s="12">
        <v>21.962372725591141</v>
      </c>
      <c r="K449" s="12">
        <v>20.935957416943705</v>
      </c>
      <c r="L449" s="12">
        <v>46.966364782583895</v>
      </c>
      <c r="M449" s="12">
        <v>38.716073114293231</v>
      </c>
      <c r="N449" s="12">
        <v>21.458534492587823</v>
      </c>
      <c r="O449" s="12">
        <v>9.6710801311999894</v>
      </c>
      <c r="P449" s="12">
        <v>43.389251873366305</v>
      </c>
      <c r="Q449" s="12">
        <v>359.16046251005872</v>
      </c>
      <c r="R449" s="15">
        <v>60.284383990602677</v>
      </c>
      <c r="S449" s="15">
        <v>1046.8099009396096</v>
      </c>
      <c r="T449" s="15">
        <v>1048.9791123647094</v>
      </c>
      <c r="U449" s="12">
        <v>39.391558311378525</v>
      </c>
      <c r="V449" s="12">
        <v>13.630816877248311</v>
      </c>
      <c r="W449" s="12">
        <v>48.356082101258309</v>
      </c>
      <c r="X449" s="12">
        <v>54.013881271657489</v>
      </c>
      <c r="Y449" s="12">
        <v>28.906828879203456</v>
      </c>
      <c r="Z449" s="12">
        <v>25.149376639399517</v>
      </c>
      <c r="AA449" s="12">
        <v>11.01154386572389</v>
      </c>
      <c r="AB449" s="12">
        <v>35.096433898392789</v>
      </c>
      <c r="AC449" s="12">
        <v>37.208651480500713</v>
      </c>
      <c r="AD449" s="12">
        <v>21.353826538265558</v>
      </c>
      <c r="AE449" s="12">
        <v>23.852306089361903</v>
      </c>
      <c r="AF449" s="12">
        <v>46.589953078990618</v>
      </c>
      <c r="AG449" s="12">
        <v>730.6676895115213</v>
      </c>
      <c r="AH449" s="12">
        <v>1140.3388880980922</v>
      </c>
      <c r="AI449" s="12">
        <v>1720.3686594692347</v>
      </c>
      <c r="AJ449" s="12">
        <v>1851.3365517131037</v>
      </c>
      <c r="AK449" s="12">
        <v>968.49558028264437</v>
      </c>
      <c r="AL449" s="12">
        <v>834.21018899499552</v>
      </c>
      <c r="AM449" s="12">
        <v>1607.2925397787035</v>
      </c>
      <c r="AN449" s="12">
        <v>1734.558699520067</v>
      </c>
      <c r="AP449" s="12">
        <f t="shared" si="150"/>
        <v>0.73386806360758394</v>
      </c>
      <c r="AQ449" s="12">
        <f t="shared" si="151"/>
        <v>0.67797425670672162</v>
      </c>
      <c r="AR449" s="12">
        <f t="shared" si="138"/>
        <v>0.843988301846606</v>
      </c>
      <c r="AS449" s="12">
        <f t="shared" si="139"/>
        <v>0.54839568920812032</v>
      </c>
      <c r="AT449" s="12">
        <f t="shared" si="140"/>
        <v>0.72798648155808998</v>
      </c>
      <c r="AU449" s="12">
        <f t="shared" si="152"/>
        <v>0.87197170158143755</v>
      </c>
      <c r="AV449" s="12">
        <f t="shared" si="153"/>
        <v>0.46761917442959616</v>
      </c>
      <c r="AW449" s="12">
        <f t="shared" si="154"/>
        <v>0.44576491099237031</v>
      </c>
      <c r="AX449" s="12">
        <f t="shared" si="155"/>
        <v>0.89229639698070895</v>
      </c>
      <c r="AY449" s="12">
        <f t="shared" si="156"/>
        <v>0.49455875743641825</v>
      </c>
      <c r="AZ449" s="12">
        <f t="shared" si="157"/>
        <v>0.22289114731513507</v>
      </c>
      <c r="BA449" s="12">
        <f t="shared" si="141"/>
        <v>0.72928583141919701</v>
      </c>
      <c r="BB449" s="12">
        <f t="shared" si="142"/>
        <v>0.25235766355491956</v>
      </c>
      <c r="BC449" s="12">
        <f t="shared" si="143"/>
        <v>0.89525286764815437</v>
      </c>
      <c r="BD449" s="12">
        <f t="shared" si="144"/>
        <v>0.82364005878463964</v>
      </c>
      <c r="BE449" s="12">
        <f t="shared" si="145"/>
        <v>0.71657926022367791</v>
      </c>
      <c r="BF449" s="12">
        <f t="shared" si="146"/>
        <v>0.31375107504093613</v>
      </c>
      <c r="BG449" s="12">
        <f t="shared" si="147"/>
        <v>0.79864110224398721</v>
      </c>
      <c r="BH449" s="12">
        <f t="shared" si="148"/>
        <v>0.45833543772970448</v>
      </c>
      <c r="BI449" s="12">
        <f t="shared" si="149"/>
        <v>0.511962440677321</v>
      </c>
    </row>
    <row r="450" spans="1:61" x14ac:dyDescent="0.55000000000000004">
      <c r="A450" s="12" t="s">
        <v>1061</v>
      </c>
      <c r="B450" s="12" t="s">
        <v>1062</v>
      </c>
      <c r="C450" s="12" t="s">
        <v>485</v>
      </c>
      <c r="D450" s="12" t="s">
        <v>9</v>
      </c>
      <c r="E450" s="12">
        <v>2898</v>
      </c>
      <c r="F450" s="12">
        <v>68.612724676964788</v>
      </c>
      <c r="G450" s="12">
        <v>26.744030486906784</v>
      </c>
      <c r="H450" s="14">
        <f t="shared" si="158"/>
        <v>77504.200351055857</v>
      </c>
      <c r="I450" s="12">
        <v>29.97365518424829</v>
      </c>
      <c r="J450" s="12">
        <v>24.9755129969545</v>
      </c>
      <c r="K450" s="12">
        <v>29.842295071841487</v>
      </c>
      <c r="L450" s="12">
        <v>42.177282594713283</v>
      </c>
      <c r="M450" s="12">
        <v>26.427652370641333</v>
      </c>
      <c r="N450" s="12">
        <v>5.9853982773162997</v>
      </c>
      <c r="O450" s="12">
        <v>22.274784322823884</v>
      </c>
      <c r="P450" s="12">
        <v>30.557079996453435</v>
      </c>
      <c r="Q450" s="12">
        <v>266.84544461787954</v>
      </c>
      <c r="R450" s="15">
        <v>130.06696733869049</v>
      </c>
      <c r="S450" s="15">
        <v>1082.7793856520263</v>
      </c>
      <c r="T450" s="15">
        <v>1083.8943311938372</v>
      </c>
      <c r="U450" s="12">
        <v>23.341417327941425</v>
      </c>
      <c r="V450" s="12">
        <v>9.4993899106789073</v>
      </c>
      <c r="W450" s="12">
        <v>39.416733192669298</v>
      </c>
      <c r="X450" s="12">
        <v>45.663600269972235</v>
      </c>
      <c r="Y450" s="12">
        <v>28.703882186505346</v>
      </c>
      <c r="Z450" s="12">
        <v>13.105606562584672</v>
      </c>
      <c r="AA450" s="12">
        <v>12.872404930920304</v>
      </c>
      <c r="AB450" s="12">
        <v>32.441663258801405</v>
      </c>
      <c r="AC450" s="12">
        <v>34.351493812795916</v>
      </c>
      <c r="AD450" s="12">
        <v>14.264235189813641</v>
      </c>
      <c r="AE450" s="12">
        <v>25.788745438650537</v>
      </c>
      <c r="AF450" s="12">
        <v>40.795530932067791</v>
      </c>
      <c r="AG450" s="12">
        <v>751.81498797036761</v>
      </c>
      <c r="AH450" s="12">
        <v>72.319960956505</v>
      </c>
      <c r="AI450" s="12">
        <v>1450.2273103488676</v>
      </c>
      <c r="AJ450" s="12">
        <v>1624.2134808186922</v>
      </c>
      <c r="AK450" s="12">
        <v>770.74778425003308</v>
      </c>
      <c r="AL450" s="12">
        <v>2466.0550422390279</v>
      </c>
      <c r="AM450" s="12">
        <v>1059.5821045140208</v>
      </c>
      <c r="AN450" s="12">
        <v>2482.2253185806862</v>
      </c>
      <c r="AP450" s="12">
        <f t="shared" si="150"/>
        <v>1.5770727832277276</v>
      </c>
      <c r="AQ450" s="12">
        <f t="shared" si="151"/>
        <v>1.1425757240073977</v>
      </c>
      <c r="AR450" s="12">
        <f t="shared" si="138"/>
        <v>1.7074315067180321</v>
      </c>
      <c r="AS450" s="12">
        <f t="shared" si="139"/>
        <v>1.213043160217905</v>
      </c>
      <c r="AT450" s="12">
        <f t="shared" si="140"/>
        <v>1.5254069857585706</v>
      </c>
      <c r="AU450" s="12">
        <f t="shared" si="152"/>
        <v>0.71065875609552287</v>
      </c>
      <c r="AV450" s="12">
        <f t="shared" si="153"/>
        <v>0.59215557429214416</v>
      </c>
      <c r="AW450" s="12">
        <f t="shared" si="154"/>
        <v>0.7075442806166482</v>
      </c>
      <c r="AX450" s="12">
        <f t="shared" si="155"/>
        <v>0.86486183803258099</v>
      </c>
      <c r="AY450" s="12">
        <f t="shared" si="156"/>
        <v>0.19587598939463413</v>
      </c>
      <c r="AZ450" s="12">
        <f t="shared" si="157"/>
        <v>0.72895657325271834</v>
      </c>
      <c r="BA450" s="12">
        <f t="shared" si="141"/>
        <v>0.51116024995712883</v>
      </c>
      <c r="BB450" s="12">
        <f t="shared" si="142"/>
        <v>0.20802980611508148</v>
      </c>
      <c r="BC450" s="12">
        <f t="shared" si="143"/>
        <v>0.86319810439014388</v>
      </c>
      <c r="BD450" s="12">
        <f t="shared" si="144"/>
        <v>0.88478454256558503</v>
      </c>
      <c r="BE450" s="12">
        <f t="shared" si="145"/>
        <v>0.40397455759390288</v>
      </c>
      <c r="BF450" s="12">
        <f t="shared" si="146"/>
        <v>0.39678621987508694</v>
      </c>
      <c r="BG450" s="12">
        <f t="shared" si="147"/>
        <v>0.84204061150711818</v>
      </c>
      <c r="BH450" s="12">
        <f t="shared" si="148"/>
        <v>0.34965190705732613</v>
      </c>
      <c r="BI450" s="12">
        <f t="shared" si="149"/>
        <v>0.63214633685228006</v>
      </c>
    </row>
    <row r="451" spans="1:61" x14ac:dyDescent="0.55000000000000004">
      <c r="A451" s="12" t="s">
        <v>1063</v>
      </c>
      <c r="B451" s="12" t="s">
        <v>1064</v>
      </c>
      <c r="C451" s="12" t="s">
        <v>322</v>
      </c>
      <c r="D451" s="12" t="s">
        <v>9</v>
      </c>
      <c r="E451" s="12">
        <v>1854</v>
      </c>
      <c r="F451" s="12">
        <v>72.188768404570524</v>
      </c>
      <c r="G451" s="12">
        <v>35.503440885030265</v>
      </c>
      <c r="H451" s="14">
        <f t="shared" si="158"/>
        <v>65823.379400846112</v>
      </c>
      <c r="I451" s="12">
        <v>45.91064414754068</v>
      </c>
      <c r="J451" s="12">
        <v>36.418351299425176</v>
      </c>
      <c r="K451" s="12">
        <v>20.09580359974554</v>
      </c>
      <c r="L451" s="12">
        <v>59.686429206983391</v>
      </c>
      <c r="M451" s="12">
        <v>40.706700876783856</v>
      </c>
      <c r="N451" s="12">
        <v>12.166231916727094</v>
      </c>
      <c r="O451" s="12">
        <v>11.047189301039992</v>
      </c>
      <c r="P451" s="12">
        <v>41.789643629941502</v>
      </c>
      <c r="Q451" s="12">
        <v>798.62763157510301</v>
      </c>
      <c r="R451" s="15">
        <v>378.29820088504806</v>
      </c>
      <c r="S451" s="15">
        <v>613.44956218575078</v>
      </c>
      <c r="T451" s="15">
        <v>874.69556877477271</v>
      </c>
      <c r="U451" s="12">
        <v>39.146768835970306</v>
      </c>
      <c r="V451" s="12">
        <v>14.728901458500253</v>
      </c>
      <c r="W451" s="12">
        <v>53.360654210350958</v>
      </c>
      <c r="X451" s="12">
        <v>59.675802224982995</v>
      </c>
      <c r="Y451" s="12">
        <v>24.211015685953591</v>
      </c>
      <c r="Z451" s="12">
        <v>33.057241028486139</v>
      </c>
      <c r="AA451" s="12">
        <v>11.211809246607739</v>
      </c>
      <c r="AB451" s="12">
        <v>42.403135820930864</v>
      </c>
      <c r="AC451" s="12">
        <v>28.772727260178247</v>
      </c>
      <c r="AD451" s="12">
        <v>19.221803516743751</v>
      </c>
      <c r="AE451" s="12">
        <v>29.015200182414162</v>
      </c>
      <c r="AF451" s="12">
        <v>41.879060905375177</v>
      </c>
      <c r="AG451" s="12">
        <v>796.7985349939737</v>
      </c>
      <c r="AH451" s="12">
        <v>185.23136891537317</v>
      </c>
      <c r="AI451" s="12">
        <v>1947.2006555489061</v>
      </c>
      <c r="AJ451" s="12">
        <v>2102.1025635280971</v>
      </c>
      <c r="AK451" s="12">
        <v>2164.5666102435016</v>
      </c>
      <c r="AL451" s="12">
        <v>1236.8826638523785</v>
      </c>
      <c r="AM451" s="12">
        <v>2280.4292373742583</v>
      </c>
      <c r="AN451" s="12">
        <v>3128.3385638582454</v>
      </c>
      <c r="AP451" s="12">
        <f t="shared" si="150"/>
        <v>1.681144917763441</v>
      </c>
      <c r="AQ451" s="12">
        <f t="shared" si="151"/>
        <v>1.1770589719815512</v>
      </c>
      <c r="AR451" s="12">
        <f t="shared" si="138"/>
        <v>1.6808455951700392</v>
      </c>
      <c r="AS451" s="12">
        <f t="shared" si="139"/>
        <v>1.1943387672829706</v>
      </c>
      <c r="AT451" s="12">
        <f t="shared" si="140"/>
        <v>1.1795775243585795</v>
      </c>
      <c r="AU451" s="12">
        <f t="shared" si="152"/>
        <v>0.76919736626109092</v>
      </c>
      <c r="AV451" s="12">
        <f t="shared" si="153"/>
        <v>0.61016133454946542</v>
      </c>
      <c r="AW451" s="12">
        <f t="shared" si="154"/>
        <v>0.33668966072767348</v>
      </c>
      <c r="AX451" s="12">
        <f t="shared" si="155"/>
        <v>0.97408585814352966</v>
      </c>
      <c r="AY451" s="12">
        <f t="shared" si="156"/>
        <v>0.2911303102860206</v>
      </c>
      <c r="AZ451" s="12">
        <f t="shared" si="157"/>
        <v>0.26435232132788244</v>
      </c>
      <c r="BA451" s="12">
        <f t="shared" si="141"/>
        <v>0.65599065913489629</v>
      </c>
      <c r="BB451" s="12">
        <f t="shared" si="142"/>
        <v>0.24681530719890463</v>
      </c>
      <c r="BC451" s="12">
        <f t="shared" si="143"/>
        <v>0.89417573322561505</v>
      </c>
      <c r="BD451" s="12">
        <f t="shared" si="144"/>
        <v>0.57097229290298501</v>
      </c>
      <c r="BE451" s="12">
        <f t="shared" si="145"/>
        <v>0.77959425378555514</v>
      </c>
      <c r="BF451" s="12">
        <f t="shared" si="146"/>
        <v>0.26440990812461118</v>
      </c>
      <c r="BG451" s="12">
        <f t="shared" si="147"/>
        <v>0.6870432774314017</v>
      </c>
      <c r="BH451" s="12">
        <f t="shared" si="148"/>
        <v>0.45898363289890853</v>
      </c>
      <c r="BI451" s="12">
        <f t="shared" si="149"/>
        <v>0.69283311409425763</v>
      </c>
    </row>
    <row r="452" spans="1:61" x14ac:dyDescent="0.55000000000000004">
      <c r="A452" s="12" t="s">
        <v>1065</v>
      </c>
      <c r="B452" s="12" t="s">
        <v>1066</v>
      </c>
      <c r="C452" s="12" t="s">
        <v>8</v>
      </c>
      <c r="D452" s="12" t="s">
        <v>9</v>
      </c>
      <c r="E452" s="12">
        <v>2041</v>
      </c>
      <c r="F452" s="12">
        <v>69.830029129887265</v>
      </c>
      <c r="G452" s="12">
        <v>33.872166842639395</v>
      </c>
      <c r="H452" s="14">
        <f t="shared" si="158"/>
        <v>69133.092525827</v>
      </c>
      <c r="I452" s="12">
        <v>31.543817476780447</v>
      </c>
      <c r="J452" s="12">
        <v>15.504857466258931</v>
      </c>
      <c r="K452" s="12">
        <v>25.960621005884363</v>
      </c>
      <c r="L452" s="12">
        <v>41.720711852793642</v>
      </c>
      <c r="M452" s="12">
        <v>33.988539170064776</v>
      </c>
      <c r="N452" s="12">
        <v>15.659220601390173</v>
      </c>
      <c r="O452" s="12">
        <v>10.211006545844608</v>
      </c>
      <c r="P452" s="12">
        <v>37.775416315837525</v>
      </c>
      <c r="Q452" s="12">
        <v>409.29647696971432</v>
      </c>
      <c r="R452" s="15">
        <v>58.752363462111482</v>
      </c>
      <c r="S452" s="15">
        <v>928.46902105589209</v>
      </c>
      <c r="T452" s="15">
        <v>954.00818370352317</v>
      </c>
      <c r="U452" s="12">
        <v>21.253245485880946</v>
      </c>
      <c r="V452" s="12">
        <v>7.3961848075324781</v>
      </c>
      <c r="W452" s="12">
        <v>48.177708272881119</v>
      </c>
      <c r="X452" s="12">
        <v>51.481957751245261</v>
      </c>
      <c r="Y452" s="12">
        <v>28.096965208189197</v>
      </c>
      <c r="Z452" s="12">
        <v>18.639075414995816</v>
      </c>
      <c r="AA452" s="12">
        <v>11.947255848458934</v>
      </c>
      <c r="AB452" s="12">
        <v>33.576080639596583</v>
      </c>
      <c r="AC452" s="12">
        <v>36.757363422434914</v>
      </c>
      <c r="AD452" s="12">
        <v>18.900760341402535</v>
      </c>
      <c r="AE452" s="12">
        <v>30.847728741315287</v>
      </c>
      <c r="AF452" s="12">
        <v>49.732065780969599</v>
      </c>
      <c r="AG452" s="12">
        <v>666.87814347134986</v>
      </c>
      <c r="AH452" s="12">
        <v>67.441234027573302</v>
      </c>
      <c r="AI452" s="12">
        <v>1733.8806849757168</v>
      </c>
      <c r="AJ452" s="12">
        <v>1828.6991421383218</v>
      </c>
      <c r="AK452" s="12">
        <v>1098.8317761326919</v>
      </c>
      <c r="AL452" s="12">
        <v>1840.2604108800499</v>
      </c>
      <c r="AM452" s="12">
        <v>2085.6290695356402</v>
      </c>
      <c r="AN452" s="12">
        <v>2356.392971756075</v>
      </c>
      <c r="AP452" s="12">
        <f t="shared" si="150"/>
        <v>1.2317107448902336</v>
      </c>
      <c r="AQ452" s="12">
        <f t="shared" si="151"/>
        <v>1.1152347144288564</v>
      </c>
      <c r="AR452" s="12">
        <f t="shared" si="138"/>
        <v>1.5198897073935667</v>
      </c>
      <c r="AS452" s="12">
        <f t="shared" si="139"/>
        <v>0.99125871679782562</v>
      </c>
      <c r="AT452" s="12">
        <f t="shared" si="140"/>
        <v>1.4682280591026506</v>
      </c>
      <c r="AU452" s="12">
        <f t="shared" si="152"/>
        <v>0.75607093158139049</v>
      </c>
      <c r="AV452" s="12">
        <f t="shared" si="153"/>
        <v>0.37163453780381067</v>
      </c>
      <c r="AW452" s="12">
        <f t="shared" si="154"/>
        <v>0.62224779619013204</v>
      </c>
      <c r="AX452" s="12">
        <f t="shared" si="155"/>
        <v>0.89975286799989329</v>
      </c>
      <c r="AY452" s="12">
        <f t="shared" si="156"/>
        <v>0.41453469289297995</v>
      </c>
      <c r="AZ452" s="12">
        <f t="shared" si="157"/>
        <v>0.27030824651861202</v>
      </c>
      <c r="BA452" s="12">
        <f t="shared" si="141"/>
        <v>0.41282900678669054</v>
      </c>
      <c r="BB452" s="12">
        <f t="shared" si="142"/>
        <v>0.14366557004824815</v>
      </c>
      <c r="BC452" s="12">
        <f t="shared" si="143"/>
        <v>0.93581733052325078</v>
      </c>
      <c r="BD452" s="12">
        <f t="shared" si="144"/>
        <v>0.83681491922122042</v>
      </c>
      <c r="BE452" s="12">
        <f t="shared" si="145"/>
        <v>0.55512957617258585</v>
      </c>
      <c r="BF452" s="12">
        <f t="shared" si="146"/>
        <v>0.35582639846204756</v>
      </c>
      <c r="BG452" s="12">
        <f t="shared" si="147"/>
        <v>0.73910791448563617</v>
      </c>
      <c r="BH452" s="12">
        <f t="shared" si="148"/>
        <v>0.3800517843888776</v>
      </c>
      <c r="BI452" s="12">
        <f t="shared" si="149"/>
        <v>0.62027845127477965</v>
      </c>
    </row>
    <row r="453" spans="1:61" x14ac:dyDescent="0.55000000000000004">
      <c r="A453" s="12" t="s">
        <v>1067</v>
      </c>
      <c r="B453" s="12" t="s">
        <v>1068</v>
      </c>
      <c r="C453" s="12" t="s">
        <v>322</v>
      </c>
      <c r="D453" s="12" t="s">
        <v>9</v>
      </c>
      <c r="E453" s="12">
        <v>2350</v>
      </c>
      <c r="F453" s="12">
        <v>70.32554248167861</v>
      </c>
      <c r="G453" s="12">
        <v>30.407394604217252</v>
      </c>
      <c r="H453" s="14">
        <f t="shared" si="158"/>
        <v>71457.377319910549</v>
      </c>
      <c r="I453" s="12">
        <v>32.403856205866234</v>
      </c>
      <c r="J453" s="12">
        <v>5.3007658614685367</v>
      </c>
      <c r="K453" s="12">
        <v>20.821421434932859</v>
      </c>
      <c r="L453" s="12">
        <v>34.60363878088225</v>
      </c>
      <c r="M453" s="12">
        <v>37.048221506272213</v>
      </c>
      <c r="N453" s="12">
        <v>9.4831046431113197</v>
      </c>
      <c r="O453" s="12">
        <v>8.0991121944451017</v>
      </c>
      <c r="P453" s="12">
        <v>38.271056177974877</v>
      </c>
      <c r="Q453" s="12">
        <v>453.92355742306302</v>
      </c>
      <c r="R453" s="15">
        <v>80.560706919460955</v>
      </c>
      <c r="S453" s="15">
        <v>743.06908774016756</v>
      </c>
      <c r="T453" s="15">
        <v>796.68196874674982</v>
      </c>
      <c r="U453" s="12">
        <v>41.433725414141499</v>
      </c>
      <c r="V453" s="12">
        <v>12.147780918346587</v>
      </c>
      <c r="W453" s="12">
        <v>29.353623276587264</v>
      </c>
      <c r="X453" s="12">
        <v>44.27248961034303</v>
      </c>
      <c r="Y453" s="12">
        <v>22.209384060578472</v>
      </c>
      <c r="Z453" s="12">
        <v>23.928696099561055</v>
      </c>
      <c r="AA453" s="12">
        <v>19.826910203959226</v>
      </c>
      <c r="AB453" s="12">
        <v>32.020721005064537</v>
      </c>
      <c r="AC453" s="12">
        <v>29.392037913939856</v>
      </c>
      <c r="AD453" s="12">
        <v>17.13149294221952</v>
      </c>
      <c r="AE453" s="12">
        <v>30.817673102446864</v>
      </c>
      <c r="AF453" s="12">
        <v>38.315672523336787</v>
      </c>
      <c r="AG453" s="12">
        <v>757.86363082693629</v>
      </c>
      <c r="AH453" s="12">
        <v>452.49542031803134</v>
      </c>
      <c r="AI453" s="12">
        <v>1170.5648945621806</v>
      </c>
      <c r="AJ453" s="12">
        <v>1343.1792095783392</v>
      </c>
      <c r="AK453" s="12">
        <v>1318.4691284224987</v>
      </c>
      <c r="AL453" s="12">
        <v>2823.7165332288268</v>
      </c>
      <c r="AM453" s="12">
        <v>671.83866734460162</v>
      </c>
      <c r="AN453" s="12">
        <v>3084.6340186158905</v>
      </c>
      <c r="AP453" s="12">
        <f t="shared" si="150"/>
        <v>1.1380007801156042</v>
      </c>
      <c r="AQ453" s="12">
        <f t="shared" si="151"/>
        <v>1.2586101728250996</v>
      </c>
      <c r="AR453" s="12">
        <f t="shared" si="138"/>
        <v>1.4559777378691565</v>
      </c>
      <c r="AS453" s="12">
        <f t="shared" si="139"/>
        <v>1.053057041612619</v>
      </c>
      <c r="AT453" s="12">
        <f t="shared" si="140"/>
        <v>1.2600774588567585</v>
      </c>
      <c r="AU453" s="12">
        <f t="shared" si="152"/>
        <v>0.9364291544902108</v>
      </c>
      <c r="AV453" s="12">
        <f t="shared" si="153"/>
        <v>0.1531852154345425</v>
      </c>
      <c r="AW453" s="12">
        <f t="shared" si="154"/>
        <v>0.60171190569808619</v>
      </c>
      <c r="AX453" s="12">
        <f t="shared" si="155"/>
        <v>0.96804805527142967</v>
      </c>
      <c r="AY453" s="12">
        <f t="shared" si="156"/>
        <v>0.24778790005196874</v>
      </c>
      <c r="AZ453" s="12">
        <f t="shared" si="157"/>
        <v>0.21162499819135297</v>
      </c>
      <c r="BA453" s="12">
        <f t="shared" si="141"/>
        <v>0.93587972528343355</v>
      </c>
      <c r="BB453" s="12">
        <f t="shared" si="142"/>
        <v>0.2743866682281314</v>
      </c>
      <c r="BC453" s="12">
        <f t="shared" si="143"/>
        <v>0.6630217440884465</v>
      </c>
      <c r="BD453" s="12">
        <f t="shared" si="144"/>
        <v>0.69359412791066566</v>
      </c>
      <c r="BE453" s="12">
        <f t="shared" si="145"/>
        <v>0.74728786075043052</v>
      </c>
      <c r="BF453" s="12">
        <f t="shared" si="146"/>
        <v>0.6191899989017523</v>
      </c>
      <c r="BG453" s="12">
        <f t="shared" si="147"/>
        <v>0.76710223201845551</v>
      </c>
      <c r="BH453" s="12">
        <f t="shared" si="148"/>
        <v>0.44711450469218056</v>
      </c>
      <c r="BI453" s="12">
        <f t="shared" si="149"/>
        <v>0.80430985737433836</v>
      </c>
    </row>
    <row r="454" spans="1:61" x14ac:dyDescent="0.55000000000000004">
      <c r="A454" s="12" t="s">
        <v>1069</v>
      </c>
      <c r="B454" s="12" t="s">
        <v>1070</v>
      </c>
      <c r="C454" s="12" t="s">
        <v>322</v>
      </c>
      <c r="D454" s="12" t="s">
        <v>9</v>
      </c>
      <c r="E454" s="12">
        <v>1965</v>
      </c>
      <c r="F454" s="12">
        <v>68.075094494369452</v>
      </c>
      <c r="G454" s="12">
        <v>41.648336597000061</v>
      </c>
      <c r="H454" s="14">
        <f t="shared" si="158"/>
        <v>81838.981413105124</v>
      </c>
      <c r="I454" s="12">
        <v>26.979671867046299</v>
      </c>
      <c r="J454" s="12">
        <v>11.851512155236394</v>
      </c>
      <c r="K454" s="12">
        <v>28.981285993222457</v>
      </c>
      <c r="L454" s="12">
        <v>39.883851642304926</v>
      </c>
      <c r="M454" s="12">
        <v>27.044861504902723</v>
      </c>
      <c r="N454" s="12">
        <v>10.359880935151761</v>
      </c>
      <c r="O454" s="12">
        <v>15.742692333892521</v>
      </c>
      <c r="P454" s="12">
        <v>30.968532991216421</v>
      </c>
      <c r="Q454" s="12">
        <v>432.74495321998938</v>
      </c>
      <c r="R454" s="15">
        <v>106.64990035218983</v>
      </c>
      <c r="S454" s="15">
        <v>1167.4772378803516</v>
      </c>
      <c r="T454" s="15">
        <v>1173.8628068850205</v>
      </c>
      <c r="U454" s="12">
        <v>40.184757885713367</v>
      </c>
      <c r="V454" s="12">
        <v>14.953169194576297</v>
      </c>
      <c r="W454" s="12">
        <v>52.443743807697842</v>
      </c>
      <c r="X454" s="12">
        <v>57.397839909521991</v>
      </c>
      <c r="Y454" s="12">
        <v>31.16795066113005</v>
      </c>
      <c r="Z454" s="12">
        <v>26.993867883673676</v>
      </c>
      <c r="AA454" s="12">
        <v>16.718989860202939</v>
      </c>
      <c r="AB454" s="12">
        <v>37.456396382966631</v>
      </c>
      <c r="AC454" s="12">
        <v>54.800274567009687</v>
      </c>
      <c r="AD454" s="12">
        <v>23.735815315306787</v>
      </c>
      <c r="AE454" s="12">
        <v>36.9135856199701</v>
      </c>
      <c r="AF454" s="12">
        <v>60.895178480250458</v>
      </c>
      <c r="AG454" s="12">
        <v>838.59746922499357</v>
      </c>
      <c r="AH454" s="12">
        <v>844.49308119280261</v>
      </c>
      <c r="AI454" s="12">
        <v>1858.508332097934</v>
      </c>
      <c r="AJ454" s="12">
        <v>1976.7409743783305</v>
      </c>
      <c r="AK454" s="12">
        <v>1218.2225317170662</v>
      </c>
      <c r="AL454" s="12">
        <v>2657.6627390561544</v>
      </c>
      <c r="AM454" s="12">
        <v>948.55723386888826</v>
      </c>
      <c r="AN454" s="12">
        <v>2686.9683670383524</v>
      </c>
      <c r="AP454" s="12">
        <f t="shared" si="150"/>
        <v>0.95763372324400986</v>
      </c>
      <c r="AQ454" s="12">
        <f t="shared" si="151"/>
        <v>0.74357190518497418</v>
      </c>
      <c r="AR454" s="12">
        <f t="shared" si="138"/>
        <v>1.3781544378330914</v>
      </c>
      <c r="AS454" s="12">
        <f t="shared" si="139"/>
        <v>0.8993491563757825</v>
      </c>
      <c r="AT454" s="12">
        <f t="shared" si="140"/>
        <v>1.4621275051027309</v>
      </c>
      <c r="AU454" s="12">
        <f t="shared" si="152"/>
        <v>0.67645602809405891</v>
      </c>
      <c r="AV454" s="12">
        <f t="shared" si="153"/>
        <v>0.29715064285981491</v>
      </c>
      <c r="AW454" s="12">
        <f t="shared" si="154"/>
        <v>0.7266421070146073</v>
      </c>
      <c r="AX454" s="12">
        <f t="shared" si="155"/>
        <v>0.87330134470927101</v>
      </c>
      <c r="AY454" s="12">
        <f t="shared" si="156"/>
        <v>0.33452927647848624</v>
      </c>
      <c r="AZ454" s="12">
        <f t="shared" si="157"/>
        <v>0.50834478786443027</v>
      </c>
      <c r="BA454" s="12">
        <f t="shared" si="141"/>
        <v>0.70010923667263192</v>
      </c>
      <c r="BB454" s="12">
        <f t="shared" si="142"/>
        <v>0.26051797799616577</v>
      </c>
      <c r="BC454" s="12">
        <f t="shared" si="143"/>
        <v>0.91368845744659655</v>
      </c>
      <c r="BD454" s="12">
        <f t="shared" si="144"/>
        <v>0.83211290115735037</v>
      </c>
      <c r="BE454" s="12">
        <f t="shared" si="145"/>
        <v>0.72067445057125656</v>
      </c>
      <c r="BF454" s="12">
        <f t="shared" si="146"/>
        <v>0.44635873908590767</v>
      </c>
      <c r="BG454" s="12">
        <f t="shared" si="147"/>
        <v>0.89991155186091665</v>
      </c>
      <c r="BH454" s="12">
        <f t="shared" si="148"/>
        <v>0.38978152142217293</v>
      </c>
      <c r="BI454" s="12">
        <f t="shared" si="149"/>
        <v>0.60618240296219716</v>
      </c>
    </row>
    <row r="455" spans="1:61" x14ac:dyDescent="0.55000000000000004">
      <c r="A455" s="12" t="s">
        <v>1071</v>
      </c>
      <c r="B455" s="12" t="s">
        <v>1072</v>
      </c>
      <c r="C455" s="12" t="s">
        <v>322</v>
      </c>
      <c r="D455" s="12" t="s">
        <v>9</v>
      </c>
      <c r="E455" s="12">
        <v>2499</v>
      </c>
      <c r="F455" s="12">
        <v>67.900905528589149</v>
      </c>
      <c r="G455" s="12">
        <v>29.555322361719167</v>
      </c>
      <c r="H455" s="14">
        <f t="shared" si="158"/>
        <v>73858.750581936198</v>
      </c>
      <c r="I455" s="12">
        <v>46.863882098808283</v>
      </c>
      <c r="J455" s="12">
        <v>6.7532479170092943</v>
      </c>
      <c r="K455" s="12">
        <v>20.859704420692264</v>
      </c>
      <c r="L455" s="12">
        <v>49.045145603366237</v>
      </c>
      <c r="M455" s="12">
        <v>34.422125919237651</v>
      </c>
      <c r="N455" s="12">
        <v>7.9389329028206248</v>
      </c>
      <c r="O455" s="12">
        <v>11.922487220711025</v>
      </c>
      <c r="P455" s="12">
        <v>35.573840791652664</v>
      </c>
      <c r="Q455" s="12">
        <v>511.91831846376306</v>
      </c>
      <c r="R455" s="15">
        <v>41.727566526381331</v>
      </c>
      <c r="S455" s="15">
        <v>762.23584163557757</v>
      </c>
      <c r="T455" s="15">
        <v>799.09286641782307</v>
      </c>
      <c r="U455" s="12">
        <v>31.261402159828201</v>
      </c>
      <c r="V455" s="12">
        <v>13.262378872092908</v>
      </c>
      <c r="W455" s="12">
        <v>42.530659664314413</v>
      </c>
      <c r="X455" s="12">
        <v>47.651322006724449</v>
      </c>
      <c r="Y455" s="12">
        <v>25.07105854506684</v>
      </c>
      <c r="Z455" s="12">
        <v>26.838992316795846</v>
      </c>
      <c r="AA455" s="12">
        <v>65.671544989435773</v>
      </c>
      <c r="AB455" s="12">
        <v>70.425120032799853</v>
      </c>
      <c r="AC455" s="12">
        <v>26.11863028407619</v>
      </c>
      <c r="AD455" s="12">
        <v>16.940283964162205</v>
      </c>
      <c r="AE455" s="12">
        <v>30.174189764078321</v>
      </c>
      <c r="AF455" s="12">
        <v>39.039162787201889</v>
      </c>
      <c r="AG455" s="12">
        <v>916.83046718850323</v>
      </c>
      <c r="AH455" s="12">
        <v>82.40485329224704</v>
      </c>
      <c r="AI455" s="12">
        <v>1746.8734965191516</v>
      </c>
      <c r="AJ455" s="12">
        <v>1956.7766802401502</v>
      </c>
      <c r="AK455" s="12">
        <v>1502.8786494753278</v>
      </c>
      <c r="AL455" s="12">
        <v>2160.8299099476035</v>
      </c>
      <c r="AM455" s="12">
        <v>1615.8565459852234</v>
      </c>
      <c r="AN455" s="12">
        <v>2602.8702498442017</v>
      </c>
      <c r="AP455" s="12">
        <f t="shared" si="150"/>
        <v>1.6594353126356287</v>
      </c>
      <c r="AQ455" s="12">
        <f t="shared" si="151"/>
        <v>1.2036356889048465</v>
      </c>
      <c r="AR455" s="12">
        <f t="shared" si="138"/>
        <v>1.6122754955447109</v>
      </c>
      <c r="AS455" s="12">
        <f t="shared" si="139"/>
        <v>2.3828236136587138</v>
      </c>
      <c r="AT455" s="12">
        <f t="shared" si="140"/>
        <v>1.3208843506902987</v>
      </c>
      <c r="AU455" s="12">
        <f t="shared" si="152"/>
        <v>0.95552539445599605</v>
      </c>
      <c r="AV455" s="12">
        <f t="shared" si="153"/>
        <v>0.13769452274897073</v>
      </c>
      <c r="AW455" s="12">
        <f t="shared" si="154"/>
        <v>0.42531639296959389</v>
      </c>
      <c r="AX455" s="12">
        <f t="shared" si="155"/>
        <v>0.96762466894816535</v>
      </c>
      <c r="AY455" s="12">
        <f t="shared" si="156"/>
        <v>0.22316771892349282</v>
      </c>
      <c r="AZ455" s="12">
        <f t="shared" si="157"/>
        <v>0.33514759596913174</v>
      </c>
      <c r="BA455" s="12">
        <f t="shared" si="141"/>
        <v>0.65604480302596135</v>
      </c>
      <c r="BB455" s="12">
        <f t="shared" si="142"/>
        <v>0.27832132065971538</v>
      </c>
      <c r="BC455" s="12">
        <f t="shared" si="143"/>
        <v>0.89253892385845202</v>
      </c>
      <c r="BD455" s="12">
        <f t="shared" si="144"/>
        <v>0.3559959646982529</v>
      </c>
      <c r="BE455" s="12">
        <f t="shared" si="145"/>
        <v>0.38109970283750788</v>
      </c>
      <c r="BF455" s="12">
        <f t="shared" si="146"/>
        <v>0.93250171187283537</v>
      </c>
      <c r="BG455" s="12">
        <f t="shared" si="147"/>
        <v>0.66903663960331128</v>
      </c>
      <c r="BH455" s="12">
        <f t="shared" si="148"/>
        <v>0.43393051373826325</v>
      </c>
      <c r="BI455" s="12">
        <f t="shared" si="149"/>
        <v>0.77292102621550707</v>
      </c>
    </row>
    <row r="456" spans="1:61" x14ac:dyDescent="0.55000000000000004">
      <c r="A456" s="12" t="s">
        <v>1073</v>
      </c>
      <c r="B456" s="12" t="s">
        <v>1074</v>
      </c>
      <c r="C456" s="12" t="s">
        <v>322</v>
      </c>
      <c r="D456" s="12" t="s">
        <v>9</v>
      </c>
      <c r="E456" s="12">
        <v>2846</v>
      </c>
      <c r="F456" s="12">
        <v>71.016339725896259</v>
      </c>
      <c r="G456" s="12">
        <v>34.834947852366675</v>
      </c>
      <c r="H456" s="14">
        <f t="shared" si="158"/>
        <v>99140.261587835557</v>
      </c>
      <c r="I456" s="12">
        <v>37.113810401401878</v>
      </c>
      <c r="J456" s="12">
        <v>6.1581820611120479</v>
      </c>
      <c r="K456" s="12">
        <v>23.020301563450136</v>
      </c>
      <c r="L456" s="12">
        <v>43.736883858427319</v>
      </c>
      <c r="M456" s="12">
        <v>33.784636645240923</v>
      </c>
      <c r="N456" s="12">
        <v>9.8625019507180376</v>
      </c>
      <c r="O456" s="12">
        <v>12.063661794081016</v>
      </c>
      <c r="P456" s="12">
        <v>36.171306064204103</v>
      </c>
      <c r="Q456" s="12">
        <v>555.72567017543929</v>
      </c>
      <c r="R456" s="15">
        <v>175.25991808046405</v>
      </c>
      <c r="S456" s="15">
        <v>726.97795987357995</v>
      </c>
      <c r="T456" s="15">
        <v>880.72068908438996</v>
      </c>
      <c r="U456" s="12">
        <v>26.423322851481807</v>
      </c>
      <c r="V456" s="12">
        <v>7.3682437573679476</v>
      </c>
      <c r="W456" s="12">
        <v>36.343916531402037</v>
      </c>
      <c r="X456" s="12">
        <v>39.349563854043154</v>
      </c>
      <c r="Y456" s="12">
        <v>24.018993772350687</v>
      </c>
      <c r="Z456" s="12">
        <v>16.39688298994372</v>
      </c>
      <c r="AA456" s="12">
        <v>38.957277645459271</v>
      </c>
      <c r="AB456" s="12">
        <v>47.127469020717136</v>
      </c>
      <c r="AC456" s="12">
        <v>28.13739132862694</v>
      </c>
      <c r="AD456" s="12">
        <v>10.201128273172905</v>
      </c>
      <c r="AE456" s="12">
        <v>23.362333835724048</v>
      </c>
      <c r="AF456" s="12">
        <v>37.590880478238219</v>
      </c>
      <c r="AG456" s="12">
        <v>524.18744869594855</v>
      </c>
      <c r="AH456" s="12">
        <v>38.124435228707561</v>
      </c>
      <c r="AI456" s="12">
        <v>1342.1813158823018</v>
      </c>
      <c r="AJ456" s="12">
        <v>1438.0275908494341</v>
      </c>
      <c r="AK456" s="12">
        <v>1747.5983185672226</v>
      </c>
      <c r="AL456" s="12">
        <v>1007.4090572285759</v>
      </c>
      <c r="AM456" s="12">
        <v>1948.9627652099073</v>
      </c>
      <c r="AN456" s="12">
        <v>2589.3542897135453</v>
      </c>
      <c r="AP456" s="12">
        <f t="shared" si="150"/>
        <v>1.2555461269466448</v>
      </c>
      <c r="AQ456" s="12">
        <f t="shared" si="151"/>
        <v>1.0383625724804015</v>
      </c>
      <c r="AR456" s="12">
        <f t="shared" si="138"/>
        <v>1.1296001940582712</v>
      </c>
      <c r="AS456" s="12">
        <f t="shared" si="139"/>
        <v>1.3528789886652668</v>
      </c>
      <c r="AT456" s="12">
        <f t="shared" si="140"/>
        <v>1.0791140161182791</v>
      </c>
      <c r="AU456" s="12">
        <f t="shared" si="152"/>
        <v>0.84857006552035619</v>
      </c>
      <c r="AV456" s="12">
        <f t="shared" si="153"/>
        <v>0.14080065879968895</v>
      </c>
      <c r="AW456" s="12">
        <f t="shared" si="154"/>
        <v>0.52633611571334049</v>
      </c>
      <c r="AX456" s="12">
        <f t="shared" si="155"/>
        <v>0.93401760459722305</v>
      </c>
      <c r="AY456" s="12">
        <f t="shared" si="156"/>
        <v>0.27266092999827229</v>
      </c>
      <c r="AZ456" s="12">
        <f t="shared" si="157"/>
        <v>0.33351468627281539</v>
      </c>
      <c r="BA456" s="12">
        <f t="shared" si="141"/>
        <v>0.67150230557807866</v>
      </c>
      <c r="BB456" s="12">
        <f t="shared" si="142"/>
        <v>0.1872509638149614</v>
      </c>
      <c r="BC456" s="12">
        <f t="shared" si="143"/>
        <v>0.92361675636889462</v>
      </c>
      <c r="BD456" s="12">
        <f t="shared" si="144"/>
        <v>0.50966016786923118</v>
      </c>
      <c r="BE456" s="12">
        <f t="shared" si="145"/>
        <v>0.3479262377263605</v>
      </c>
      <c r="BF456" s="12">
        <f t="shared" si="146"/>
        <v>0.82663632176669055</v>
      </c>
      <c r="BG456" s="12">
        <f t="shared" si="147"/>
        <v>0.74851642128776397</v>
      </c>
      <c r="BH456" s="12">
        <f t="shared" si="148"/>
        <v>0.27137242180529536</v>
      </c>
      <c r="BI456" s="12">
        <f t="shared" si="149"/>
        <v>0.62148940217691262</v>
      </c>
    </row>
    <row r="457" spans="1:61" x14ac:dyDescent="0.55000000000000004">
      <c r="A457" s="12" t="s">
        <v>1075</v>
      </c>
      <c r="B457" s="12" t="s">
        <v>1076</v>
      </c>
      <c r="C457" s="12" t="s">
        <v>515</v>
      </c>
      <c r="D457" s="12" t="s">
        <v>9</v>
      </c>
      <c r="E457" s="12">
        <v>1993</v>
      </c>
      <c r="F457" s="12">
        <v>70.086590664197075</v>
      </c>
      <c r="G457" s="12">
        <v>52.01949732670618</v>
      </c>
      <c r="H457" s="14">
        <f t="shared" si="158"/>
        <v>103674.85817212542</v>
      </c>
      <c r="I457" s="12">
        <v>49.204763642754727</v>
      </c>
      <c r="J457" s="12">
        <v>17.135412585752096</v>
      </c>
      <c r="K457" s="12">
        <v>20.202720013079887</v>
      </c>
      <c r="L457" s="12">
        <v>52.010963008449863</v>
      </c>
      <c r="M457" s="12">
        <v>42.596405613220725</v>
      </c>
      <c r="N457" s="12">
        <v>13.315302893910866</v>
      </c>
      <c r="O457" s="12">
        <v>12.900192998882115</v>
      </c>
      <c r="P457" s="12">
        <v>44.894601659098335</v>
      </c>
      <c r="Q457" s="12">
        <v>787.03478089101793</v>
      </c>
      <c r="R457" s="15">
        <v>79.322716387953477</v>
      </c>
      <c r="S457" s="15">
        <v>726.33969139946851</v>
      </c>
      <c r="T457" s="15">
        <v>790.77588867737643</v>
      </c>
      <c r="U457" s="12">
        <v>37.386513456339138</v>
      </c>
      <c r="V457" s="12">
        <v>12.537997120832868</v>
      </c>
      <c r="W457" s="12">
        <v>58.356533345560116</v>
      </c>
      <c r="X457" s="12">
        <v>61.844565674457257</v>
      </c>
      <c r="Y457" s="12">
        <v>28.083270166730269</v>
      </c>
      <c r="Z457" s="12">
        <v>30.704857430697135</v>
      </c>
      <c r="AA457" s="12">
        <v>81.720703255102251</v>
      </c>
      <c r="AB457" s="12">
        <v>86.766819647765701</v>
      </c>
      <c r="AC457" s="12">
        <v>38.666818501747684</v>
      </c>
      <c r="AD457" s="12">
        <v>17.740825406709185</v>
      </c>
      <c r="AE457" s="12">
        <v>35.141708430651931</v>
      </c>
      <c r="AF457" s="12">
        <v>50.00107505141591</v>
      </c>
      <c r="AG457" s="12">
        <v>641.81789579332553</v>
      </c>
      <c r="AH457" s="12">
        <v>396.02760653956062</v>
      </c>
      <c r="AI457" s="12">
        <v>2163.7137105677516</v>
      </c>
      <c r="AJ457" s="12">
        <v>2253.0328193180003</v>
      </c>
      <c r="AK457" s="12">
        <v>882.7639131364117</v>
      </c>
      <c r="AL457" s="12">
        <v>3519.7572335800314</v>
      </c>
      <c r="AM457" s="12">
        <v>1282.4914724904829</v>
      </c>
      <c r="AN457" s="12">
        <v>3519.8554134001565</v>
      </c>
      <c r="AP457" s="12">
        <f t="shared" si="150"/>
        <v>0.99983594000913312</v>
      </c>
      <c r="AQ457" s="12">
        <f t="shared" si="151"/>
        <v>0.86303413078253621</v>
      </c>
      <c r="AR457" s="12">
        <f t="shared" si="138"/>
        <v>1.1888728044803119</v>
      </c>
      <c r="AS457" s="12">
        <f t="shared" si="139"/>
        <v>1.6679672835519821</v>
      </c>
      <c r="AT457" s="12">
        <f t="shared" si="140"/>
        <v>0.96119873549308532</v>
      </c>
      <c r="AU457" s="12">
        <f t="shared" si="152"/>
        <v>0.94604600254682403</v>
      </c>
      <c r="AV457" s="12">
        <f t="shared" si="153"/>
        <v>0.32945770650253531</v>
      </c>
      <c r="AW457" s="12">
        <f t="shared" si="154"/>
        <v>0.38843195442848633</v>
      </c>
      <c r="AX457" s="12">
        <f t="shared" si="155"/>
        <v>0.94880907813084792</v>
      </c>
      <c r="AY457" s="12">
        <f t="shared" si="156"/>
        <v>0.29659028929622738</v>
      </c>
      <c r="AZ457" s="12">
        <f t="shared" si="157"/>
        <v>0.28734396836479703</v>
      </c>
      <c r="BA457" s="12">
        <f t="shared" si="141"/>
        <v>0.60452382595970489</v>
      </c>
      <c r="BB457" s="12">
        <f t="shared" si="142"/>
        <v>0.2027340152541689</v>
      </c>
      <c r="BC457" s="12">
        <f t="shared" si="143"/>
        <v>0.94360001900154422</v>
      </c>
      <c r="BD457" s="12">
        <f t="shared" si="144"/>
        <v>0.32366370325356775</v>
      </c>
      <c r="BE457" s="12">
        <f t="shared" si="145"/>
        <v>0.35387787123401615</v>
      </c>
      <c r="BF457" s="12">
        <f t="shared" si="146"/>
        <v>0.94184278721810466</v>
      </c>
      <c r="BG457" s="12">
        <f t="shared" si="147"/>
        <v>0.77331974286526328</v>
      </c>
      <c r="BH457" s="12">
        <f t="shared" si="148"/>
        <v>0.35480887937842065</v>
      </c>
      <c r="BI457" s="12">
        <f t="shared" si="149"/>
        <v>0.70281905728058547</v>
      </c>
    </row>
    <row r="458" spans="1:61" x14ac:dyDescent="0.55000000000000004">
      <c r="A458" s="12" t="s">
        <v>1139</v>
      </c>
      <c r="B458" s="12" t="s">
        <v>1140</v>
      </c>
      <c r="C458" s="16" t="s">
        <v>322</v>
      </c>
      <c r="D458" s="12" t="s">
        <v>9</v>
      </c>
      <c r="E458" s="12">
        <v>2299</v>
      </c>
      <c r="F458" s="12">
        <v>70.670804344516782</v>
      </c>
      <c r="G458" s="12">
        <v>36.89491453969142</v>
      </c>
      <c r="H458" s="12">
        <f t="shared" si="158"/>
        <v>84821.408526750572</v>
      </c>
      <c r="I458" s="12">
        <v>39.286413713911742</v>
      </c>
      <c r="J458" s="12">
        <v>7.9500373351139748</v>
      </c>
      <c r="K458" s="12">
        <v>17.868635644906725</v>
      </c>
      <c r="L458" s="14">
        <v>43.315110492511941</v>
      </c>
      <c r="M458" s="12">
        <v>35.476146159536256</v>
      </c>
      <c r="N458" s="12">
        <v>12.619561135821701</v>
      </c>
      <c r="O458" s="12">
        <v>4.1541392608046692</v>
      </c>
      <c r="P458" s="12">
        <v>37.294362308116646</v>
      </c>
      <c r="Q458" s="12">
        <v>437.08061749220417</v>
      </c>
      <c r="R458" s="12">
        <v>665.35316806523883</v>
      </c>
      <c r="S458" s="12">
        <v>680.40817706052121</v>
      </c>
      <c r="T458" s="12">
        <v>741.48591129616818</v>
      </c>
      <c r="U458" s="12">
        <v>39.174365033515912</v>
      </c>
      <c r="V458" s="15">
        <v>15.01628746408567</v>
      </c>
      <c r="W458" s="15">
        <v>50.767864085337287</v>
      </c>
      <c r="X458" s="15">
        <v>54.110173759627131</v>
      </c>
      <c r="Y458" s="12">
        <v>27.871592779717972</v>
      </c>
      <c r="Z458" s="12">
        <v>22.575548856136091</v>
      </c>
      <c r="AA458" s="12">
        <v>57.743130240515633</v>
      </c>
      <c r="AB458" s="12">
        <v>62.874791649424552</v>
      </c>
      <c r="AC458" s="12">
        <v>36.146146004685662</v>
      </c>
      <c r="AD458" s="12">
        <v>10.659171461523858</v>
      </c>
      <c r="AE458" s="12">
        <v>36.622680893649196</v>
      </c>
      <c r="AF458" s="12">
        <v>46.958120018263728</v>
      </c>
      <c r="AG458" s="12">
        <v>620.5121047001677</v>
      </c>
      <c r="AH458" s="12">
        <v>241.74826252359424</v>
      </c>
      <c r="AI458" s="12">
        <v>1884.6420093441943</v>
      </c>
      <c r="AJ458" s="12">
        <v>1975.1352758986388</v>
      </c>
      <c r="AK458" s="12">
        <v>1147.7423948142305</v>
      </c>
      <c r="AL458" s="12">
        <v>1544.1367243473369</v>
      </c>
      <c r="AM458" s="12">
        <v>3874.5893644162879</v>
      </c>
      <c r="AN458" s="12">
        <v>4039.9434740648512</v>
      </c>
      <c r="AP458" s="12">
        <f t="shared" ref="AP458:AP495" si="159">L458/G458</f>
        <v>1.1740130322273465</v>
      </c>
      <c r="AQ458" s="12">
        <f t="shared" ref="AQ458:AQ459" si="160">P458/G458</f>
        <v>1.0108266348739066</v>
      </c>
      <c r="AR458" s="12">
        <f t="shared" ref="AR458:AR459" si="161">X458/G458</f>
        <v>1.4666024961628681</v>
      </c>
      <c r="AS458" s="12">
        <f t="shared" ref="AS458:AS459" si="162">AB458/G458</f>
        <v>1.7041587555863307</v>
      </c>
      <c r="AT458" s="12">
        <f t="shared" ref="AT458:AT459" si="163">AF458/G458</f>
        <v>1.2727531857472212</v>
      </c>
      <c r="AU458" s="12">
        <f t="shared" ref="AU458:AU459" si="164">I458/$L458</f>
        <v>0.90699096151915259</v>
      </c>
      <c r="AV458" s="12">
        <f t="shared" ref="AV458:AV459" si="165">J458/$L458</f>
        <v>0.18353958340908147</v>
      </c>
      <c r="AW458" s="12">
        <f t="shared" ref="AW458:AW459" si="166">K458/$L458</f>
        <v>0.4125266088838847</v>
      </c>
      <c r="AX458" s="12">
        <f t="shared" ref="AX458:AX459" si="167">M458/$P458</f>
        <v>0.95124688998410145</v>
      </c>
      <c r="AY458" s="12">
        <f t="shared" ref="AY458:AY459" si="168">N458/$P458</f>
        <v>0.33837717968099468</v>
      </c>
      <c r="AZ458" s="12">
        <f t="shared" ref="AZ458:AZ459" si="169">O458/$P458</f>
        <v>0.11138786142753199</v>
      </c>
      <c r="BA458" s="12">
        <f t="shared" ref="BA458:BA459" si="170">U458/$X458</f>
        <v>0.7239741126602115</v>
      </c>
      <c r="BB458" s="12">
        <f t="shared" ref="BB458:BB459" si="171">V458/$X458</f>
        <v>0.27751319984283018</v>
      </c>
      <c r="BC458" s="12">
        <f t="shared" ref="BC458:BC459" si="172">W458/$X458</f>
        <v>0.93823140008499439</v>
      </c>
      <c r="BD458" s="12">
        <f t="shared" ref="BD458:BD459" si="173">Y458/$AB458</f>
        <v>0.44328723878917314</v>
      </c>
      <c r="BE458" s="12">
        <f t="shared" ref="BE458:BE459" si="174">Z458/$AB458</f>
        <v>0.35905564478069663</v>
      </c>
      <c r="BF458" s="12">
        <f t="shared" ref="BF458:BF459" si="175">AA458/$AB458</f>
        <v>0.91838284828804062</v>
      </c>
      <c r="BG458" s="12">
        <f t="shared" ref="BG458:BG459" si="176">AC458/$AF458</f>
        <v>0.76975283487982704</v>
      </c>
      <c r="BH458" s="12">
        <f t="shared" ref="BH458:BH459" si="177">AD458/$AF458</f>
        <v>0.2269931474551817</v>
      </c>
      <c r="BI458" s="12">
        <f t="shared" ref="BI458:BI459" si="178">AE458/$AF458</f>
        <v>0.77990091765610081</v>
      </c>
    </row>
    <row r="459" spans="1:61" x14ac:dyDescent="0.55000000000000004">
      <c r="A459" s="12" t="s">
        <v>1141</v>
      </c>
      <c r="B459" s="12" t="s">
        <v>1142</v>
      </c>
      <c r="C459" s="16" t="s">
        <v>322</v>
      </c>
      <c r="D459" s="12" t="s">
        <v>9</v>
      </c>
      <c r="E459" s="12">
        <v>2954</v>
      </c>
      <c r="F459" s="12">
        <v>68.845282200653642</v>
      </c>
      <c r="G459" s="12">
        <v>27.713120240888671</v>
      </c>
      <c r="H459" s="12">
        <f t="shared" si="158"/>
        <v>81864.557191585132</v>
      </c>
      <c r="I459" s="12">
        <v>30.870751302487726</v>
      </c>
      <c r="J459" s="12">
        <v>17.523076558493898</v>
      </c>
      <c r="K459" s="12">
        <v>21.379146916269136</v>
      </c>
      <c r="L459" s="14">
        <v>39.068044261919269</v>
      </c>
      <c r="M459" s="12">
        <v>27.952779978840873</v>
      </c>
      <c r="N459" s="12">
        <v>14.907062933602269</v>
      </c>
      <c r="O459" s="12">
        <v>9.2879434675158645</v>
      </c>
      <c r="P459" s="12">
        <v>31.412678376962159</v>
      </c>
      <c r="Q459" s="12">
        <v>298.87495393125391</v>
      </c>
      <c r="R459" s="12">
        <v>121.20556586160441</v>
      </c>
      <c r="S459" s="12">
        <v>876.77860677995398</v>
      </c>
      <c r="T459" s="12">
        <v>876.78052339514318</v>
      </c>
      <c r="U459" s="12">
        <v>26.421159615929788</v>
      </c>
      <c r="V459" s="15">
        <v>13.18559465860098</v>
      </c>
      <c r="W459" s="15">
        <v>40.801340313061544</v>
      </c>
      <c r="X459" s="15">
        <v>44.192205418097359</v>
      </c>
      <c r="Y459" s="12">
        <v>27.665103322276384</v>
      </c>
      <c r="Z459" s="12">
        <v>13.743976285511499</v>
      </c>
      <c r="AA459" s="12">
        <v>30.310211902161097</v>
      </c>
      <c r="AB459" s="12">
        <v>41.478065352546416</v>
      </c>
      <c r="AC459" s="12">
        <v>26.933848859662625</v>
      </c>
      <c r="AD459" s="12">
        <v>13.65967446895173</v>
      </c>
      <c r="AE459" s="12">
        <v>18.695643231465702</v>
      </c>
      <c r="AF459" s="12">
        <v>34.865778921913403</v>
      </c>
      <c r="AG459" s="12">
        <v>622.11526584046476</v>
      </c>
      <c r="AH459" s="12">
        <v>73.630819236398281</v>
      </c>
      <c r="AI459" s="12">
        <v>1486.3015220694924</v>
      </c>
      <c r="AJ459" s="12">
        <v>1586.4121342377923</v>
      </c>
      <c r="AK459" s="12">
        <v>814.32130994164936</v>
      </c>
      <c r="AL459" s="12">
        <v>1564.3540206973375</v>
      </c>
      <c r="AM459" s="12">
        <v>1122.8391353335351</v>
      </c>
      <c r="AN459" s="12">
        <v>1569.9872049669498</v>
      </c>
      <c r="AP459" s="12">
        <f t="shared" si="159"/>
        <v>1.4097309838203367</v>
      </c>
      <c r="AQ459" s="12">
        <f t="shared" si="160"/>
        <v>1.1334948249751777</v>
      </c>
      <c r="AR459" s="12">
        <f t="shared" si="161"/>
        <v>1.5946311723100386</v>
      </c>
      <c r="AS459" s="12">
        <f t="shared" si="162"/>
        <v>1.4966941647858396</v>
      </c>
      <c r="AT459" s="12">
        <f t="shared" si="163"/>
        <v>1.2580964762845979</v>
      </c>
      <c r="AU459" s="12">
        <f t="shared" si="164"/>
        <v>0.79017908077314025</v>
      </c>
      <c r="AV459" s="12">
        <f t="shared" si="165"/>
        <v>0.44852709905353871</v>
      </c>
      <c r="AW459" s="12">
        <f t="shared" si="166"/>
        <v>0.54722849121751393</v>
      </c>
      <c r="AX459" s="12">
        <f t="shared" si="167"/>
        <v>0.88985662551274991</v>
      </c>
      <c r="AY459" s="12">
        <f t="shared" si="168"/>
        <v>0.47455561587944711</v>
      </c>
      <c r="AZ459" s="12">
        <f t="shared" si="169"/>
        <v>0.29567499326410757</v>
      </c>
      <c r="BA459" s="12">
        <f t="shared" si="170"/>
        <v>0.59786922526183617</v>
      </c>
      <c r="BB459" s="12">
        <f t="shared" si="171"/>
        <v>0.29836923805575188</v>
      </c>
      <c r="BC459" s="12">
        <f t="shared" si="172"/>
        <v>0.92327006373736653</v>
      </c>
      <c r="BD459" s="12">
        <f t="shared" si="173"/>
        <v>0.66698152594954552</v>
      </c>
      <c r="BE459" s="12">
        <f t="shared" si="174"/>
        <v>0.33135528787790319</v>
      </c>
      <c r="BF459" s="12">
        <f t="shared" si="175"/>
        <v>0.73075278811913769</v>
      </c>
      <c r="BG459" s="12">
        <f t="shared" si="176"/>
        <v>0.77250099359559976</v>
      </c>
      <c r="BH459" s="12">
        <f t="shared" si="177"/>
        <v>0.39177884135456736</v>
      </c>
      <c r="BI459" s="12">
        <f t="shared" si="178"/>
        <v>0.53621756947800037</v>
      </c>
    </row>
    <row r="460" spans="1:61" x14ac:dyDescent="0.55000000000000004">
      <c r="A460" s="12" t="s">
        <v>1143</v>
      </c>
      <c r="B460" s="12" t="s">
        <v>1144</v>
      </c>
      <c r="C460" s="16" t="s">
        <v>322</v>
      </c>
      <c r="D460" s="12" t="s">
        <v>9</v>
      </c>
      <c r="E460" s="12">
        <v>1944</v>
      </c>
      <c r="F460" s="12">
        <v>70.174792171703132</v>
      </c>
      <c r="G460" s="12">
        <v>65.716926650905236</v>
      </c>
      <c r="H460" s="12">
        <f>E460*G460</f>
        <v>127753.70540935978</v>
      </c>
      <c r="I460" s="12">
        <v>45.554953825409761</v>
      </c>
      <c r="J460" s="12">
        <v>16.027106627958265</v>
      </c>
      <c r="K460" s="12">
        <v>27.276174093733516</v>
      </c>
      <c r="L460" s="14">
        <v>48.758777977654425</v>
      </c>
      <c r="M460" s="12">
        <v>38.863376891557721</v>
      </c>
      <c r="N460" s="12">
        <v>15.118203270554663</v>
      </c>
      <c r="O460" s="12">
        <v>17.103759515515705</v>
      </c>
      <c r="P460" s="12">
        <v>42.247087871316765</v>
      </c>
      <c r="Q460" s="12">
        <v>628.07667996250325</v>
      </c>
      <c r="R460" s="12">
        <v>139.27135544905639</v>
      </c>
      <c r="S460" s="12">
        <v>1414.6244985656804</v>
      </c>
      <c r="T460" s="12">
        <v>1455.7548522180962</v>
      </c>
      <c r="U460" s="12">
        <v>36.119222034883101</v>
      </c>
      <c r="V460" s="15">
        <v>16.321624903310813</v>
      </c>
      <c r="W460" s="15">
        <v>62.019412706990778</v>
      </c>
      <c r="X460" s="15">
        <v>65.698597187506266</v>
      </c>
      <c r="Y460" s="12">
        <v>26.746305578326265</v>
      </c>
      <c r="Z460" s="12">
        <v>36.293040335808236</v>
      </c>
      <c r="AA460" s="12">
        <v>82.867246793185544</v>
      </c>
      <c r="AB460" s="12">
        <v>87.379971323979447</v>
      </c>
      <c r="AC460" s="12">
        <v>36.117515127686225</v>
      </c>
      <c r="AD460" s="12">
        <v>23.927501887315273</v>
      </c>
      <c r="AE460" s="12">
        <v>38.564287574112477</v>
      </c>
      <c r="AF460" s="12">
        <v>46.909393998022146</v>
      </c>
      <c r="AG460" s="12">
        <v>804.37214005089004</v>
      </c>
      <c r="AH460" s="12">
        <v>568.07291656904692</v>
      </c>
      <c r="AI460" s="12">
        <v>2262.2511563976873</v>
      </c>
      <c r="AJ460" s="12">
        <v>2343.4000012192719</v>
      </c>
      <c r="AK460" s="12">
        <v>1956.6415436681721</v>
      </c>
      <c r="AL460" s="12">
        <v>3729.1343827787955</v>
      </c>
      <c r="AM460" s="12">
        <v>2233.3644571359032</v>
      </c>
      <c r="AN460" s="12">
        <v>4152.5888637113612</v>
      </c>
      <c r="AP460" s="12">
        <f t="shared" si="159"/>
        <v>0.7419515863343068</v>
      </c>
      <c r="AQ460" s="12">
        <f t="shared" ref="AQ460:AQ478" si="179">P460/G460</f>
        <v>0.64286463205647826</v>
      </c>
      <c r="AR460" s="12">
        <f t="shared" ref="AR460:AR478" si="180">X460/G460</f>
        <v>0.9997210845921578</v>
      </c>
      <c r="AS460" s="12">
        <f t="shared" ref="AS460:AS478" si="181">AB460/G460</f>
        <v>1.3296417799351821</v>
      </c>
      <c r="AT460" s="12">
        <f t="shared" ref="AT460:AT478" si="182">AF460/G460</f>
        <v>0.7138099176063033</v>
      </c>
      <c r="AU460" s="12">
        <f t="shared" ref="AU460:AU478" si="183">I460/$L460</f>
        <v>0.93429236159870666</v>
      </c>
      <c r="AV460" s="12">
        <f t="shared" ref="AV460:AV478" si="184">J460/$L460</f>
        <v>0.32870197516646743</v>
      </c>
      <c r="AW460" s="12">
        <f t="shared" ref="AW460:AW478" si="185">K460/$L460</f>
        <v>0.55941053539598273</v>
      </c>
      <c r="AX460" s="12">
        <f t="shared" ref="AX460:AX478" si="186">M460/$P460</f>
        <v>0.91990664563518043</v>
      </c>
      <c r="AY460" s="12">
        <f t="shared" ref="AY460:AY478" si="187">N460/$P460</f>
        <v>0.357851961692702</v>
      </c>
      <c r="AZ460" s="12">
        <f t="shared" ref="AZ460:AZ478" si="188">O460/$P460</f>
        <v>0.40485061520957827</v>
      </c>
      <c r="BA460" s="12">
        <f t="shared" ref="BA460:BA478" si="189">U460/$X460</f>
        <v>0.54977158693050143</v>
      </c>
      <c r="BB460" s="12">
        <f t="shared" ref="BB460:BB478" si="190">V460/$X460</f>
        <v>0.24843186311464585</v>
      </c>
      <c r="BC460" s="12">
        <f t="shared" ref="BC460:BC478" si="191">W460/$X460</f>
        <v>0.94399904049678629</v>
      </c>
      <c r="BD460" s="12">
        <f t="shared" ref="BD460:BD478" si="192">Y460/$AB460</f>
        <v>0.30609194730859735</v>
      </c>
      <c r="BE460" s="12">
        <f t="shared" ref="BE460:BE478" si="193">Z460/$AB460</f>
        <v>0.41534735919338117</v>
      </c>
      <c r="BF460" s="12">
        <f t="shared" ref="BF460:BF478" si="194">AA460/$AB460</f>
        <v>0.948355161229545</v>
      </c>
      <c r="BG460" s="12">
        <f t="shared" ref="BG460:BG478" si="195">AC460/$AF460</f>
        <v>0.76994205316762476</v>
      </c>
      <c r="BH460" s="12">
        <f t="shared" ref="BH460:BH478" si="196">AD460/$AF460</f>
        <v>0.51007910885235774</v>
      </c>
      <c r="BI460" s="12">
        <f t="shared" ref="BI460:BI478" si="197">AE460/$AF460</f>
        <v>0.82210159388838988</v>
      </c>
    </row>
    <row r="461" spans="1:61" x14ac:dyDescent="0.55000000000000004">
      <c r="A461" s="12" t="s">
        <v>1145</v>
      </c>
      <c r="B461" s="12" t="s">
        <v>1146</v>
      </c>
      <c r="C461" s="16" t="s">
        <v>322</v>
      </c>
      <c r="D461" s="12" t="s">
        <v>9</v>
      </c>
      <c r="E461" s="12">
        <v>2009</v>
      </c>
      <c r="F461" s="12">
        <v>69.392527320179312</v>
      </c>
      <c r="G461" s="12">
        <v>53.367140471304346</v>
      </c>
      <c r="H461" s="12">
        <f t="shared" si="158"/>
        <v>107214.58520685043</v>
      </c>
      <c r="I461" s="12">
        <v>40.048444835486002</v>
      </c>
      <c r="J461" s="12">
        <v>14.323533706187503</v>
      </c>
      <c r="K461" s="12">
        <v>23.457020622517991</v>
      </c>
      <c r="L461" s="14">
        <v>46.564678639192167</v>
      </c>
      <c r="M461" s="12">
        <v>38.034573609157079</v>
      </c>
      <c r="N461" s="12">
        <v>17.65878300029798</v>
      </c>
      <c r="O461" s="12">
        <v>5.2767679887054628</v>
      </c>
      <c r="P461" s="12">
        <v>41.837769720799237</v>
      </c>
      <c r="Q461" s="12">
        <v>487.92610743088545</v>
      </c>
      <c r="R461" s="12">
        <v>34.982982232459321</v>
      </c>
      <c r="S461" s="12">
        <v>1043.2961859471848</v>
      </c>
      <c r="T461" s="12">
        <v>1044.7343620511119</v>
      </c>
      <c r="U461" s="12">
        <v>30.383832545396693</v>
      </c>
      <c r="V461" s="15">
        <v>34.670776008199681</v>
      </c>
      <c r="W461" s="15">
        <v>46.117265008068969</v>
      </c>
      <c r="X461" s="15">
        <v>56.092376684633045</v>
      </c>
      <c r="Y461" s="12">
        <v>27.083292685206835</v>
      </c>
      <c r="Z461" s="12">
        <v>25.779117630788122</v>
      </c>
      <c r="AA461" s="12">
        <v>52.137280692752867</v>
      </c>
      <c r="AB461" s="12">
        <v>60.740696378189099</v>
      </c>
      <c r="AC461" s="12">
        <v>33.977825157239963</v>
      </c>
      <c r="AD461" s="12">
        <v>19.855916468651102</v>
      </c>
      <c r="AE461" s="12">
        <v>31.765961984911662</v>
      </c>
      <c r="AF461" s="12">
        <v>42.434497911146821</v>
      </c>
      <c r="AG461" s="12">
        <v>919.42223683868565</v>
      </c>
      <c r="AH461" s="12">
        <v>338.50045612787142</v>
      </c>
      <c r="AI461" s="12">
        <v>1951.7606922852572</v>
      </c>
      <c r="AJ461" s="12">
        <v>2129.160265891082</v>
      </c>
      <c r="AK461" s="12">
        <v>763.68020078908614</v>
      </c>
      <c r="AL461" s="12">
        <v>1840.4472195230276</v>
      </c>
      <c r="AM461" s="12">
        <v>1576.5413210895542</v>
      </c>
      <c r="AN461" s="12">
        <v>1848.8057692639993</v>
      </c>
      <c r="AP461" s="12">
        <f t="shared" si="159"/>
        <v>0.87253463888008242</v>
      </c>
      <c r="AQ461" s="12">
        <f t="shared" si="179"/>
        <v>0.78396124190494176</v>
      </c>
      <c r="AR461" s="12">
        <f t="shared" si="180"/>
        <v>1.0510658092088345</v>
      </c>
      <c r="AS461" s="12">
        <f t="shared" si="181"/>
        <v>1.1381665916848127</v>
      </c>
      <c r="AT461" s="12">
        <f t="shared" si="182"/>
        <v>0.79514280766015488</v>
      </c>
      <c r="AU461" s="12">
        <f t="shared" si="183"/>
        <v>0.86006058681952047</v>
      </c>
      <c r="AV461" s="12">
        <f t="shared" si="184"/>
        <v>0.30760512312720639</v>
      </c>
      <c r="AW461" s="12">
        <f t="shared" si="185"/>
        <v>0.50375136923579844</v>
      </c>
      <c r="AX461" s="12">
        <f t="shared" si="186"/>
        <v>0.90909658576395302</v>
      </c>
      <c r="AY461" s="12">
        <f t="shared" si="187"/>
        <v>0.42207754185135471</v>
      </c>
      <c r="AZ461" s="12">
        <f t="shared" si="188"/>
        <v>0.12612450481752543</v>
      </c>
      <c r="BA461" s="12">
        <f t="shared" si="189"/>
        <v>0.5416749002493344</v>
      </c>
      <c r="BB461" s="12">
        <f t="shared" si="190"/>
        <v>0.6181013901965402</v>
      </c>
      <c r="BC461" s="12">
        <f t="shared" si="191"/>
        <v>0.82216635724588871</v>
      </c>
      <c r="BD461" s="12">
        <f t="shared" si="192"/>
        <v>0.44588380278978762</v>
      </c>
      <c r="BE461" s="12">
        <f t="shared" si="193"/>
        <v>0.42441261243170308</v>
      </c>
      <c r="BF461" s="12">
        <f t="shared" si="194"/>
        <v>0.85835829685144072</v>
      </c>
      <c r="BG461" s="12">
        <f t="shared" si="195"/>
        <v>0.80071231733166248</v>
      </c>
      <c r="BH461" s="12">
        <f t="shared" si="196"/>
        <v>0.46791920362124256</v>
      </c>
      <c r="BI461" s="12">
        <f t="shared" si="197"/>
        <v>0.74858814286965525</v>
      </c>
    </row>
    <row r="462" spans="1:61" x14ac:dyDescent="0.55000000000000004">
      <c r="A462" s="12" t="s">
        <v>1147</v>
      </c>
      <c r="B462" s="12" t="s">
        <v>1148</v>
      </c>
      <c r="C462" s="16" t="s">
        <v>515</v>
      </c>
      <c r="D462" s="12" t="s">
        <v>9</v>
      </c>
      <c r="E462" s="12">
        <v>2318</v>
      </c>
      <c r="F462" s="12">
        <v>72.328245188328168</v>
      </c>
      <c r="G462" s="12">
        <v>33.855094050363292</v>
      </c>
      <c r="H462" s="12">
        <f t="shared" si="158"/>
        <v>78476.108008742114</v>
      </c>
      <c r="I462" s="12">
        <v>59.587818250224302</v>
      </c>
      <c r="J462" s="12">
        <v>16.360568494705948</v>
      </c>
      <c r="K462" s="12">
        <v>18.937953227866338</v>
      </c>
      <c r="L462" s="14">
        <v>60.831234909519964</v>
      </c>
      <c r="M462" s="12">
        <v>30.959316972079971</v>
      </c>
      <c r="N462" s="12">
        <v>18.411016327201864</v>
      </c>
      <c r="O462" s="12">
        <v>16.691342656172942</v>
      </c>
      <c r="P462" s="12">
        <v>36.729566016447336</v>
      </c>
      <c r="Q462" s="12">
        <v>309.90805084206806</v>
      </c>
      <c r="R462" s="12">
        <v>170.04250170758692</v>
      </c>
      <c r="S462" s="12">
        <v>884.70836902373662</v>
      </c>
      <c r="T462" s="12">
        <v>932.54593651204129</v>
      </c>
      <c r="U462" s="12">
        <v>25.524839325378544</v>
      </c>
      <c r="V462" s="15">
        <v>12.036131414695896</v>
      </c>
      <c r="W462" s="15">
        <v>39.313145846452628</v>
      </c>
      <c r="X462" s="15">
        <v>42.437015800331224</v>
      </c>
      <c r="Y462" s="12">
        <v>26.423486822864554</v>
      </c>
      <c r="Z462" s="12">
        <v>26.764679883024591</v>
      </c>
      <c r="AA462" s="12">
        <v>32.203821165365213</v>
      </c>
      <c r="AB462" s="12">
        <v>40.174997026876504</v>
      </c>
      <c r="AC462" s="12">
        <v>28.630719457263613</v>
      </c>
      <c r="AD462" s="12">
        <v>19.375782641810297</v>
      </c>
      <c r="AE462" s="12">
        <v>22.126074007417643</v>
      </c>
      <c r="AF462" s="12">
        <v>38.245082591899312</v>
      </c>
      <c r="AG462" s="12">
        <v>797.50397377922809</v>
      </c>
      <c r="AH462" s="12">
        <v>149.04534030738512</v>
      </c>
      <c r="AI462" s="12">
        <v>1425.4536360320035</v>
      </c>
      <c r="AJ462" s="12">
        <v>1497.7566578597164</v>
      </c>
      <c r="AP462" s="12">
        <f t="shared" si="159"/>
        <v>1.7968118717681483</v>
      </c>
      <c r="AQ462" s="12">
        <f t="shared" si="179"/>
        <v>1.0849051537652781</v>
      </c>
      <c r="AR462" s="12">
        <f t="shared" si="180"/>
        <v>1.2534898215672168</v>
      </c>
      <c r="AS462" s="12">
        <f t="shared" si="181"/>
        <v>1.1866750973165705</v>
      </c>
      <c r="AT462" s="12">
        <f t="shared" si="182"/>
        <v>1.1296699555761214</v>
      </c>
      <c r="AU462" s="12">
        <f t="shared" si="183"/>
        <v>0.97955956900850172</v>
      </c>
      <c r="AV462" s="12">
        <f t="shared" si="184"/>
        <v>0.26895012930512696</v>
      </c>
      <c r="AW462" s="12">
        <f t="shared" si="185"/>
        <v>0.31131955903960429</v>
      </c>
      <c r="AX462" s="12">
        <f t="shared" si="186"/>
        <v>0.84289906823882776</v>
      </c>
      <c r="AY462" s="12">
        <f t="shared" si="187"/>
        <v>0.50125874939435688</v>
      </c>
      <c r="AZ462" s="12">
        <f t="shared" si="188"/>
        <v>0.45443887490254126</v>
      </c>
      <c r="BA462" s="12">
        <f t="shared" si="189"/>
        <v>0.60147583056910714</v>
      </c>
      <c r="BB462" s="12">
        <f t="shared" si="190"/>
        <v>0.2836234166729969</v>
      </c>
      <c r="BC462" s="12">
        <f t="shared" si="191"/>
        <v>0.92638808608558632</v>
      </c>
      <c r="BD462" s="12">
        <f t="shared" si="192"/>
        <v>0.65770973934827215</v>
      </c>
      <c r="BE462" s="12">
        <f t="shared" si="193"/>
        <v>0.66620241104484468</v>
      </c>
      <c r="BF462" s="12">
        <f t="shared" si="194"/>
        <v>0.80158863842158623</v>
      </c>
      <c r="BG462" s="12">
        <f t="shared" si="195"/>
        <v>0.74861178266426032</v>
      </c>
      <c r="BH462" s="12">
        <f t="shared" si="196"/>
        <v>0.50662154004379845</v>
      </c>
      <c r="BI462" s="12">
        <f t="shared" si="197"/>
        <v>0.57853382730317771</v>
      </c>
    </row>
    <row r="463" spans="1:61" x14ac:dyDescent="0.55000000000000004">
      <c r="A463" s="12" t="s">
        <v>1149</v>
      </c>
      <c r="B463" s="12" t="s">
        <v>1150</v>
      </c>
      <c r="C463" s="16" t="s">
        <v>515</v>
      </c>
      <c r="D463" s="12" t="s">
        <v>9</v>
      </c>
      <c r="E463" s="12">
        <v>2622</v>
      </c>
      <c r="F463" s="12">
        <v>71.094517976013591</v>
      </c>
      <c r="G463" s="12">
        <v>40.203468200295617</v>
      </c>
      <c r="H463" s="12">
        <f t="shared" si="158"/>
        <v>105413.4936211751</v>
      </c>
      <c r="I463" s="12">
        <v>28.129358465439594</v>
      </c>
      <c r="J463" s="12">
        <v>23.077779015823211</v>
      </c>
      <c r="K463" s="12">
        <v>26.158146457496542</v>
      </c>
      <c r="L463" s="14">
        <v>42.394810239793372</v>
      </c>
      <c r="M463" s="12">
        <v>29.628121512250793</v>
      </c>
      <c r="N463" s="12">
        <v>17.735337712357016</v>
      </c>
      <c r="O463" s="12">
        <v>15.368725977857581</v>
      </c>
      <c r="P463" s="12">
        <v>32.322142002423689</v>
      </c>
      <c r="Q463" s="12">
        <v>561.25639999760915</v>
      </c>
      <c r="R463" s="12">
        <v>194.9157685579292</v>
      </c>
      <c r="S463" s="12">
        <v>659.81979025242322</v>
      </c>
      <c r="T463" s="12">
        <v>695.0035688572159</v>
      </c>
      <c r="U463" s="12">
        <v>56.395058252352563</v>
      </c>
      <c r="V463" s="15">
        <v>24.836286009688195</v>
      </c>
      <c r="W463" s="15">
        <v>41.440225061195676</v>
      </c>
      <c r="X463" s="15">
        <v>61.167016463792088</v>
      </c>
      <c r="Y463" s="12">
        <v>22.609464005107291</v>
      </c>
      <c r="Z463" s="12">
        <v>37.681043375900082</v>
      </c>
      <c r="AA463" s="12">
        <v>12.900032954249792</v>
      </c>
      <c r="AB463" s="12">
        <v>40.416525521415693</v>
      </c>
      <c r="AC463" s="12">
        <v>49.484110597904746</v>
      </c>
      <c r="AD463" s="12">
        <v>17.273780745880153</v>
      </c>
      <c r="AE463" s="12">
        <v>19.208982146116426</v>
      </c>
      <c r="AF463" s="12">
        <v>52.710851327812868</v>
      </c>
      <c r="AG463" s="12">
        <v>1002.1740788650076</v>
      </c>
      <c r="AH463" s="12">
        <v>683.02639881590494</v>
      </c>
      <c r="AI463" s="12">
        <v>1692.2163494566726</v>
      </c>
      <c r="AJ463" s="12">
        <v>1899.1616009537217</v>
      </c>
      <c r="AK463" s="12">
        <v>6493.4189456096501</v>
      </c>
      <c r="AL463" s="12">
        <v>420.26787837418715</v>
      </c>
      <c r="AM463" s="12">
        <v>2163.9670370697841</v>
      </c>
      <c r="AN463" s="12">
        <v>6825.8197141347728</v>
      </c>
      <c r="AP463" s="12">
        <f t="shared" si="159"/>
        <v>1.0545062935511031</v>
      </c>
      <c r="AQ463" s="12">
        <f t="shared" si="179"/>
        <v>0.80396402224288754</v>
      </c>
      <c r="AR463" s="12">
        <f t="shared" si="180"/>
        <v>1.5214363138785705</v>
      </c>
      <c r="AS463" s="12">
        <f t="shared" si="181"/>
        <v>1.005299476156102</v>
      </c>
      <c r="AT463" s="12">
        <f t="shared" si="182"/>
        <v>1.3111020936105529</v>
      </c>
      <c r="AU463" s="12">
        <f t="shared" si="183"/>
        <v>0.66350947925782466</v>
      </c>
      <c r="AV463" s="12">
        <f t="shared" si="184"/>
        <v>0.54435386985554979</v>
      </c>
      <c r="AW463" s="12">
        <f t="shared" si="185"/>
        <v>0.61701293883711072</v>
      </c>
      <c r="AX463" s="12">
        <f t="shared" si="186"/>
        <v>0.91665092957110073</v>
      </c>
      <c r="AY463" s="12">
        <f t="shared" si="187"/>
        <v>0.54870551930089051</v>
      </c>
      <c r="AZ463" s="12">
        <f t="shared" si="188"/>
        <v>0.47548599893859606</v>
      </c>
      <c r="BA463" s="12">
        <f t="shared" si="189"/>
        <v>0.92198478056773792</v>
      </c>
      <c r="BB463" s="12">
        <f t="shared" si="190"/>
        <v>0.406040501000896</v>
      </c>
      <c r="BC463" s="12">
        <f t="shared" si="191"/>
        <v>0.67749299306966004</v>
      </c>
      <c r="BD463" s="12">
        <f t="shared" si="192"/>
        <v>0.5594113722894638</v>
      </c>
      <c r="BE463" s="12">
        <f t="shared" si="193"/>
        <v>0.93231773116998518</v>
      </c>
      <c r="BF463" s="12">
        <f t="shared" si="194"/>
        <v>0.31917718774253345</v>
      </c>
      <c r="BG463" s="12">
        <f t="shared" si="195"/>
        <v>0.93878412796179722</v>
      </c>
      <c r="BH463" s="12">
        <f t="shared" si="196"/>
        <v>0.32770824812623822</v>
      </c>
      <c r="BI463" s="12">
        <f t="shared" si="197"/>
        <v>0.36442177772190165</v>
      </c>
    </row>
    <row r="464" spans="1:61" x14ac:dyDescent="0.55000000000000004">
      <c r="A464" s="12" t="s">
        <v>1151</v>
      </c>
      <c r="B464" s="12" t="s">
        <v>1152</v>
      </c>
      <c r="C464" s="12" t="s">
        <v>8</v>
      </c>
      <c r="D464" s="12" t="s">
        <v>9</v>
      </c>
      <c r="E464" s="12">
        <v>2169</v>
      </c>
      <c r="F464" s="12">
        <v>73.262272947304595</v>
      </c>
      <c r="G464" s="12">
        <v>41.886308199166294</v>
      </c>
      <c r="H464" s="12">
        <f t="shared" si="158"/>
        <v>90851.402483991696</v>
      </c>
      <c r="I464" s="12">
        <v>39.114097286922089</v>
      </c>
      <c r="J464" s="12">
        <v>12.740143434234431</v>
      </c>
      <c r="K464" s="12">
        <v>19.80138268978132</v>
      </c>
      <c r="L464" s="14">
        <v>44.068550186713011</v>
      </c>
      <c r="M464" s="12">
        <v>33.680936846870338</v>
      </c>
      <c r="N464" s="12">
        <v>12.342273820394954</v>
      </c>
      <c r="O464" s="12">
        <v>11.143754319563007</v>
      </c>
      <c r="P464" s="12">
        <v>36.464303403988431</v>
      </c>
      <c r="Q464" s="12">
        <v>607.73207137386544</v>
      </c>
      <c r="R464" s="12">
        <v>55.688776334696627</v>
      </c>
      <c r="S464" s="12">
        <v>686.33567333082556</v>
      </c>
      <c r="T464" s="12">
        <v>732.70473325186549</v>
      </c>
      <c r="U464" s="12">
        <v>26.151360181438022</v>
      </c>
      <c r="V464" s="15">
        <v>15.484139615330189</v>
      </c>
      <c r="W464" s="15">
        <v>34.498960531333964</v>
      </c>
      <c r="X464" s="15">
        <v>37.965270506599268</v>
      </c>
      <c r="Y464" s="12">
        <v>23.076993526299482</v>
      </c>
      <c r="Z464" s="12">
        <v>18.267287547048038</v>
      </c>
      <c r="AA464" s="12">
        <v>18.277885773214969</v>
      </c>
      <c r="AB464" s="12">
        <v>31.155309793253821</v>
      </c>
      <c r="AC464" s="12">
        <v>31.154328843060942</v>
      </c>
      <c r="AD464" s="12">
        <v>12.472932369456943</v>
      </c>
      <c r="AE464" s="12">
        <v>28.514194176224269</v>
      </c>
      <c r="AF464" s="12">
        <v>39.067131884743688</v>
      </c>
      <c r="AG464" s="12">
        <v>680.61759683186506</v>
      </c>
      <c r="AH464" s="12">
        <v>64.936711326256827</v>
      </c>
      <c r="AI464" s="12">
        <v>1219.1512037296654</v>
      </c>
      <c r="AJ464" s="12">
        <v>1326.2452373210103</v>
      </c>
      <c r="AK464" s="12">
        <v>635.22097375064232</v>
      </c>
      <c r="AL464" s="12">
        <v>3150.1484106185881</v>
      </c>
      <c r="AM464" s="12">
        <v>812.27025792501979</v>
      </c>
      <c r="AN464" s="12">
        <v>3168.3508461398583</v>
      </c>
      <c r="AP464" s="12">
        <f t="shared" si="159"/>
        <v>1.0520991722920607</v>
      </c>
      <c r="AQ464" s="12">
        <f t="shared" si="179"/>
        <v>0.8705542448525988</v>
      </c>
      <c r="AR464" s="12">
        <f t="shared" si="180"/>
        <v>0.9063885584300535</v>
      </c>
      <c r="AS464" s="12">
        <f t="shared" si="181"/>
        <v>0.74380653566107158</v>
      </c>
      <c r="AT464" s="12">
        <f t="shared" si="182"/>
        <v>0.93269456212236157</v>
      </c>
      <c r="AU464" s="12">
        <f t="shared" si="183"/>
        <v>0.88757395288023966</v>
      </c>
      <c r="AV464" s="12">
        <f t="shared" si="184"/>
        <v>0.28909831115968226</v>
      </c>
      <c r="AW464" s="12">
        <f t="shared" si="185"/>
        <v>0.44933138498737318</v>
      </c>
      <c r="AX464" s="12">
        <f t="shared" si="186"/>
        <v>0.92366873086039403</v>
      </c>
      <c r="AY464" s="12">
        <f t="shared" si="187"/>
        <v>0.33847551353593025</v>
      </c>
      <c r="AZ464" s="12">
        <f t="shared" si="188"/>
        <v>0.30560721799896262</v>
      </c>
      <c r="BA464" s="12">
        <f t="shared" si="189"/>
        <v>0.68882322797864148</v>
      </c>
      <c r="BB464" s="12">
        <f t="shared" si="190"/>
        <v>0.40785010639233238</v>
      </c>
      <c r="BC464" s="12">
        <f t="shared" si="191"/>
        <v>0.90869787231826049</v>
      </c>
      <c r="BD464" s="12">
        <f t="shared" si="192"/>
        <v>0.74070820285332017</v>
      </c>
      <c r="BE464" s="12">
        <f t="shared" si="193"/>
        <v>0.58632983168100372</v>
      </c>
      <c r="BF464" s="12">
        <f t="shared" si="194"/>
        <v>0.58667000567501182</v>
      </c>
      <c r="BG464" s="12">
        <f t="shared" si="195"/>
        <v>0.79745625901007555</v>
      </c>
      <c r="BH464" s="12">
        <f t="shared" si="196"/>
        <v>0.3192692109125066</v>
      </c>
      <c r="BI464" s="12">
        <f t="shared" si="197"/>
        <v>0.72987682485489802</v>
      </c>
    </row>
    <row r="465" spans="1:61" x14ac:dyDescent="0.55000000000000004">
      <c r="A465" s="12" t="s">
        <v>1153</v>
      </c>
      <c r="B465" s="12" t="s">
        <v>1154</v>
      </c>
      <c r="C465" s="17" t="s">
        <v>322</v>
      </c>
      <c r="D465" s="12" t="s">
        <v>9</v>
      </c>
      <c r="E465" s="12">
        <v>1990</v>
      </c>
      <c r="F465" s="12">
        <v>68.913567200227874</v>
      </c>
      <c r="G465" s="12">
        <v>43.790985385935713</v>
      </c>
      <c r="H465" s="12">
        <f t="shared" si="158"/>
        <v>87144.060918012066</v>
      </c>
      <c r="I465" s="12">
        <v>38.426759442491658</v>
      </c>
      <c r="J465" s="12">
        <v>9.9014970279703753</v>
      </c>
      <c r="K465" s="12">
        <v>19.431594032102804</v>
      </c>
      <c r="L465" s="14">
        <v>42.30318604692296</v>
      </c>
      <c r="M465" s="12">
        <v>35.365099261555699</v>
      </c>
      <c r="N465" s="12">
        <v>10.487838138074505</v>
      </c>
      <c r="O465" s="12">
        <v>8.5529580207043985</v>
      </c>
      <c r="P465" s="12">
        <v>36.731521798688284</v>
      </c>
      <c r="Q465" s="12">
        <v>478.4811815905307</v>
      </c>
      <c r="R465" s="12">
        <v>225.49645387260608</v>
      </c>
      <c r="S465" s="12">
        <v>662.32072048462214</v>
      </c>
      <c r="T465" s="12">
        <v>671.36380837935189</v>
      </c>
      <c r="U465" s="12">
        <v>37.265603766157888</v>
      </c>
      <c r="V465" s="15">
        <v>24.606279247992713</v>
      </c>
      <c r="W465" s="15">
        <v>51.819196826687204</v>
      </c>
      <c r="X465" s="15">
        <v>56.118039778421462</v>
      </c>
      <c r="Y465" s="12">
        <v>28.92275385321971</v>
      </c>
      <c r="Z465" s="12">
        <v>25.364867197486127</v>
      </c>
      <c r="AA465" s="12">
        <v>16.380061332211927</v>
      </c>
      <c r="AB465" s="12">
        <v>39.557856172913141</v>
      </c>
      <c r="AC465" s="12">
        <v>37.99493289066038</v>
      </c>
      <c r="AD465" s="12">
        <v>16.14443751865339</v>
      </c>
      <c r="AE465" s="12">
        <v>33.232258817124119</v>
      </c>
      <c r="AF465" s="12">
        <v>45.215315221398122</v>
      </c>
      <c r="AG465" s="12">
        <v>801.91110520709276</v>
      </c>
      <c r="AH465" s="12">
        <v>275.11367659385678</v>
      </c>
      <c r="AI465" s="12">
        <v>1858.5150211363987</v>
      </c>
      <c r="AJ465" s="12">
        <v>1976.2379676893383</v>
      </c>
      <c r="AK465" s="12">
        <v>679.84145907482048</v>
      </c>
      <c r="AL465" s="12">
        <v>2176.4712261127338</v>
      </c>
      <c r="AM465" s="12">
        <v>953.637944282391</v>
      </c>
      <c r="AN465" s="12">
        <v>2178.2595138524734</v>
      </c>
      <c r="AP465" s="12">
        <f t="shared" si="159"/>
        <v>0.9660249860581902</v>
      </c>
      <c r="AQ465" s="12">
        <f t="shared" si="179"/>
        <v>0.83879185350520324</v>
      </c>
      <c r="AR465" s="12">
        <f t="shared" si="180"/>
        <v>1.2814975338838759</v>
      </c>
      <c r="AS465" s="12">
        <f t="shared" si="181"/>
        <v>0.90333331904465164</v>
      </c>
      <c r="AT465" s="12">
        <f t="shared" si="182"/>
        <v>1.0325256402181773</v>
      </c>
      <c r="AU465" s="12">
        <f t="shared" si="183"/>
        <v>0.90836561104093805</v>
      </c>
      <c r="AV465" s="12">
        <f t="shared" si="184"/>
        <v>0.23406031444032543</v>
      </c>
      <c r="AW465" s="12">
        <f t="shared" si="185"/>
        <v>0.45934114774592055</v>
      </c>
      <c r="AX465" s="12">
        <f t="shared" si="186"/>
        <v>0.96279972976286043</v>
      </c>
      <c r="AY465" s="12">
        <f t="shared" si="187"/>
        <v>0.28552691597027802</v>
      </c>
      <c r="AZ465" s="12">
        <f t="shared" si="188"/>
        <v>0.232850630790087</v>
      </c>
      <c r="BA465" s="12">
        <f t="shared" si="189"/>
        <v>0.66405747444669794</v>
      </c>
      <c r="BB465" s="12">
        <f t="shared" si="190"/>
        <v>0.43847360572730365</v>
      </c>
      <c r="BC465" s="12">
        <f t="shared" si="191"/>
        <v>0.92339641639822112</v>
      </c>
      <c r="BD465" s="12">
        <f t="shared" si="192"/>
        <v>0.73115069044172032</v>
      </c>
      <c r="BE465" s="12">
        <f t="shared" si="193"/>
        <v>0.64120934882347025</v>
      </c>
      <c r="BF465" s="12">
        <f t="shared" si="194"/>
        <v>0.41407859062463592</v>
      </c>
      <c r="BG465" s="12">
        <f t="shared" si="195"/>
        <v>0.84031113583123485</v>
      </c>
      <c r="BH465" s="12">
        <f t="shared" si="196"/>
        <v>0.35705683880786138</v>
      </c>
      <c r="BI465" s="12">
        <f t="shared" si="197"/>
        <v>0.73497793069453099</v>
      </c>
    </row>
    <row r="466" spans="1:61" x14ac:dyDescent="0.55000000000000004">
      <c r="A466" s="12" t="s">
        <v>1155</v>
      </c>
      <c r="B466" s="12" t="s">
        <v>1156</v>
      </c>
      <c r="C466" s="17" t="s">
        <v>134</v>
      </c>
      <c r="D466" s="12" t="s">
        <v>9</v>
      </c>
      <c r="E466" s="12">
        <v>1736</v>
      </c>
      <c r="F466" s="12">
        <v>70.64839364981593</v>
      </c>
      <c r="G466" s="12">
        <v>49.354982621403494</v>
      </c>
      <c r="H466" s="12">
        <f t="shared" si="158"/>
        <v>85680.249830756467</v>
      </c>
      <c r="I466" s="12">
        <v>32.291792892217643</v>
      </c>
      <c r="J466" s="12">
        <v>46.119675013273067</v>
      </c>
      <c r="K466" s="12">
        <v>29.487018526922387</v>
      </c>
      <c r="L466" s="14">
        <v>56.314034130234646</v>
      </c>
      <c r="M466" s="12">
        <v>36.157410181860755</v>
      </c>
      <c r="N466" s="12">
        <v>13.477833958434996</v>
      </c>
      <c r="O466" s="12">
        <v>16.960473469293209</v>
      </c>
      <c r="P466" s="12">
        <v>39.958120268447054</v>
      </c>
      <c r="Q466" s="12">
        <v>209.09146965766348</v>
      </c>
      <c r="R466" s="12">
        <v>71.656367781305732</v>
      </c>
      <c r="S466" s="12">
        <v>1498.6872404618052</v>
      </c>
      <c r="T466" s="12">
        <v>1498.6907796117878</v>
      </c>
      <c r="U466" s="12">
        <v>20.446724539181773</v>
      </c>
      <c r="V466" s="15">
        <v>10.321455659744794</v>
      </c>
      <c r="W466" s="15">
        <v>44.175046083636254</v>
      </c>
      <c r="X466" s="15">
        <v>48.447370706431983</v>
      </c>
      <c r="Y466" s="12">
        <v>32.950361998697474</v>
      </c>
      <c r="Z466" s="12">
        <v>22.036023384919417</v>
      </c>
      <c r="AA466" s="12">
        <v>16.449588629716796</v>
      </c>
      <c r="AB466" s="12">
        <v>40.330748540132312</v>
      </c>
      <c r="AC466" s="12">
        <v>45.427472280466702</v>
      </c>
      <c r="AD466" s="12">
        <v>28.244186064901587</v>
      </c>
      <c r="AE466" s="12">
        <v>36.961367583230007</v>
      </c>
      <c r="AF466" s="12">
        <v>56.828297181936904</v>
      </c>
      <c r="AG466" s="12">
        <v>679.4340623616639</v>
      </c>
      <c r="AH466" s="12">
        <v>434.6265751388043</v>
      </c>
      <c r="AI466" s="12">
        <v>1569.6458257613965</v>
      </c>
      <c r="AJ466" s="12">
        <v>1678.1826071776306</v>
      </c>
      <c r="AK466" s="12">
        <v>1297.5706913961449</v>
      </c>
      <c r="AL466" s="12">
        <v>2376.6943899710418</v>
      </c>
      <c r="AM466" s="12">
        <v>780.60460974925627</v>
      </c>
      <c r="AN466" s="12">
        <v>2605.8843205712437</v>
      </c>
      <c r="AP466" s="12">
        <f t="shared" si="159"/>
        <v>1.1409999789122256</v>
      </c>
      <c r="AQ466" s="12">
        <f t="shared" si="179"/>
        <v>0.80960661206106155</v>
      </c>
      <c r="AR466" s="12">
        <f t="shared" si="180"/>
        <v>0.98161053116088193</v>
      </c>
      <c r="AS466" s="12">
        <f t="shared" si="181"/>
        <v>0.81715657463614033</v>
      </c>
      <c r="AT466" s="12">
        <f t="shared" si="182"/>
        <v>1.1514196574206168</v>
      </c>
      <c r="AU466" s="12">
        <f t="shared" si="183"/>
        <v>0.5734235415906811</v>
      </c>
      <c r="AV466" s="12">
        <f t="shared" si="184"/>
        <v>0.81897302733834354</v>
      </c>
      <c r="AW466" s="12">
        <f t="shared" si="185"/>
        <v>0.52361758453903762</v>
      </c>
      <c r="AX466" s="12">
        <f t="shared" si="186"/>
        <v>0.90488266061936018</v>
      </c>
      <c r="AY466" s="12">
        <f t="shared" si="187"/>
        <v>0.33729899874889191</v>
      </c>
      <c r="AZ466" s="12">
        <f t="shared" si="188"/>
        <v>0.42445623956655576</v>
      </c>
      <c r="BA466" s="12">
        <f t="shared" si="189"/>
        <v>0.42203992169315435</v>
      </c>
      <c r="BB466" s="12">
        <f t="shared" si="190"/>
        <v>0.213044702101336</v>
      </c>
      <c r="BC466" s="12">
        <f t="shared" si="191"/>
        <v>0.91181513959376692</v>
      </c>
      <c r="BD466" s="12">
        <f t="shared" si="192"/>
        <v>0.81700348224157648</v>
      </c>
      <c r="BE466" s="12">
        <f t="shared" si="193"/>
        <v>0.54638270259208843</v>
      </c>
      <c r="BF466" s="12">
        <f t="shared" si="194"/>
        <v>0.40786717889324925</v>
      </c>
      <c r="BG466" s="12">
        <f t="shared" si="195"/>
        <v>0.79938119798011475</v>
      </c>
      <c r="BH466" s="12">
        <f t="shared" si="196"/>
        <v>0.49700919199597471</v>
      </c>
      <c r="BI466" s="12">
        <f t="shared" si="197"/>
        <v>0.65040427772976317</v>
      </c>
    </row>
    <row r="467" spans="1:61" x14ac:dyDescent="0.55000000000000004">
      <c r="A467" s="12" t="s">
        <v>1157</v>
      </c>
      <c r="B467" s="12" t="s">
        <v>1158</v>
      </c>
      <c r="C467" s="17" t="s">
        <v>322</v>
      </c>
      <c r="D467" s="12" t="s">
        <v>9</v>
      </c>
      <c r="E467" s="12">
        <v>2276</v>
      </c>
      <c r="F467" s="12">
        <v>69.804981598028135</v>
      </c>
      <c r="G467" s="12">
        <v>51.552791766821414</v>
      </c>
      <c r="H467" s="12">
        <f t="shared" si="158"/>
        <v>117334.15406128555</v>
      </c>
      <c r="I467" s="12">
        <v>40.935044115322889</v>
      </c>
      <c r="J467" s="12">
        <v>12.648691672289957</v>
      </c>
      <c r="K467" s="12">
        <v>35.358849510801143</v>
      </c>
      <c r="L467" s="14">
        <v>53.654985813352738</v>
      </c>
      <c r="M467" s="12">
        <v>33.315823295561309</v>
      </c>
      <c r="N467" s="12">
        <v>13.618249411265818</v>
      </c>
      <c r="O467" s="12">
        <v>22.354575331167439</v>
      </c>
      <c r="P467" s="12">
        <v>38.897328877534513</v>
      </c>
      <c r="Q467" s="12">
        <v>471.36370482386269</v>
      </c>
      <c r="R467" s="12">
        <v>147.10492463540197</v>
      </c>
      <c r="S467" s="12">
        <v>1572.072995584009</v>
      </c>
      <c r="T467" s="12">
        <v>1583.6867950785381</v>
      </c>
      <c r="U467" s="12">
        <v>29.087701310618641</v>
      </c>
      <c r="V467" s="15">
        <v>5.8268977310912469</v>
      </c>
      <c r="W467" s="15">
        <v>39.519250237780909</v>
      </c>
      <c r="X467" s="15">
        <v>44.425865926463402</v>
      </c>
      <c r="Y467" s="12">
        <v>30.086442566199398</v>
      </c>
      <c r="Z467" s="12">
        <v>14.098938219074533</v>
      </c>
      <c r="AA467" s="12">
        <v>42.319258715725589</v>
      </c>
      <c r="AB467" s="12">
        <v>45.319471870334823</v>
      </c>
      <c r="AC467" s="12">
        <v>44.900035120051712</v>
      </c>
      <c r="AD467" s="12">
        <v>12.366436868062392</v>
      </c>
      <c r="AE467" s="12">
        <v>24.665420702021564</v>
      </c>
      <c r="AF467" s="12">
        <v>50.615637175233992</v>
      </c>
      <c r="AG467" s="12">
        <v>695.06118676638687</v>
      </c>
      <c r="AH467" s="12">
        <v>202.64134728430906</v>
      </c>
      <c r="AI467" s="12">
        <v>1508.8189139704216</v>
      </c>
      <c r="AJ467" s="12">
        <v>1661.1749004147889</v>
      </c>
      <c r="AK467" s="12">
        <v>1862.2711677505868</v>
      </c>
      <c r="AL467" s="12">
        <v>1385.5607596257892</v>
      </c>
      <c r="AM467" s="12">
        <v>1829.3874781272843</v>
      </c>
      <c r="AN467" s="12">
        <v>2081.5462365666122</v>
      </c>
      <c r="AP467" s="12">
        <f t="shared" si="159"/>
        <v>1.0407775015568461</v>
      </c>
      <c r="AQ467" s="12">
        <f t="shared" si="179"/>
        <v>0.75451449949541305</v>
      </c>
      <c r="AR467" s="12">
        <f t="shared" si="180"/>
        <v>0.86175480325888398</v>
      </c>
      <c r="AS467" s="12">
        <f t="shared" si="181"/>
        <v>0.87908860640020159</v>
      </c>
      <c r="AT467" s="12">
        <f t="shared" si="182"/>
        <v>0.98182145797600506</v>
      </c>
      <c r="AU467" s="12">
        <f t="shared" si="183"/>
        <v>0.76293085339211242</v>
      </c>
      <c r="AV467" s="12">
        <f t="shared" si="184"/>
        <v>0.23574121734540029</v>
      </c>
      <c r="AW467" s="12">
        <f t="shared" si="185"/>
        <v>0.65900398583278785</v>
      </c>
      <c r="AX467" s="12">
        <f t="shared" si="186"/>
        <v>0.85650671285048441</v>
      </c>
      <c r="AY467" s="12">
        <f t="shared" si="187"/>
        <v>0.3501075730454889</v>
      </c>
      <c r="AZ467" s="12">
        <f t="shared" si="188"/>
        <v>0.57470720937032049</v>
      </c>
      <c r="BA467" s="12">
        <f t="shared" si="189"/>
        <v>0.6547469746288459</v>
      </c>
      <c r="BB467" s="12">
        <f t="shared" si="190"/>
        <v>0.13116002602484572</v>
      </c>
      <c r="BC467" s="12">
        <f t="shared" si="191"/>
        <v>0.88955497914651249</v>
      </c>
      <c r="BD467" s="12">
        <f t="shared" si="192"/>
        <v>0.66387451849131884</v>
      </c>
      <c r="BE467" s="12">
        <f t="shared" si="193"/>
        <v>0.31110111475732805</v>
      </c>
      <c r="BF467" s="12">
        <f t="shared" si="194"/>
        <v>0.93379858522638448</v>
      </c>
      <c r="BG467" s="12">
        <f t="shared" si="195"/>
        <v>0.88707833440099615</v>
      </c>
      <c r="BH467" s="12">
        <f t="shared" si="196"/>
        <v>0.24432048193425163</v>
      </c>
      <c r="BI467" s="12">
        <f t="shared" si="197"/>
        <v>0.48730831178966655</v>
      </c>
    </row>
    <row r="468" spans="1:61" x14ac:dyDescent="0.55000000000000004">
      <c r="A468" s="12" t="s">
        <v>1159</v>
      </c>
      <c r="B468" s="12" t="s">
        <v>1160</v>
      </c>
      <c r="C468" s="17" t="s">
        <v>322</v>
      </c>
      <c r="D468" s="12" t="s">
        <v>9</v>
      </c>
      <c r="E468" s="12">
        <v>2252</v>
      </c>
      <c r="F468" s="12">
        <v>72.145704556132983</v>
      </c>
      <c r="G468" s="12">
        <v>50.252175375462677</v>
      </c>
      <c r="H468" s="12">
        <f t="shared" si="158"/>
        <v>113167.89894554195</v>
      </c>
      <c r="I468" s="12">
        <v>36.099577844762116</v>
      </c>
      <c r="J468" s="12">
        <v>12.010041737367528</v>
      </c>
      <c r="K468" s="12">
        <v>33.81641728544831</v>
      </c>
      <c r="L468" s="14">
        <v>49.200096997740751</v>
      </c>
      <c r="M468" s="12">
        <v>35.428821424825585</v>
      </c>
      <c r="N468" s="12">
        <v>12.066255729368738</v>
      </c>
      <c r="O468" s="12">
        <v>17.034613150119284</v>
      </c>
      <c r="P468" s="12">
        <v>38.891454625783673</v>
      </c>
      <c r="Q468" s="12">
        <v>387.62413881066436</v>
      </c>
      <c r="R468" s="12">
        <v>58.155114134373804</v>
      </c>
      <c r="S468" s="12">
        <v>1486.8074547975339</v>
      </c>
      <c r="T468" s="12">
        <v>1495.524914669857</v>
      </c>
      <c r="U468" s="12">
        <v>33.350061388244008</v>
      </c>
      <c r="V468" s="15">
        <v>5.2536634406824962</v>
      </c>
      <c r="W468" s="15">
        <v>38.428817311553786</v>
      </c>
      <c r="X468" s="15">
        <v>43.969197403976679</v>
      </c>
      <c r="Y468" s="12">
        <v>40.263903310826663</v>
      </c>
      <c r="Z468" s="12">
        <v>14.921649977989492</v>
      </c>
      <c r="AA468" s="12">
        <v>41.62634587164662</v>
      </c>
      <c r="AB468" s="12">
        <v>43.093669654269767</v>
      </c>
      <c r="AC468" s="12">
        <v>41.702237456471472</v>
      </c>
      <c r="AD468" s="12">
        <v>12.457114661680111</v>
      </c>
      <c r="AE468" s="12">
        <v>39.854365384082008</v>
      </c>
      <c r="AF468" s="12">
        <v>54.481288160261442</v>
      </c>
      <c r="AG468" s="12">
        <v>729.71331042342285</v>
      </c>
      <c r="AH468" s="12">
        <v>66.629493753721192</v>
      </c>
      <c r="AI468" s="12">
        <v>1491.6948478239192</v>
      </c>
      <c r="AJ468" s="12">
        <v>1658.7124259939928</v>
      </c>
      <c r="AK468" s="12">
        <v>1427.140830244758</v>
      </c>
      <c r="AL468" s="12">
        <v>1544.2575330172526</v>
      </c>
      <c r="AM468" s="12">
        <v>1958.1332181211101</v>
      </c>
      <c r="AN468" s="12">
        <v>2410.3163507075856</v>
      </c>
      <c r="AP468" s="12">
        <f t="shared" si="159"/>
        <v>0.97906402320175701</v>
      </c>
      <c r="AQ468" s="12">
        <f t="shared" si="179"/>
        <v>0.77392579197225642</v>
      </c>
      <c r="AR468" s="12">
        <f t="shared" si="180"/>
        <v>0.8749710251438414</v>
      </c>
      <c r="AS468" s="12">
        <f t="shared" si="181"/>
        <v>0.85754834158506321</v>
      </c>
      <c r="AT468" s="12">
        <f t="shared" si="182"/>
        <v>1.0841578051736198</v>
      </c>
      <c r="AU468" s="12">
        <f t="shared" si="183"/>
        <v>0.73372981045992236</v>
      </c>
      <c r="AV468" s="12">
        <f t="shared" si="184"/>
        <v>0.24410605812258915</v>
      </c>
      <c r="AW468" s="12">
        <f t="shared" si="185"/>
        <v>0.68732419952345103</v>
      </c>
      <c r="AX468" s="12">
        <f t="shared" si="186"/>
        <v>0.91096673461366284</v>
      </c>
      <c r="AY468" s="12">
        <f t="shared" si="187"/>
        <v>0.31025467793558004</v>
      </c>
      <c r="AZ468" s="12">
        <f t="shared" si="188"/>
        <v>0.43800401178170212</v>
      </c>
      <c r="BA468" s="12">
        <f t="shared" si="189"/>
        <v>0.7584869262414089</v>
      </c>
      <c r="BB468" s="12">
        <f t="shared" si="190"/>
        <v>0.11948508844528835</v>
      </c>
      <c r="BC468" s="12">
        <f t="shared" si="191"/>
        <v>0.87399405903365868</v>
      </c>
      <c r="BD468" s="12">
        <f t="shared" si="192"/>
        <v>0.93433452369812908</v>
      </c>
      <c r="BE468" s="12">
        <f t="shared" si="193"/>
        <v>0.34626083361436449</v>
      </c>
      <c r="BF468" s="12">
        <f t="shared" si="194"/>
        <v>0.96595036360571895</v>
      </c>
      <c r="BG468" s="12">
        <f t="shared" si="195"/>
        <v>0.76544147292921416</v>
      </c>
      <c r="BH468" s="12">
        <f t="shared" si="196"/>
        <v>0.22864941491538204</v>
      </c>
      <c r="BI468" s="12">
        <f t="shared" si="197"/>
        <v>0.73152391820925622</v>
      </c>
    </row>
    <row r="469" spans="1:61" x14ac:dyDescent="0.55000000000000004">
      <c r="A469" s="12" t="s">
        <v>1161</v>
      </c>
      <c r="B469" s="12" t="s">
        <v>1162</v>
      </c>
      <c r="C469" s="12" t="s">
        <v>8</v>
      </c>
      <c r="D469" s="12" t="s">
        <v>9</v>
      </c>
      <c r="E469" s="12">
        <v>2159</v>
      </c>
      <c r="F469" s="12">
        <v>70.194231571944314</v>
      </c>
      <c r="G469" s="12">
        <v>43.300810255888997</v>
      </c>
      <c r="H469" s="12">
        <f t="shared" si="158"/>
        <v>93486.449342464344</v>
      </c>
      <c r="I469" s="12">
        <v>33.603287012169673</v>
      </c>
      <c r="J469" s="12">
        <v>29.171703431819097</v>
      </c>
      <c r="K469" s="12">
        <v>22.464576376122608</v>
      </c>
      <c r="L469" s="14">
        <v>39.322818272194141</v>
      </c>
      <c r="M469" s="12">
        <v>36.198253492114169</v>
      </c>
      <c r="N469" s="12">
        <v>17.219968035428586</v>
      </c>
      <c r="O469" s="12">
        <v>17.631368445288153</v>
      </c>
      <c r="P469" s="12">
        <v>42.972862686419489</v>
      </c>
      <c r="Q469" s="12">
        <v>680.62921681809894</v>
      </c>
      <c r="R469" s="12">
        <v>249.57841392377981</v>
      </c>
      <c r="S469" s="12">
        <v>964.90418956146129</v>
      </c>
      <c r="T469" s="12">
        <v>1179.7034577689421</v>
      </c>
      <c r="U469" s="12">
        <v>50.180546599330064</v>
      </c>
      <c r="V469" s="15">
        <v>12.832563945520974</v>
      </c>
      <c r="W469" s="15">
        <v>61.289963134090954</v>
      </c>
      <c r="X469" s="15">
        <v>64.685306704323963</v>
      </c>
      <c r="Y469" s="12">
        <v>28.056553423414414</v>
      </c>
      <c r="Z469" s="12">
        <v>29.473232925617207</v>
      </c>
      <c r="AA469" s="12">
        <v>26.728314158886565</v>
      </c>
      <c r="AB469" s="12">
        <v>44.634236887721102</v>
      </c>
      <c r="AC469" s="12">
        <v>36.994572933411291</v>
      </c>
      <c r="AD469" s="12">
        <v>28.928498663456612</v>
      </c>
      <c r="AE469" s="12">
        <v>51.726792232596026</v>
      </c>
      <c r="AF469" s="12">
        <v>61.151933670136621</v>
      </c>
      <c r="AG469" s="12">
        <v>763.65530896930068</v>
      </c>
      <c r="AH469" s="12">
        <v>970.58550430750086</v>
      </c>
      <c r="AI469" s="12">
        <v>2161.9953424171927</v>
      </c>
      <c r="AJ469" s="12">
        <v>2245.4154037306298</v>
      </c>
      <c r="AK469" s="12">
        <v>1864.5201383252936</v>
      </c>
      <c r="AL469" s="12">
        <v>3858.0898623828375</v>
      </c>
      <c r="AM469" s="12">
        <v>1999.3293982871917</v>
      </c>
      <c r="AN469" s="12">
        <v>4265.3468691089984</v>
      </c>
      <c r="AP469" s="12">
        <f t="shared" si="159"/>
        <v>0.90813123449222655</v>
      </c>
      <c r="AQ469" s="12">
        <f t="shared" si="179"/>
        <v>0.9924262948538034</v>
      </c>
      <c r="AR469" s="12">
        <f t="shared" si="180"/>
        <v>1.4938590368647116</v>
      </c>
      <c r="AS469" s="12">
        <f t="shared" si="181"/>
        <v>1.0307944960833788</v>
      </c>
      <c r="AT469" s="12">
        <f t="shared" si="182"/>
        <v>1.4122584152295357</v>
      </c>
      <c r="AU469" s="12">
        <f t="shared" si="183"/>
        <v>0.85454930467003554</v>
      </c>
      <c r="AV469" s="12">
        <f t="shared" si="184"/>
        <v>0.74185179785160327</v>
      </c>
      <c r="AW469" s="12">
        <f t="shared" si="185"/>
        <v>0.57128602076844803</v>
      </c>
      <c r="AX469" s="12">
        <f t="shared" si="186"/>
        <v>0.84235145692431912</v>
      </c>
      <c r="AY469" s="12">
        <f t="shared" si="187"/>
        <v>0.40071726570989025</v>
      </c>
      <c r="AZ469" s="12">
        <f t="shared" si="188"/>
        <v>0.41029075893657213</v>
      </c>
      <c r="BA469" s="12">
        <f t="shared" si="189"/>
        <v>0.7757642215210474</v>
      </c>
      <c r="BB469" s="12">
        <f t="shared" si="190"/>
        <v>0.19838452655374311</v>
      </c>
      <c r="BC469" s="12">
        <f t="shared" si="191"/>
        <v>0.94750981724871308</v>
      </c>
      <c r="BD469" s="12">
        <f t="shared" si="192"/>
        <v>0.62858817311006354</v>
      </c>
      <c r="BE469" s="12">
        <f t="shared" si="193"/>
        <v>0.66032792270557017</v>
      </c>
      <c r="BF469" s="12">
        <f t="shared" si="194"/>
        <v>0.59882986744284494</v>
      </c>
      <c r="BG469" s="12">
        <f t="shared" si="195"/>
        <v>0.60496162121325514</v>
      </c>
      <c r="BH469" s="12">
        <f t="shared" si="196"/>
        <v>0.47305942637074394</v>
      </c>
      <c r="BI469" s="12">
        <f t="shared" si="197"/>
        <v>0.84587337027834109</v>
      </c>
    </row>
    <row r="470" spans="1:61" x14ac:dyDescent="0.55000000000000004">
      <c r="A470" s="12" t="s">
        <v>1163</v>
      </c>
      <c r="B470" s="12" t="s">
        <v>1164</v>
      </c>
      <c r="C470" s="17" t="s">
        <v>322</v>
      </c>
      <c r="D470" s="12" t="s">
        <v>9</v>
      </c>
      <c r="E470" s="12">
        <v>1833</v>
      </c>
      <c r="F470" s="12">
        <v>71.515810474779812</v>
      </c>
      <c r="G470" s="12">
        <v>50.853435906052432</v>
      </c>
      <c r="H470" s="12">
        <f t="shared" si="158"/>
        <v>93214.348015794109</v>
      </c>
      <c r="I470" s="12">
        <v>36.79895036318608</v>
      </c>
      <c r="J470" s="12">
        <v>36.646686516431757</v>
      </c>
      <c r="K470" s="12">
        <v>26.755558574951912</v>
      </c>
      <c r="L470" s="14">
        <v>46.463242715816399</v>
      </c>
      <c r="M470" s="12">
        <v>44.757106917751891</v>
      </c>
      <c r="N470" s="12">
        <v>20.113683350164749</v>
      </c>
      <c r="O470" s="12">
        <v>20.92749795873668</v>
      </c>
      <c r="P470" s="12">
        <v>49.394309057748451</v>
      </c>
      <c r="Q470" s="12">
        <v>543.03913786727662</v>
      </c>
      <c r="R470" s="12">
        <v>44.18709676022786</v>
      </c>
      <c r="S470" s="12">
        <v>1872.5234628181261</v>
      </c>
      <c r="T470" s="12">
        <v>1892.1671290964366</v>
      </c>
      <c r="U470" s="12">
        <v>22.352320599067337</v>
      </c>
      <c r="V470" s="15">
        <v>13.428988284175325</v>
      </c>
      <c r="W470" s="15">
        <v>43.689480375460874</v>
      </c>
      <c r="X470" s="15">
        <v>49.532887592732763</v>
      </c>
      <c r="Y470" s="12">
        <v>28.109277416986949</v>
      </c>
      <c r="Z470" s="12">
        <v>25.851065119217456</v>
      </c>
      <c r="AA470" s="12">
        <v>17.943936197036731</v>
      </c>
      <c r="AB470" s="12">
        <v>38.020647686173739</v>
      </c>
      <c r="AC470" s="12">
        <v>44.748281983533758</v>
      </c>
      <c r="AD470" s="12">
        <v>19.832879056230155</v>
      </c>
      <c r="AE470" s="12">
        <v>29.625108380276494</v>
      </c>
      <c r="AF470" s="12">
        <v>54.983620098118863</v>
      </c>
      <c r="AG470" s="12">
        <v>726.62871122337651</v>
      </c>
      <c r="AH470" s="12">
        <v>392.77649825093727</v>
      </c>
      <c r="AI470" s="12">
        <v>1539.7478009134807</v>
      </c>
      <c r="AJ470" s="12">
        <v>1683.3057122152754</v>
      </c>
      <c r="AK470" s="12">
        <v>484.03718807932535</v>
      </c>
      <c r="AL470" s="12">
        <v>3326.9718986483667</v>
      </c>
      <c r="AM470" s="12">
        <v>430.11749752067431</v>
      </c>
      <c r="AN470" s="12">
        <v>3336.1356109566577</v>
      </c>
      <c r="AP470" s="12">
        <f t="shared" si="159"/>
        <v>0.91366968402397519</v>
      </c>
      <c r="AQ470" s="12">
        <f t="shared" si="179"/>
        <v>0.97130721214197602</v>
      </c>
      <c r="AR470" s="12">
        <f t="shared" si="180"/>
        <v>0.97403226960397971</v>
      </c>
      <c r="AS470" s="12">
        <f t="shared" si="181"/>
        <v>0.74765150100012467</v>
      </c>
      <c r="AT470" s="12">
        <f t="shared" si="182"/>
        <v>1.0812174068178324</v>
      </c>
      <c r="AU470" s="12">
        <f t="shared" si="183"/>
        <v>0.79200133723467969</v>
      </c>
      <c r="AV470" s="12">
        <f t="shared" si="184"/>
        <v>0.78872425544153812</v>
      </c>
      <c r="AW470" s="12">
        <f t="shared" si="185"/>
        <v>0.5758435488155057</v>
      </c>
      <c r="AX470" s="12">
        <f t="shared" si="186"/>
        <v>0.90611869609158702</v>
      </c>
      <c r="AY470" s="12">
        <f t="shared" si="187"/>
        <v>0.40720649268824077</v>
      </c>
      <c r="AZ470" s="12">
        <f t="shared" si="188"/>
        <v>0.42368237066075121</v>
      </c>
      <c r="BA470" s="12">
        <f t="shared" si="189"/>
        <v>0.45126221557789348</v>
      </c>
      <c r="BB470" s="12">
        <f t="shared" si="190"/>
        <v>0.27111256655559013</v>
      </c>
      <c r="BC470" s="12">
        <f t="shared" si="191"/>
        <v>0.88202974828931224</v>
      </c>
      <c r="BD470" s="12">
        <f t="shared" si="192"/>
        <v>0.73931611184017065</v>
      </c>
      <c r="BE470" s="12">
        <f t="shared" si="193"/>
        <v>0.67992174495802271</v>
      </c>
      <c r="BF470" s="12">
        <f t="shared" si="194"/>
        <v>0.47195240715381259</v>
      </c>
      <c r="BG470" s="12">
        <f t="shared" si="195"/>
        <v>0.81384750410540385</v>
      </c>
      <c r="BH470" s="12">
        <f t="shared" si="196"/>
        <v>0.36070522495314367</v>
      </c>
      <c r="BI470" s="12">
        <f t="shared" si="197"/>
        <v>0.5387987973038183</v>
      </c>
    </row>
    <row r="471" spans="1:61" x14ac:dyDescent="0.55000000000000004">
      <c r="A471" s="12" t="s">
        <v>1165</v>
      </c>
      <c r="B471" s="12" t="s">
        <v>1166</v>
      </c>
      <c r="C471" s="12" t="s">
        <v>8</v>
      </c>
      <c r="D471" s="12" t="s">
        <v>9</v>
      </c>
      <c r="E471" s="12">
        <v>1758</v>
      </c>
      <c r="F471" s="12">
        <v>71.660360414689663</v>
      </c>
      <c r="G471" s="12">
        <v>42.127065432617833</v>
      </c>
      <c r="H471" s="12">
        <f t="shared" si="158"/>
        <v>74059.38103054215</v>
      </c>
      <c r="I471" s="12">
        <v>47.124042016867605</v>
      </c>
      <c r="J471" s="12">
        <v>15.279526175927144</v>
      </c>
      <c r="K471" s="12">
        <v>26.379051308078694</v>
      </c>
      <c r="L471" s="14">
        <v>54.315845942779156</v>
      </c>
      <c r="M471" s="12">
        <v>42.402432390783424</v>
      </c>
      <c r="N471" s="12">
        <v>17.387129660933478</v>
      </c>
      <c r="O471" s="12">
        <v>19.202408139857702</v>
      </c>
      <c r="P471" s="12">
        <v>49.051532696879875</v>
      </c>
      <c r="Q471" s="12">
        <v>534.17213187709308</v>
      </c>
      <c r="R471" s="12">
        <v>113.2067861377237</v>
      </c>
      <c r="S471" s="12">
        <v>1377.0330033074551</v>
      </c>
      <c r="T471" s="12">
        <v>1380.2192240551631</v>
      </c>
      <c r="U471" s="12">
        <v>32.895768042041823</v>
      </c>
      <c r="V471" s="15">
        <v>22.883089206436608</v>
      </c>
      <c r="W471" s="15">
        <v>48.148326073261003</v>
      </c>
      <c r="X471" s="15">
        <v>60.322236104846127</v>
      </c>
      <c r="Y471" s="12">
        <v>31.564122698162329</v>
      </c>
      <c r="Z471" s="12">
        <v>30.325854516552482</v>
      </c>
      <c r="AA471" s="12">
        <v>38.590683766582998</v>
      </c>
      <c r="AB471" s="12">
        <v>51.702017761357894</v>
      </c>
      <c r="AC471" s="12">
        <v>35.448854854256084</v>
      </c>
      <c r="AD471" s="12">
        <v>23.069685408148704</v>
      </c>
      <c r="AE471" s="12">
        <v>75.861636008820497</v>
      </c>
      <c r="AF471" s="12">
        <v>77.591132625337039</v>
      </c>
      <c r="AG471" s="12">
        <v>1091.2531735769046</v>
      </c>
      <c r="AH471" s="12">
        <v>82.793791638047423</v>
      </c>
      <c r="AI471" s="12">
        <v>2027.924816072762</v>
      </c>
      <c r="AJ471" s="12">
        <v>2251.4508610453777</v>
      </c>
      <c r="AK471" s="12">
        <v>4153.4522520233013</v>
      </c>
      <c r="AL471" s="12">
        <v>4141.5620172986391</v>
      </c>
      <c r="AM471" s="12">
        <v>895.79522207757464</v>
      </c>
      <c r="AN471" s="12">
        <v>5392.0933238569996</v>
      </c>
      <c r="AP471" s="12">
        <f t="shared" si="159"/>
        <v>1.2893337189521843</v>
      </c>
      <c r="AQ471" s="12">
        <f t="shared" si="179"/>
        <v>1.1643709855683566</v>
      </c>
      <c r="AR471" s="12">
        <f t="shared" si="180"/>
        <v>1.4319116578706732</v>
      </c>
      <c r="AS471" s="12">
        <f t="shared" si="181"/>
        <v>1.2272874274628784</v>
      </c>
      <c r="AT471" s="12">
        <f t="shared" si="182"/>
        <v>1.8418356899187274</v>
      </c>
      <c r="AU471" s="12">
        <f t="shared" si="183"/>
        <v>0.86759289483426261</v>
      </c>
      <c r="AV471" s="12">
        <f t="shared" si="184"/>
        <v>0.28130881349107351</v>
      </c>
      <c r="AW471" s="12">
        <f t="shared" si="185"/>
        <v>0.48566032343247656</v>
      </c>
      <c r="AX471" s="12">
        <f t="shared" si="186"/>
        <v>0.86444663519108766</v>
      </c>
      <c r="AY471" s="12">
        <f t="shared" si="187"/>
        <v>0.35446659268283087</v>
      </c>
      <c r="AZ471" s="12">
        <f t="shared" si="188"/>
        <v>0.39147417183722683</v>
      </c>
      <c r="BA471" s="12">
        <f t="shared" si="189"/>
        <v>0.54533402881261994</v>
      </c>
      <c r="BB471" s="12">
        <f t="shared" si="190"/>
        <v>0.37934749578353649</v>
      </c>
      <c r="BC471" s="12">
        <f t="shared" si="191"/>
        <v>0.79818536550227281</v>
      </c>
      <c r="BD471" s="12">
        <f t="shared" si="192"/>
        <v>0.6105007901984314</v>
      </c>
      <c r="BE471" s="12">
        <f t="shared" si="193"/>
        <v>0.5865506962712399</v>
      </c>
      <c r="BF471" s="12">
        <f t="shared" si="194"/>
        <v>0.74640575817962929</v>
      </c>
      <c r="BG471" s="12">
        <f t="shared" si="195"/>
        <v>0.45686734623951625</v>
      </c>
      <c r="BH471" s="12">
        <f t="shared" si="196"/>
        <v>0.29732373568439702</v>
      </c>
      <c r="BI471" s="12">
        <f t="shared" si="197"/>
        <v>0.97771012539708979</v>
      </c>
    </row>
    <row r="472" spans="1:61" x14ac:dyDescent="0.55000000000000004">
      <c r="A472" s="12" t="s">
        <v>1167</v>
      </c>
      <c r="B472" s="12" t="s">
        <v>1168</v>
      </c>
      <c r="C472" s="16" t="s">
        <v>515</v>
      </c>
      <c r="D472" s="12" t="s">
        <v>9</v>
      </c>
      <c r="E472" s="12">
        <v>2270</v>
      </c>
      <c r="F472" s="12">
        <v>69.935244802272621</v>
      </c>
      <c r="G472" s="12">
        <v>42.856420782227445</v>
      </c>
      <c r="H472" s="12">
        <f t="shared" si="158"/>
        <v>97284.075175656297</v>
      </c>
      <c r="I472" s="12">
        <v>39.911218383607313</v>
      </c>
      <c r="J472" s="12">
        <v>19.222210264818109</v>
      </c>
      <c r="K472" s="12">
        <v>26.501606015515559</v>
      </c>
      <c r="L472" s="14">
        <v>46.626190089885888</v>
      </c>
      <c r="M472" s="12">
        <v>29.90503444423549</v>
      </c>
      <c r="N472" s="12">
        <v>16.263652618803579</v>
      </c>
      <c r="O472" s="12">
        <v>18.284012571422235</v>
      </c>
      <c r="P472" s="12">
        <v>33.687502717790892</v>
      </c>
      <c r="Q472" s="12">
        <v>535.62509097456564</v>
      </c>
      <c r="R472" s="12">
        <v>310.95784307337698</v>
      </c>
      <c r="S472" s="12">
        <v>1085.8846758368772</v>
      </c>
      <c r="T472" s="12">
        <v>1164.8077240560335</v>
      </c>
      <c r="U472" s="12">
        <v>47.104999011074142</v>
      </c>
      <c r="V472" s="15">
        <v>15.307271456056572</v>
      </c>
      <c r="W472" s="15">
        <v>73.392032951969099</v>
      </c>
      <c r="X472" s="15">
        <v>81.175951638895924</v>
      </c>
      <c r="Y472" s="12">
        <v>34.019599831263612</v>
      </c>
      <c r="Z472" s="12">
        <v>33.259083788468942</v>
      </c>
      <c r="AA472" s="12">
        <v>11.171708736397022</v>
      </c>
      <c r="AB472" s="12">
        <v>46.100641981350712</v>
      </c>
      <c r="AC472" s="12">
        <v>53.907232315357838</v>
      </c>
      <c r="AD472" s="12">
        <v>26.181922835222775</v>
      </c>
      <c r="AE472" s="12">
        <v>22.203703699509607</v>
      </c>
      <c r="AF472" s="12">
        <v>55.900933055263998</v>
      </c>
      <c r="AG472" s="12">
        <v>1184.0299504744457</v>
      </c>
      <c r="AH472" s="12">
        <v>120.32481504857452</v>
      </c>
      <c r="AI472" s="12">
        <v>2628.1505008977729</v>
      </c>
      <c r="AJ472" s="12">
        <v>2842.241616854154</v>
      </c>
      <c r="AK472" s="12">
        <v>1710.1081136428811</v>
      </c>
      <c r="AL472" s="12">
        <v>694.43426661452702</v>
      </c>
      <c r="AM472" s="12">
        <v>1271.0658443900534</v>
      </c>
      <c r="AN472" s="12">
        <v>1808.8865336411066</v>
      </c>
      <c r="AP472" s="12">
        <f t="shared" si="159"/>
        <v>1.0879627658785207</v>
      </c>
      <c r="AQ472" s="12">
        <f t="shared" si="179"/>
        <v>0.78605497386195855</v>
      </c>
      <c r="AR472" s="12">
        <f t="shared" si="180"/>
        <v>1.8941374514541724</v>
      </c>
      <c r="AS472" s="12">
        <f t="shared" si="181"/>
        <v>1.0756997700673279</v>
      </c>
      <c r="AT472" s="12">
        <f t="shared" si="182"/>
        <v>1.3043770813088085</v>
      </c>
      <c r="AU472" s="12">
        <f t="shared" si="183"/>
        <v>0.85598283511190887</v>
      </c>
      <c r="AV472" s="12">
        <f t="shared" si="184"/>
        <v>0.41226208334332198</v>
      </c>
      <c r="AW472" s="12">
        <f t="shared" si="185"/>
        <v>0.56838454877882605</v>
      </c>
      <c r="AX472" s="12">
        <f t="shared" si="186"/>
        <v>0.88771894713472421</v>
      </c>
      <c r="AY472" s="12">
        <f t="shared" si="187"/>
        <v>0.48278000168336888</v>
      </c>
      <c r="AZ472" s="12">
        <f t="shared" si="188"/>
        <v>0.54275357614342146</v>
      </c>
      <c r="BA472" s="12">
        <f t="shared" si="189"/>
        <v>0.58028268298740227</v>
      </c>
      <c r="BB472" s="12">
        <f t="shared" si="190"/>
        <v>0.18856904227189872</v>
      </c>
      <c r="BC472" s="12">
        <f t="shared" si="191"/>
        <v>0.90411053360294558</v>
      </c>
      <c r="BD472" s="12">
        <f t="shared" si="192"/>
        <v>0.73794199753282619</v>
      </c>
      <c r="BE472" s="12">
        <f t="shared" si="193"/>
        <v>0.72144513306177771</v>
      </c>
      <c r="BF472" s="12">
        <f t="shared" si="194"/>
        <v>0.24233304041441248</v>
      </c>
      <c r="BG472" s="12">
        <f t="shared" si="195"/>
        <v>0.96433510800373989</v>
      </c>
      <c r="BH472" s="12">
        <f t="shared" si="196"/>
        <v>0.46836289493306255</v>
      </c>
      <c r="BI472" s="12">
        <f t="shared" si="197"/>
        <v>0.3971973719572604</v>
      </c>
    </row>
    <row r="473" spans="1:61" x14ac:dyDescent="0.55000000000000004">
      <c r="A473" s="12" t="s">
        <v>1169</v>
      </c>
      <c r="B473" s="12" t="s">
        <v>1170</v>
      </c>
      <c r="C473" s="17" t="s">
        <v>322</v>
      </c>
      <c r="D473" s="12" t="s">
        <v>9</v>
      </c>
      <c r="E473" s="12">
        <v>1855</v>
      </c>
      <c r="F473" s="12">
        <v>70.085150600040734</v>
      </c>
      <c r="G473" s="12">
        <v>65.277926579630048</v>
      </c>
      <c r="H473" s="12">
        <f t="shared" si="158"/>
        <v>121090.55380521374</v>
      </c>
      <c r="I473" s="12">
        <v>40.960999190979294</v>
      </c>
      <c r="J473" s="12">
        <v>20.200726047688736</v>
      </c>
      <c r="K473" s="12">
        <v>23.838880975679942</v>
      </c>
      <c r="L473" s="14">
        <v>47.830816753923258</v>
      </c>
      <c r="M473" s="12">
        <v>35.939215549240814</v>
      </c>
      <c r="N473" s="12">
        <v>11.29216133517907</v>
      </c>
      <c r="O473" s="12">
        <v>10.192674473484313</v>
      </c>
      <c r="P473" s="12">
        <v>38.199322121065293</v>
      </c>
      <c r="Q473" s="12">
        <v>466.05456034765689</v>
      </c>
      <c r="R473" s="12">
        <v>51.609492357518022</v>
      </c>
      <c r="S473" s="12">
        <v>943.4150756642598</v>
      </c>
      <c r="T473" s="12">
        <v>1033.4097877775648</v>
      </c>
      <c r="U473" s="12">
        <v>43.890735113683547</v>
      </c>
      <c r="V473" s="15">
        <v>17.237090635442105</v>
      </c>
      <c r="W473" s="15">
        <v>53.525025986547455</v>
      </c>
      <c r="X473" s="15">
        <v>60.300313405233922</v>
      </c>
      <c r="Y473" s="12">
        <v>26.23020867313026</v>
      </c>
      <c r="Z473" s="12">
        <v>31.670920942672538</v>
      </c>
      <c r="AA473" s="12">
        <v>19.199235072198611</v>
      </c>
      <c r="AB473" s="12">
        <v>37.518293329698928</v>
      </c>
      <c r="AC473" s="12">
        <v>42.89197085559104</v>
      </c>
      <c r="AD473" s="12">
        <v>20.336254980344641</v>
      </c>
      <c r="AE473" s="12">
        <v>29.416476414847118</v>
      </c>
      <c r="AF473" s="12">
        <v>51.58092997193063</v>
      </c>
      <c r="AG473" s="12">
        <v>865.16671752813772</v>
      </c>
      <c r="AH473" s="12">
        <v>338.46749333543812</v>
      </c>
      <c r="AI473" s="12">
        <v>1927.8146066399993</v>
      </c>
      <c r="AJ473" s="12">
        <v>2053.4583422574424</v>
      </c>
      <c r="AK473" s="12">
        <v>675.7325924102679</v>
      </c>
      <c r="AL473" s="12">
        <v>3254.0007636344067</v>
      </c>
      <c r="AM473" s="12">
        <v>878.4804585533675</v>
      </c>
      <c r="AN473" s="12">
        <v>3284.4860875044114</v>
      </c>
      <c r="AP473" s="12">
        <f t="shared" si="159"/>
        <v>0.73272573533070595</v>
      </c>
      <c r="AQ473" s="12">
        <f t="shared" si="179"/>
        <v>0.58517977090567364</v>
      </c>
      <c r="AR473" s="12">
        <f t="shared" si="180"/>
        <v>0.92374737625399106</v>
      </c>
      <c r="AS473" s="12">
        <f t="shared" si="181"/>
        <v>0.57474701320256849</v>
      </c>
      <c r="AT473" s="12">
        <f t="shared" si="182"/>
        <v>0.79017414729018731</v>
      </c>
      <c r="AU473" s="12">
        <f t="shared" si="183"/>
        <v>0.85637256419250929</v>
      </c>
      <c r="AV473" s="12">
        <f t="shared" si="184"/>
        <v>0.42233705001560107</v>
      </c>
      <c r="AW473" s="12">
        <f t="shared" si="185"/>
        <v>0.49840003983884701</v>
      </c>
      <c r="AX473" s="12">
        <f t="shared" si="186"/>
        <v>0.94083385656265017</v>
      </c>
      <c r="AY473" s="12">
        <f t="shared" si="187"/>
        <v>0.29561156345630346</v>
      </c>
      <c r="AZ473" s="12">
        <f t="shared" si="188"/>
        <v>0.26682867411051486</v>
      </c>
      <c r="BA473" s="12">
        <f t="shared" si="189"/>
        <v>0.72786910440624575</v>
      </c>
      <c r="BB473" s="12">
        <f t="shared" si="190"/>
        <v>0.28585408038602278</v>
      </c>
      <c r="BC473" s="12">
        <f t="shared" si="191"/>
        <v>0.88764092529412308</v>
      </c>
      <c r="BD473" s="12">
        <f t="shared" si="192"/>
        <v>0.69913117962556182</v>
      </c>
      <c r="BE473" s="12">
        <f t="shared" si="193"/>
        <v>0.84414609866068469</v>
      </c>
      <c r="BF473" s="12">
        <f t="shared" si="194"/>
        <v>0.51172996872437104</v>
      </c>
      <c r="BG473" s="12">
        <f t="shared" si="195"/>
        <v>0.83154706359369723</v>
      </c>
      <c r="BH473" s="12">
        <f t="shared" si="196"/>
        <v>0.39425917662615328</v>
      </c>
      <c r="BI473" s="12">
        <f t="shared" si="197"/>
        <v>0.57029751946804774</v>
      </c>
    </row>
    <row r="474" spans="1:61" x14ac:dyDescent="0.55000000000000004">
      <c r="A474" s="12" t="s">
        <v>1171</v>
      </c>
      <c r="B474" s="12" t="s">
        <v>1172</v>
      </c>
      <c r="C474" s="17" t="s">
        <v>322</v>
      </c>
      <c r="D474" s="12" t="s">
        <v>9</v>
      </c>
      <c r="E474" s="12">
        <v>2311</v>
      </c>
      <c r="F474" s="12">
        <v>73.316604428740135</v>
      </c>
      <c r="G474" s="12">
        <v>34.252345264379663</v>
      </c>
      <c r="H474" s="12">
        <f t="shared" si="158"/>
        <v>79157.169905981398</v>
      </c>
      <c r="I474" s="12">
        <v>42.508000544843924</v>
      </c>
      <c r="J474" s="12">
        <v>13.920391629868003</v>
      </c>
      <c r="K474" s="12">
        <v>19.579166922059358</v>
      </c>
      <c r="L474" s="14">
        <v>47.479641849099544</v>
      </c>
      <c r="M474" s="12">
        <v>29.725940477118506</v>
      </c>
      <c r="N474" s="12">
        <v>11.163665805702736</v>
      </c>
      <c r="O474" s="12">
        <v>7.8329540096261052</v>
      </c>
      <c r="P474" s="12">
        <v>31.798583494432421</v>
      </c>
      <c r="Q474" s="12">
        <v>496.3898814165297</v>
      </c>
      <c r="R474" s="12">
        <v>97.63259139016607</v>
      </c>
      <c r="S474" s="12">
        <v>972.22185682367558</v>
      </c>
      <c r="T474" s="12">
        <v>1028.0836996721384</v>
      </c>
      <c r="U474" s="12">
        <v>20.945064193961059</v>
      </c>
      <c r="V474" s="15">
        <v>10.753772920380676</v>
      </c>
      <c r="W474" s="15">
        <v>44.010753263508896</v>
      </c>
      <c r="X474" s="15">
        <v>46.779363369537187</v>
      </c>
      <c r="Y474" s="12">
        <v>27.294397724707888</v>
      </c>
      <c r="Z474" s="12">
        <v>20.198667662168042</v>
      </c>
      <c r="AA474" s="12">
        <v>50.306227827584422</v>
      </c>
      <c r="AB474" s="12">
        <v>56.659995842334453</v>
      </c>
      <c r="AC474" s="12">
        <v>31.271282757745151</v>
      </c>
      <c r="AD474" s="12">
        <v>22.905442111653464</v>
      </c>
      <c r="AE474" s="12">
        <v>23.397185842852778</v>
      </c>
      <c r="AF474" s="12">
        <v>38.794025152474482</v>
      </c>
      <c r="AG474" s="12">
        <v>610.31644478773183</v>
      </c>
      <c r="AH474" s="12">
        <v>42.319461327880788</v>
      </c>
      <c r="AI474" s="12">
        <v>1598.8448840711026</v>
      </c>
      <c r="AJ474" s="12">
        <v>1674.4646128409761</v>
      </c>
      <c r="AK474" s="12">
        <v>1404.7107209121093</v>
      </c>
      <c r="AL474" s="12">
        <v>1119.3642915330599</v>
      </c>
      <c r="AM474" s="12">
        <v>2119.0903127950428</v>
      </c>
      <c r="AN474" s="12">
        <v>2541.9519975583839</v>
      </c>
      <c r="AP474" s="12">
        <f t="shared" si="159"/>
        <v>1.386171997351535</v>
      </c>
      <c r="AQ474" s="12">
        <f t="shared" si="179"/>
        <v>0.9283622259729174</v>
      </c>
      <c r="AR474" s="12">
        <f t="shared" si="180"/>
        <v>1.3657273103043504</v>
      </c>
      <c r="AS474" s="12">
        <f t="shared" si="181"/>
        <v>1.6541931772846332</v>
      </c>
      <c r="AT474" s="12">
        <f t="shared" si="182"/>
        <v>1.1325947129470837</v>
      </c>
      <c r="AU474" s="12">
        <f t="shared" si="183"/>
        <v>0.89528898890904529</v>
      </c>
      <c r="AV474" s="12">
        <f t="shared" si="184"/>
        <v>0.29318653401198741</v>
      </c>
      <c r="AW474" s="12">
        <f t="shared" si="185"/>
        <v>0.41236972646689579</v>
      </c>
      <c r="AX474" s="12">
        <f t="shared" si="186"/>
        <v>0.93481964321848454</v>
      </c>
      <c r="AY474" s="12">
        <f t="shared" si="187"/>
        <v>0.35107431145973439</v>
      </c>
      <c r="AZ474" s="12">
        <f t="shared" si="188"/>
        <v>0.24633028106417282</v>
      </c>
      <c r="BA474" s="12">
        <f t="shared" si="189"/>
        <v>0.44774153997145943</v>
      </c>
      <c r="BB474" s="12">
        <f t="shared" si="190"/>
        <v>0.22988284033346965</v>
      </c>
      <c r="BC474" s="12">
        <f t="shared" si="191"/>
        <v>0.94081556680971812</v>
      </c>
      <c r="BD474" s="12">
        <f t="shared" si="192"/>
        <v>0.48172255078625381</v>
      </c>
      <c r="BE474" s="12">
        <f t="shared" si="193"/>
        <v>0.35648904243434965</v>
      </c>
      <c r="BF474" s="12">
        <f t="shared" si="194"/>
        <v>0.88786148109804996</v>
      </c>
      <c r="BG474" s="12">
        <f t="shared" si="195"/>
        <v>0.80608502558932094</v>
      </c>
      <c r="BH474" s="12">
        <f t="shared" si="196"/>
        <v>0.59043736816756787</v>
      </c>
      <c r="BI474" s="12">
        <f t="shared" si="197"/>
        <v>0.60311312762450964</v>
      </c>
    </row>
    <row r="475" spans="1:61" x14ac:dyDescent="0.55000000000000004">
      <c r="A475" s="12" t="s">
        <v>1173</v>
      </c>
      <c r="B475" s="12" t="s">
        <v>1174</v>
      </c>
      <c r="C475" s="17" t="s">
        <v>322</v>
      </c>
      <c r="D475" s="12" t="s">
        <v>9</v>
      </c>
      <c r="E475" s="12">
        <v>2216</v>
      </c>
      <c r="F475" s="12">
        <v>72.624352347420242</v>
      </c>
      <c r="G475" s="12">
        <v>50.730526778337051</v>
      </c>
      <c r="H475" s="12">
        <f t="shared" si="158"/>
        <v>112418.84734079491</v>
      </c>
      <c r="I475" s="12">
        <v>30.121656964710052</v>
      </c>
      <c r="J475" s="12">
        <v>14.954781907046884</v>
      </c>
      <c r="K475" s="12">
        <v>30.40057103809113</v>
      </c>
      <c r="L475" s="14">
        <v>40.154675837943174</v>
      </c>
      <c r="M475" s="12">
        <v>36.417593881717622</v>
      </c>
      <c r="N475" s="12">
        <v>15.355202542490407</v>
      </c>
      <c r="O475" s="12">
        <v>11.746949456622744</v>
      </c>
      <c r="P475" s="12">
        <v>39.326182409448997</v>
      </c>
      <c r="Q475" s="12">
        <v>708.25346061794653</v>
      </c>
      <c r="R475" s="12">
        <v>146.17102247049075</v>
      </c>
      <c r="S475" s="12">
        <v>1409.3649336784927</v>
      </c>
      <c r="T475" s="12">
        <v>1410.4065925780001</v>
      </c>
      <c r="U475" s="12">
        <v>24.2569446120926</v>
      </c>
      <c r="V475" s="15">
        <v>10.242897689011256</v>
      </c>
      <c r="W475" s="15">
        <v>54.650417170972332</v>
      </c>
      <c r="X475" s="15">
        <v>58.921579762150365</v>
      </c>
      <c r="Y475" s="12">
        <v>34.372784365841852</v>
      </c>
      <c r="Z475" s="12">
        <v>18.660826018209157</v>
      </c>
      <c r="AA475" s="12">
        <v>17.613219953800979</v>
      </c>
      <c r="AB475" s="12">
        <v>39.594599486362604</v>
      </c>
      <c r="AC475" s="12">
        <v>52.054052471131769</v>
      </c>
      <c r="AD475" s="12">
        <v>29.744398679021653</v>
      </c>
      <c r="AE475" s="12">
        <v>37.615185974507718</v>
      </c>
      <c r="AF475" s="12">
        <v>65.66942185802462</v>
      </c>
      <c r="AG475" s="12">
        <v>808.51489212355762</v>
      </c>
      <c r="AH475" s="12">
        <v>391.09518251549548</v>
      </c>
      <c r="AI475" s="12">
        <v>1973.6799636823876</v>
      </c>
      <c r="AJ475" s="12">
        <v>2099.7729731176814</v>
      </c>
      <c r="AK475" s="12">
        <v>1521.6388263764329</v>
      </c>
      <c r="AL475" s="12">
        <v>2370.9190373227852</v>
      </c>
      <c r="AM475" s="12">
        <v>2578.8133207134238</v>
      </c>
      <c r="AN475" s="12">
        <v>2956.1989092318981</v>
      </c>
      <c r="AP475" s="12">
        <f t="shared" si="159"/>
        <v>0.7915288562524847</v>
      </c>
      <c r="AQ475" s="12">
        <f t="shared" si="179"/>
        <v>0.77519759613933403</v>
      </c>
      <c r="AR475" s="12">
        <f t="shared" si="180"/>
        <v>1.1614620131898781</v>
      </c>
      <c r="AS475" s="12">
        <f t="shared" si="181"/>
        <v>0.78048863279831526</v>
      </c>
      <c r="AT475" s="12">
        <f t="shared" si="182"/>
        <v>1.2944754574491582</v>
      </c>
      <c r="AU475" s="12">
        <f t="shared" si="183"/>
        <v>0.75014070805291699</v>
      </c>
      <c r="AV475" s="12">
        <f t="shared" si="184"/>
        <v>0.37242940193071439</v>
      </c>
      <c r="AW475" s="12">
        <f t="shared" si="185"/>
        <v>0.75708670045755566</v>
      </c>
      <c r="AX475" s="12">
        <f t="shared" si="186"/>
        <v>0.92603938776847761</v>
      </c>
      <c r="AY475" s="12">
        <f t="shared" si="187"/>
        <v>0.39045749171933292</v>
      </c>
      <c r="AZ475" s="12">
        <f t="shared" si="188"/>
        <v>0.2987055629839187</v>
      </c>
      <c r="BA475" s="12">
        <f t="shared" si="189"/>
        <v>0.41168184407157743</v>
      </c>
      <c r="BB475" s="12">
        <f t="shared" si="190"/>
        <v>0.17383949531494092</v>
      </c>
      <c r="BC475" s="12">
        <f t="shared" si="191"/>
        <v>0.92751106456378973</v>
      </c>
      <c r="BD475" s="12">
        <f t="shared" si="192"/>
        <v>0.86811799618482621</v>
      </c>
      <c r="BE475" s="12">
        <f t="shared" si="193"/>
        <v>0.47129725417822255</v>
      </c>
      <c r="BF475" s="12">
        <f t="shared" si="194"/>
        <v>0.44483894728793566</v>
      </c>
      <c r="BG475" s="12">
        <f t="shared" si="195"/>
        <v>0.79266804851230632</v>
      </c>
      <c r="BH475" s="12">
        <f t="shared" si="196"/>
        <v>0.45294138180975885</v>
      </c>
      <c r="BI475" s="12">
        <f t="shared" si="197"/>
        <v>0.572796058047087</v>
      </c>
    </row>
    <row r="476" spans="1:61" x14ac:dyDescent="0.55000000000000004">
      <c r="A476" s="12" t="s">
        <v>1175</v>
      </c>
      <c r="B476" s="12" t="s">
        <v>1176</v>
      </c>
      <c r="C476" s="17" t="s">
        <v>322</v>
      </c>
      <c r="D476" s="12" t="s">
        <v>9</v>
      </c>
      <c r="E476" s="12">
        <v>1920</v>
      </c>
      <c r="F476" s="12">
        <v>72.132259937914753</v>
      </c>
      <c r="G476" s="12">
        <v>46.989525982955172</v>
      </c>
      <c r="H476" s="12">
        <f t="shared" si="158"/>
        <v>90219.889887273923</v>
      </c>
      <c r="I476" s="12">
        <v>25.688281416124639</v>
      </c>
      <c r="J476" s="12">
        <v>33.177492847838813</v>
      </c>
      <c r="K476" s="12">
        <v>24.394918208816172</v>
      </c>
      <c r="L476" s="14">
        <v>37.978961296039017</v>
      </c>
      <c r="M476" s="12">
        <v>44.017221163605541</v>
      </c>
      <c r="N476" s="12">
        <v>21.687320997571565</v>
      </c>
      <c r="O476" s="12">
        <v>22.143873302853606</v>
      </c>
      <c r="P476" s="12">
        <v>52.48128192826028</v>
      </c>
      <c r="Q476" s="12">
        <v>307.16385259683904</v>
      </c>
      <c r="R476" s="12">
        <v>80.576972398474012</v>
      </c>
      <c r="S476" s="12">
        <v>1440.6668757997979</v>
      </c>
      <c r="T476" s="12">
        <v>1441.831186149238</v>
      </c>
      <c r="U476" s="12">
        <v>21.801615841142326</v>
      </c>
      <c r="V476" s="15">
        <v>13.604774482499771</v>
      </c>
      <c r="W476" s="15">
        <v>46.873865209326482</v>
      </c>
      <c r="X476" s="15">
        <v>52.458475413301713</v>
      </c>
      <c r="Y476" s="12">
        <v>26.78915037188079</v>
      </c>
      <c r="Z476" s="12">
        <v>26.66557369464989</v>
      </c>
      <c r="AA476" s="12">
        <v>12.354167993749339</v>
      </c>
      <c r="AB476" s="12">
        <v>37.046418688848426</v>
      </c>
      <c r="AC476" s="12">
        <v>46.14217974257339</v>
      </c>
      <c r="AD476" s="12">
        <v>20.109638514093618</v>
      </c>
      <c r="AE476" s="12">
        <v>26.67173788716326</v>
      </c>
      <c r="AF476" s="12">
        <v>53.440746053359057</v>
      </c>
      <c r="AG476" s="12">
        <v>728.74691038013907</v>
      </c>
      <c r="AH476" s="12">
        <v>237.3181406000422</v>
      </c>
      <c r="AI476" s="12">
        <v>1710.1461005854976</v>
      </c>
      <c r="AJ476" s="12">
        <v>1855.2916627159707</v>
      </c>
      <c r="AK476" s="12">
        <v>1531.1637382763552</v>
      </c>
      <c r="AL476" s="12">
        <v>2110.5793838280397</v>
      </c>
      <c r="AM476" s="12">
        <v>1248.018241151854</v>
      </c>
      <c r="AN476" s="12">
        <v>2224.2106498065505</v>
      </c>
      <c r="AP476" s="12">
        <f t="shared" si="159"/>
        <v>0.80824312443192936</v>
      </c>
      <c r="AQ476" s="12">
        <f t="shared" si="179"/>
        <v>1.116871916249957</v>
      </c>
      <c r="AR476" s="12">
        <f t="shared" si="180"/>
        <v>1.1163865630891943</v>
      </c>
      <c r="AS476" s="12">
        <f t="shared" si="181"/>
        <v>0.78839736970929486</v>
      </c>
      <c r="AT476" s="12">
        <f t="shared" si="182"/>
        <v>1.137290596903318</v>
      </c>
      <c r="AU476" s="12">
        <f t="shared" si="183"/>
        <v>0.67638188458839643</v>
      </c>
      <c r="AV476" s="12">
        <f t="shared" si="184"/>
        <v>0.87357557225502713</v>
      </c>
      <c r="AW476" s="12">
        <f t="shared" si="185"/>
        <v>0.64232715630799564</v>
      </c>
      <c r="AX476" s="12">
        <f t="shared" si="186"/>
        <v>0.83872229386041375</v>
      </c>
      <c r="AY476" s="12">
        <f t="shared" si="187"/>
        <v>0.41323916262596683</v>
      </c>
      <c r="AZ476" s="12">
        <f t="shared" si="188"/>
        <v>0.42193849862744121</v>
      </c>
      <c r="BA476" s="12">
        <f t="shared" si="189"/>
        <v>0.41559758779444372</v>
      </c>
      <c r="BB476" s="12">
        <f t="shared" si="190"/>
        <v>0.25934368803730151</v>
      </c>
      <c r="BC476" s="12">
        <f t="shared" si="191"/>
        <v>0.89354227014841603</v>
      </c>
      <c r="BD476" s="12">
        <f t="shared" si="192"/>
        <v>0.72312388943400785</v>
      </c>
      <c r="BE476" s="12">
        <f t="shared" si="193"/>
        <v>0.71978816410334046</v>
      </c>
      <c r="BF476" s="12">
        <f t="shared" si="194"/>
        <v>0.33347806430390919</v>
      </c>
      <c r="BG476" s="12">
        <f t="shared" si="195"/>
        <v>0.86342693824861172</v>
      </c>
      <c r="BH476" s="12">
        <f t="shared" si="196"/>
        <v>0.37629786257128073</v>
      </c>
      <c r="BI476" s="12">
        <f t="shared" si="197"/>
        <v>0.49908992401663504</v>
      </c>
    </row>
    <row r="477" spans="1:61" x14ac:dyDescent="0.55000000000000004">
      <c r="A477" s="12" t="s">
        <v>1212</v>
      </c>
      <c r="B477" s="12" t="s">
        <v>1213</v>
      </c>
      <c r="C477" s="17" t="s">
        <v>322</v>
      </c>
      <c r="D477" s="12" t="s">
        <v>9</v>
      </c>
      <c r="E477" s="12">
        <v>2648</v>
      </c>
      <c r="F477" s="12">
        <v>74.120671791878138</v>
      </c>
      <c r="G477" s="12">
        <v>43.52012256773704</v>
      </c>
      <c r="H477" s="12">
        <f t="shared" si="158"/>
        <v>115241.28455936768</v>
      </c>
      <c r="I477" s="12">
        <v>43.170853163211156</v>
      </c>
      <c r="J477" s="12">
        <v>27.034117534671335</v>
      </c>
      <c r="K477" s="12">
        <v>27.564400326470011</v>
      </c>
      <c r="L477" s="14">
        <v>49.205782053779608</v>
      </c>
      <c r="M477" s="12">
        <v>37.929473379931324</v>
      </c>
      <c r="N477" s="12">
        <v>16.597405767567551</v>
      </c>
      <c r="O477" s="12">
        <v>13.903884804462921</v>
      </c>
      <c r="P477" s="12">
        <v>39.241551951679575</v>
      </c>
      <c r="Q477" s="12">
        <v>411.90971134565416</v>
      </c>
      <c r="R477" s="12">
        <v>45.213486537470082</v>
      </c>
      <c r="S477" s="12">
        <v>1519.4123760969596</v>
      </c>
      <c r="T477" s="12">
        <v>1572.1409003314</v>
      </c>
      <c r="U477" s="12">
        <v>25.002517330045379</v>
      </c>
      <c r="V477" s="15">
        <v>27.633796644810673</v>
      </c>
      <c r="W477" s="15">
        <v>55.52564500627129</v>
      </c>
      <c r="X477" s="15">
        <v>62.621267298305206</v>
      </c>
      <c r="Y477" s="12">
        <v>31.807007439600753</v>
      </c>
      <c r="Z477" s="12">
        <v>31.623779482196156</v>
      </c>
      <c r="AA477" s="12">
        <v>15.76890572388896</v>
      </c>
      <c r="AB477" s="12">
        <v>43.673313102442052</v>
      </c>
      <c r="AC477" s="12">
        <v>39.857355681078808</v>
      </c>
      <c r="AD477" s="12">
        <v>20.905054371293133</v>
      </c>
      <c r="AE477" s="12">
        <v>31.226035650865285</v>
      </c>
      <c r="AF477" s="12">
        <v>43.067477251280771</v>
      </c>
      <c r="AG477" s="12">
        <v>752.00145481255743</v>
      </c>
      <c r="AH477" s="12">
        <v>519.4189056380028</v>
      </c>
      <c r="AI477" s="12">
        <v>2061.1767321512784</v>
      </c>
      <c r="AJ477" s="12">
        <v>2173.8450459444412</v>
      </c>
      <c r="AK477" s="12">
        <v>3546.7315858749866</v>
      </c>
      <c r="AL477" s="12">
        <v>1287.8062857357108</v>
      </c>
      <c r="AM477" s="12">
        <v>1235.1468265881881</v>
      </c>
      <c r="AN477" s="12">
        <v>3565.1873187701467</v>
      </c>
      <c r="AP477" s="12">
        <f t="shared" si="159"/>
        <v>1.1306443812788693</v>
      </c>
      <c r="AQ477" s="12">
        <f t="shared" si="179"/>
        <v>0.90168753294759063</v>
      </c>
      <c r="AR477" s="12">
        <f t="shared" si="180"/>
        <v>1.438903743913821</v>
      </c>
      <c r="AS477" s="12">
        <f t="shared" si="181"/>
        <v>1.003519993181696</v>
      </c>
      <c r="AT477" s="12">
        <f t="shared" si="182"/>
        <v>0.98959917183707957</v>
      </c>
      <c r="AU477" s="12">
        <f t="shared" si="183"/>
        <v>0.87735325730678237</v>
      </c>
      <c r="AV477" s="12">
        <f t="shared" si="184"/>
        <v>0.54940936626358905</v>
      </c>
      <c r="AW477" s="12">
        <f t="shared" si="185"/>
        <v>0.56018620527854668</v>
      </c>
      <c r="AX477" s="12">
        <f t="shared" si="186"/>
        <v>0.96656404992942457</v>
      </c>
      <c r="AY477" s="12">
        <f t="shared" si="187"/>
        <v>0.4229548767083654</v>
      </c>
      <c r="AZ477" s="12">
        <f t="shared" si="188"/>
        <v>0.35431536503917044</v>
      </c>
      <c r="BA477" s="12">
        <f t="shared" si="189"/>
        <v>0.3992655915272742</v>
      </c>
      <c r="BB477" s="12">
        <f t="shared" si="190"/>
        <v>0.44128453218893193</v>
      </c>
      <c r="BC477" s="12">
        <f t="shared" si="191"/>
        <v>0.8866898962898192</v>
      </c>
      <c r="BD477" s="12">
        <f t="shared" si="192"/>
        <v>0.72829389803775202</v>
      </c>
      <c r="BE477" s="12">
        <f t="shared" si="193"/>
        <v>0.72409847652313486</v>
      </c>
      <c r="BF477" s="12">
        <f t="shared" si="194"/>
        <v>0.36106502126139867</v>
      </c>
      <c r="BG477" s="12">
        <f t="shared" si="195"/>
        <v>0.92546297635516839</v>
      </c>
      <c r="BH477" s="12">
        <f t="shared" si="196"/>
        <v>0.48540234314912056</v>
      </c>
      <c r="BI477" s="12">
        <f t="shared" si="197"/>
        <v>0.72504910070943762</v>
      </c>
    </row>
    <row r="478" spans="1:61" x14ac:dyDescent="0.55000000000000004">
      <c r="A478" s="12" t="s">
        <v>1177</v>
      </c>
      <c r="B478" s="12" t="s">
        <v>1178</v>
      </c>
      <c r="C478" s="17" t="s">
        <v>322</v>
      </c>
      <c r="D478" s="12" t="s">
        <v>9</v>
      </c>
      <c r="E478" s="12">
        <v>2979</v>
      </c>
      <c r="F478" s="12">
        <v>77.54943915106486</v>
      </c>
      <c r="G478" s="12">
        <v>35.295745888970018</v>
      </c>
      <c r="H478" s="12">
        <f t="shared" si="158"/>
        <v>105146.02700324169</v>
      </c>
      <c r="I478" s="12">
        <v>37.638452281602596</v>
      </c>
      <c r="J478" s="12">
        <v>28.725667712725659</v>
      </c>
      <c r="K478" s="12">
        <v>25.751183128695406</v>
      </c>
      <c r="L478" s="14">
        <v>49.753587613733167</v>
      </c>
      <c r="M478" s="12">
        <v>33.353471468807058</v>
      </c>
      <c r="N478" s="12">
        <v>13.035845951146849</v>
      </c>
      <c r="O478" s="12">
        <v>18.589304849268689</v>
      </c>
      <c r="P478" s="12">
        <v>40.222700142967412</v>
      </c>
      <c r="Q478" s="12">
        <v>563.32600088108279</v>
      </c>
      <c r="R478" s="12">
        <v>44.795788192340588</v>
      </c>
      <c r="S478" s="12">
        <v>1245.5845535934309</v>
      </c>
      <c r="T478" s="12">
        <v>1279.0525895269591</v>
      </c>
      <c r="U478" s="12">
        <v>25.511453699704667</v>
      </c>
      <c r="V478" s="15">
        <v>13.261371683436376</v>
      </c>
      <c r="W478" s="15">
        <v>49.383186491178279</v>
      </c>
      <c r="X478" s="15">
        <v>54.390077587987818</v>
      </c>
      <c r="Y478" s="12">
        <v>33.373612266438215</v>
      </c>
      <c r="Z478" s="12">
        <v>27.868285123587469</v>
      </c>
      <c r="AA478" s="12">
        <v>9.7373473790766063</v>
      </c>
      <c r="AB478" s="12">
        <v>42.492782643434147</v>
      </c>
      <c r="AC478" s="12">
        <v>33.404906403614618</v>
      </c>
      <c r="AD478" s="12">
        <v>20.147101935534597</v>
      </c>
      <c r="AE478" s="12">
        <v>26.009305286208644</v>
      </c>
      <c r="AF478" s="12">
        <v>42.784804623052587</v>
      </c>
      <c r="AG478" s="12">
        <v>731.7486723252465</v>
      </c>
      <c r="AH478" s="12">
        <v>59.059881347410105</v>
      </c>
      <c r="AI478" s="12">
        <v>1787.3383439765807</v>
      </c>
      <c r="AJ478" s="12">
        <v>1917.9334694930483</v>
      </c>
      <c r="AK478" s="12">
        <v>794.7385660919731</v>
      </c>
      <c r="AL478" s="12">
        <v>1451.9214268911364</v>
      </c>
      <c r="AM478" s="12">
        <v>2660.2819857366521</v>
      </c>
      <c r="AN478" s="12">
        <v>2675.8892623149254</v>
      </c>
      <c r="AP478" s="12">
        <f t="shared" si="159"/>
        <v>1.4096199516577224</v>
      </c>
      <c r="AQ478" s="12">
        <f t="shared" si="179"/>
        <v>1.1395905973908622</v>
      </c>
      <c r="AR478" s="12">
        <f t="shared" si="180"/>
        <v>1.5409811074423225</v>
      </c>
      <c r="AS478" s="12">
        <f t="shared" si="181"/>
        <v>1.2039066344455187</v>
      </c>
      <c r="AT478" s="12">
        <f t="shared" si="182"/>
        <v>1.2121802088455911</v>
      </c>
      <c r="AU478" s="12">
        <f t="shared" si="183"/>
        <v>0.75649725149093561</v>
      </c>
      <c r="AV478" s="12">
        <f t="shared" si="184"/>
        <v>0.57735872105827191</v>
      </c>
      <c r="AW478" s="12">
        <f t="shared" si="185"/>
        <v>0.51757439742068911</v>
      </c>
      <c r="AX478" s="12">
        <f t="shared" si="186"/>
        <v>0.82922010084493603</v>
      </c>
      <c r="AY478" s="12">
        <f t="shared" si="187"/>
        <v>0.32409176670915396</v>
      </c>
      <c r="AZ478" s="12">
        <f t="shared" si="188"/>
        <v>0.46215954630581574</v>
      </c>
      <c r="BA478" s="12">
        <f t="shared" si="189"/>
        <v>0.46904609868287694</v>
      </c>
      <c r="BB478" s="12">
        <f t="shared" si="190"/>
        <v>0.24381968681664801</v>
      </c>
      <c r="BC478" s="12">
        <f t="shared" si="191"/>
        <v>0.90794477009690233</v>
      </c>
      <c r="BD478" s="12">
        <f t="shared" si="192"/>
        <v>0.78539484096589285</v>
      </c>
      <c r="BE478" s="12">
        <f t="shared" si="193"/>
        <v>0.65583572997410167</v>
      </c>
      <c r="BF478" s="12">
        <f t="shared" si="194"/>
        <v>0.22915297077117144</v>
      </c>
      <c r="BG478" s="12">
        <f t="shared" si="195"/>
        <v>0.78076566430353522</v>
      </c>
      <c r="BH478" s="12">
        <f t="shared" si="196"/>
        <v>0.47089386320766963</v>
      </c>
      <c r="BI478" s="12">
        <f t="shared" si="197"/>
        <v>0.60790987630675652</v>
      </c>
    </row>
    <row r="479" spans="1:61" x14ac:dyDescent="0.55000000000000004">
      <c r="A479" s="12" t="s">
        <v>1179</v>
      </c>
      <c r="B479" s="12" t="s">
        <v>1180</v>
      </c>
      <c r="C479" s="12" t="s">
        <v>8</v>
      </c>
      <c r="D479" s="12" t="s">
        <v>9</v>
      </c>
      <c r="E479" s="12">
        <v>1590</v>
      </c>
      <c r="F479" s="12">
        <v>71.34522547701954</v>
      </c>
      <c r="G479" s="12">
        <v>40.172903501369234</v>
      </c>
      <c r="H479" s="12">
        <f t="shared" si="158"/>
        <v>63874.916567177082</v>
      </c>
      <c r="I479" s="12">
        <v>37.047280944340102</v>
      </c>
      <c r="J479" s="12">
        <v>26.407420478151671</v>
      </c>
      <c r="K479" s="12">
        <v>28.548766991907367</v>
      </c>
      <c r="L479" s="14">
        <v>49.966629715891251</v>
      </c>
      <c r="M479" s="12">
        <v>41.711340192253033</v>
      </c>
      <c r="N479" s="12">
        <v>14.646884874252788</v>
      </c>
      <c r="O479" s="12">
        <v>10.216916590731024</v>
      </c>
      <c r="P479" s="12">
        <v>44.27396809068231</v>
      </c>
      <c r="Q479" s="12">
        <v>537.6316501016704</v>
      </c>
      <c r="R479" s="12">
        <v>636.82617342931951</v>
      </c>
      <c r="S479" s="12">
        <v>712.91918206678417</v>
      </c>
      <c r="T479" s="12">
        <v>863.80062051490086</v>
      </c>
      <c r="U479" s="12">
        <v>21.554588310684718</v>
      </c>
      <c r="V479" s="15">
        <v>10.585722014301535</v>
      </c>
      <c r="W479" s="15">
        <v>53.966222269874919</v>
      </c>
      <c r="X479" s="15">
        <v>57.88205261023338</v>
      </c>
      <c r="Y479" s="12">
        <v>35.547460068016555</v>
      </c>
      <c r="Z479" s="12">
        <v>28.512068849536316</v>
      </c>
      <c r="AA479" s="12">
        <v>12.32729578941062</v>
      </c>
      <c r="AB479" s="12">
        <v>45.373237138521034</v>
      </c>
      <c r="AC479" s="12">
        <v>46.353485627597458</v>
      </c>
      <c r="AD479" s="12">
        <v>23.645655469503026</v>
      </c>
      <c r="AE479" s="12">
        <v>31.1299524843458</v>
      </c>
      <c r="AF479" s="12">
        <v>53.50842021965633</v>
      </c>
      <c r="AG479" s="12">
        <v>711.96970048952949</v>
      </c>
      <c r="AH479" s="12">
        <v>107.78321622422112</v>
      </c>
      <c r="AI479" s="12">
        <v>1915.8459745093392</v>
      </c>
      <c r="AJ479" s="12">
        <v>2011.9166822117763</v>
      </c>
      <c r="AK479" s="12">
        <v>1535.563298563166</v>
      </c>
      <c r="AL479" s="12">
        <v>1957.9638977449654</v>
      </c>
      <c r="AM479" s="12">
        <v>2581.8345267317636</v>
      </c>
      <c r="AN479" s="12">
        <v>2610.1309195105341</v>
      </c>
      <c r="AP479" s="12">
        <f t="shared" si="159"/>
        <v>1.2437893545381458</v>
      </c>
      <c r="AQ479" s="12">
        <f t="shared" ref="AQ479:AQ495" si="198">P479/G479</f>
        <v>1.1020853419064742</v>
      </c>
      <c r="AR479" s="12">
        <f t="shared" ref="AR479:AR495" si="199">X479/G479</f>
        <v>1.4408232307196953</v>
      </c>
      <c r="AS479" s="12">
        <f t="shared" ref="AS479:AS495" si="200">AB479/G479</f>
        <v>1.1294487872148589</v>
      </c>
      <c r="AT479" s="12">
        <f t="shared" ref="AT479:AT495" si="201">AF479/G479</f>
        <v>1.331953021962492</v>
      </c>
      <c r="AU479" s="12">
        <f t="shared" ref="AU479:AU495" si="202">I479/$L479</f>
        <v>0.74144046046310952</v>
      </c>
      <c r="AV479" s="12">
        <f t="shared" ref="AV479:AV495" si="203">J479/$L479</f>
        <v>0.52850113422304978</v>
      </c>
      <c r="AW479" s="12">
        <f t="shared" ref="AW479:AW495" si="204">K479/$L479</f>
        <v>0.57135666652393402</v>
      </c>
      <c r="AX479" s="12">
        <f t="shared" ref="AX479:AX495" si="205">M479/$P479</f>
        <v>0.94211885654386163</v>
      </c>
      <c r="AY479" s="12">
        <f t="shared" ref="AY479:AY495" si="206">N479/$P479</f>
        <v>0.33082385667923225</v>
      </c>
      <c r="AZ479" s="12">
        <f t="shared" ref="AZ479:AZ495" si="207">O479/$P479</f>
        <v>0.2307657757218565</v>
      </c>
      <c r="BA479" s="12">
        <f t="shared" ref="BA479:BA495" si="208">U479/$X479</f>
        <v>0.3723881123537407</v>
      </c>
      <c r="BB479" s="12">
        <f t="shared" ref="BB479:BB495" si="209">V479/$X479</f>
        <v>0.18288435770555259</v>
      </c>
      <c r="BC479" s="12">
        <f t="shared" ref="BC479:BC495" si="210">W479/$X479</f>
        <v>0.93234810854537398</v>
      </c>
      <c r="BD479" s="12">
        <f t="shared" ref="BD479:BD495" si="211">Y479/$AB479</f>
        <v>0.783445535514534</v>
      </c>
      <c r="BE479" s="12">
        <f t="shared" ref="BE479:BE495" si="212">Z479/$AB479</f>
        <v>0.62838956723522155</v>
      </c>
      <c r="BF479" s="12">
        <f t="shared" ref="BF479:BF495" si="213">AA479/$AB479</f>
        <v>0.27168649553868784</v>
      </c>
      <c r="BG479" s="12">
        <f t="shared" ref="BG479:BG495" si="214">AC479/$AF479</f>
        <v>0.86628395002716774</v>
      </c>
      <c r="BH479" s="12">
        <f t="shared" ref="BH479:BH495" si="215">AD479/$AF479</f>
        <v>0.44190531831131857</v>
      </c>
      <c r="BI479" s="12">
        <f t="shared" ref="BI479:BI495" si="216">AE479/$AF479</f>
        <v>0.58177670648011781</v>
      </c>
    </row>
    <row r="480" spans="1:61" x14ac:dyDescent="0.55000000000000004">
      <c r="A480" s="12" t="s">
        <v>1181</v>
      </c>
      <c r="B480" s="12" t="s">
        <v>1182</v>
      </c>
      <c r="C480" s="17" t="s">
        <v>322</v>
      </c>
      <c r="D480" s="12" t="s">
        <v>9</v>
      </c>
      <c r="E480" s="12">
        <v>2236</v>
      </c>
      <c r="F480" s="12">
        <v>67.830796778806516</v>
      </c>
      <c r="G480" s="12">
        <v>42.639008023930216</v>
      </c>
      <c r="H480" s="12">
        <f t="shared" si="158"/>
        <v>95340.821941507966</v>
      </c>
      <c r="I480" s="12">
        <v>44.647236878840673</v>
      </c>
      <c r="J480" s="12">
        <v>20.372038627569538</v>
      </c>
      <c r="K480" s="12">
        <v>35.733584102753134</v>
      </c>
      <c r="L480" s="14">
        <v>49.823431642011776</v>
      </c>
      <c r="M480" s="12">
        <v>35.969849124642842</v>
      </c>
      <c r="N480" s="12">
        <v>16.708728236092764</v>
      </c>
      <c r="O480" s="12">
        <v>17.108314974011677</v>
      </c>
      <c r="P480" s="12">
        <v>41.390797284090709</v>
      </c>
      <c r="Q480" s="12">
        <v>323.1671240708738</v>
      </c>
      <c r="R480" s="12">
        <v>208.99179105921047</v>
      </c>
      <c r="S480" s="12">
        <v>1473.215279239706</v>
      </c>
      <c r="T480" s="12">
        <v>1473.216771725577</v>
      </c>
      <c r="U480" s="12">
        <v>19.893862783370324</v>
      </c>
      <c r="V480" s="15">
        <v>8.7878665411555463</v>
      </c>
      <c r="W480" s="15">
        <v>41.66976994371214</v>
      </c>
      <c r="X480" s="15">
        <v>44.09708545924601</v>
      </c>
      <c r="Y480" s="12">
        <v>25.9777751653791</v>
      </c>
      <c r="Z480" s="12">
        <v>21.017492492260232</v>
      </c>
      <c r="AA480" s="12">
        <v>18.52928943191861</v>
      </c>
      <c r="AB480" s="12">
        <v>32.922775335263466</v>
      </c>
      <c r="AC480" s="12">
        <v>37.727500691810611</v>
      </c>
      <c r="AD480" s="12">
        <v>20.541841274535052</v>
      </c>
      <c r="AE480" s="12">
        <v>22.300873802599504</v>
      </c>
      <c r="AF480" s="12">
        <v>42.370084555153412</v>
      </c>
      <c r="AG480" s="12">
        <v>675.64389521321095</v>
      </c>
      <c r="AH480" s="12">
        <v>82.11395264267513</v>
      </c>
      <c r="AI480" s="12">
        <v>1456.526236630576</v>
      </c>
      <c r="AJ480" s="12">
        <v>1554.2927213231335</v>
      </c>
      <c r="AK480" s="12">
        <v>1615.6931177683252</v>
      </c>
      <c r="AL480" s="12">
        <v>1363.0478376549449</v>
      </c>
      <c r="AM480" s="12">
        <v>1532.9726051774167</v>
      </c>
      <c r="AN480" s="12">
        <v>2138.0403276416337</v>
      </c>
      <c r="AP480" s="12">
        <f t="shared" si="159"/>
        <v>1.1684941547901269</v>
      </c>
      <c r="AQ480" s="12">
        <f t="shared" si="198"/>
        <v>0.97072608398537374</v>
      </c>
      <c r="AR480" s="12">
        <f t="shared" si="199"/>
        <v>1.0341958573355525</v>
      </c>
      <c r="AS480" s="12">
        <f t="shared" si="200"/>
        <v>0.77212807851407506</v>
      </c>
      <c r="AT480" s="12">
        <f t="shared" si="201"/>
        <v>0.99369301770280682</v>
      </c>
      <c r="AU480" s="12">
        <f t="shared" si="202"/>
        <v>0.89610922827711315</v>
      </c>
      <c r="AV480" s="12">
        <f t="shared" si="203"/>
        <v>0.40888469453379772</v>
      </c>
      <c r="AW480" s="12">
        <f t="shared" si="204"/>
        <v>0.71720439409922343</v>
      </c>
      <c r="AX480" s="12">
        <f t="shared" si="205"/>
        <v>0.86903011018994059</v>
      </c>
      <c r="AY480" s="12">
        <f t="shared" si="206"/>
        <v>0.40368220310931441</v>
      </c>
      <c r="AZ480" s="12">
        <f t="shared" si="207"/>
        <v>0.41333620264878451</v>
      </c>
      <c r="BA480" s="12">
        <f t="shared" si="208"/>
        <v>0.45113781503215195</v>
      </c>
      <c r="BB480" s="12">
        <f t="shared" si="209"/>
        <v>0.19928452072591477</v>
      </c>
      <c r="BC480" s="12">
        <f t="shared" si="210"/>
        <v>0.94495519397133021</v>
      </c>
      <c r="BD480" s="12">
        <f t="shared" si="211"/>
        <v>0.78905180079257775</v>
      </c>
      <c r="BE480" s="12">
        <f t="shared" si="212"/>
        <v>0.63838762917865166</v>
      </c>
      <c r="BF480" s="12">
        <f t="shared" si="213"/>
        <v>0.56281067568662579</v>
      </c>
      <c r="BG480" s="12">
        <f t="shared" si="214"/>
        <v>0.89042778856625793</v>
      </c>
      <c r="BH480" s="12">
        <f t="shared" si="215"/>
        <v>0.48481945434391582</v>
      </c>
      <c r="BI480" s="12">
        <f t="shared" si="216"/>
        <v>0.52633536224291255</v>
      </c>
    </row>
    <row r="481" spans="1:61" x14ac:dyDescent="0.55000000000000004">
      <c r="A481" s="12" t="s">
        <v>1183</v>
      </c>
      <c r="B481" s="12" t="s">
        <v>1184</v>
      </c>
      <c r="C481" s="17" t="s">
        <v>51</v>
      </c>
      <c r="D481" s="12" t="s">
        <v>9</v>
      </c>
      <c r="E481" s="12">
        <v>2139</v>
      </c>
      <c r="F481" s="12">
        <v>71.05287299317267</v>
      </c>
      <c r="G481" s="12">
        <v>28.772330079354255</v>
      </c>
      <c r="H481" s="12">
        <f t="shared" si="158"/>
        <v>61544.014039738751</v>
      </c>
      <c r="I481" s="12">
        <v>56.794346843529077</v>
      </c>
      <c r="J481" s="12">
        <v>26.505302161023437</v>
      </c>
      <c r="K481" s="12">
        <v>25.583725359553668</v>
      </c>
      <c r="L481" s="14">
        <v>66.023047976444161</v>
      </c>
      <c r="M481" s="12">
        <v>37.842273433348474</v>
      </c>
      <c r="N481" s="12">
        <v>16.37523011182822</v>
      </c>
      <c r="O481" s="12">
        <v>10.547492306294592</v>
      </c>
      <c r="P481" s="12">
        <v>39.698845378123522</v>
      </c>
      <c r="Q481" s="12">
        <v>595.73791828360231</v>
      </c>
      <c r="R481" s="12">
        <v>37.413595933315889</v>
      </c>
      <c r="S481" s="12">
        <v>1427.8590324914335</v>
      </c>
      <c r="T481" s="12">
        <v>1434.1314817408106</v>
      </c>
      <c r="U481" s="12">
        <v>34.077253008928089</v>
      </c>
      <c r="V481" s="15">
        <v>13.927029578188188</v>
      </c>
      <c r="W481" s="15">
        <v>59.229895144708287</v>
      </c>
      <c r="X481" s="15">
        <v>64.413815674876105</v>
      </c>
      <c r="Y481" s="12">
        <v>37.565910924451835</v>
      </c>
      <c r="Z481" s="12">
        <v>24.879305952603037</v>
      </c>
      <c r="AA481" s="12">
        <v>15.222225225722179</v>
      </c>
      <c r="AB481" s="12">
        <v>40.296078053542217</v>
      </c>
      <c r="AC481" s="12">
        <v>59.267663060924818</v>
      </c>
      <c r="AD481" s="12">
        <v>19.653508659026414</v>
      </c>
      <c r="AE481" s="12">
        <v>33.70444014871692</v>
      </c>
      <c r="AF481" s="12">
        <v>68.328510883938847</v>
      </c>
      <c r="AG481" s="12">
        <v>1040.1465318846463</v>
      </c>
      <c r="AH481" s="12">
        <v>121.07924181602311</v>
      </c>
      <c r="AI481" s="12">
        <v>2145.9831334181245</v>
      </c>
      <c r="AJ481" s="12">
        <v>2288.5671390256371</v>
      </c>
      <c r="AK481" s="12">
        <v>1457.7882002275865</v>
      </c>
      <c r="AL481" s="12">
        <v>1863.252919809592</v>
      </c>
      <c r="AM481" s="12">
        <v>1990.0628628822758</v>
      </c>
      <c r="AN481" s="12">
        <v>2135.4139115273888</v>
      </c>
      <c r="AP481" s="12">
        <f t="shared" si="159"/>
        <v>2.29467157488991</v>
      </c>
      <c r="AQ481" s="12">
        <f t="shared" si="198"/>
        <v>1.3797577488035857</v>
      </c>
      <c r="AR481" s="12">
        <f t="shared" si="199"/>
        <v>2.2387417180750542</v>
      </c>
      <c r="AS481" s="12">
        <f t="shared" si="200"/>
        <v>1.4005149371776773</v>
      </c>
      <c r="AT481" s="12">
        <f t="shared" si="201"/>
        <v>2.3747993539448635</v>
      </c>
      <c r="AU481" s="12">
        <f t="shared" si="202"/>
        <v>0.86022000777353202</v>
      </c>
      <c r="AV481" s="12">
        <f t="shared" si="203"/>
        <v>0.40145529437659488</v>
      </c>
      <c r="AW481" s="12">
        <f t="shared" si="204"/>
        <v>0.38749688394697385</v>
      </c>
      <c r="AX481" s="12">
        <f t="shared" si="205"/>
        <v>0.95323360346902852</v>
      </c>
      <c r="AY481" s="12">
        <f t="shared" si="206"/>
        <v>0.41248630673908637</v>
      </c>
      <c r="AZ481" s="12">
        <f t="shared" si="207"/>
        <v>0.2656876341322234</v>
      </c>
      <c r="BA481" s="12">
        <f t="shared" si="208"/>
        <v>0.52903639773384115</v>
      </c>
      <c r="BB481" s="12">
        <f t="shared" si="209"/>
        <v>0.21621183952964101</v>
      </c>
      <c r="BC481" s="12">
        <f t="shared" si="210"/>
        <v>0.91952160455245713</v>
      </c>
      <c r="BD481" s="12">
        <f t="shared" si="211"/>
        <v>0.93224732378513975</v>
      </c>
      <c r="BE481" s="12">
        <f t="shared" si="212"/>
        <v>0.61741259086170619</v>
      </c>
      <c r="BF481" s="12">
        <f t="shared" si="213"/>
        <v>0.37775947340324534</v>
      </c>
      <c r="BG481" s="12">
        <f t="shared" si="214"/>
        <v>0.86739286857276066</v>
      </c>
      <c r="BH481" s="12">
        <f t="shared" si="215"/>
        <v>0.28763262077245305</v>
      </c>
      <c r="BI481" s="12">
        <f t="shared" si="216"/>
        <v>0.49327052079279854</v>
      </c>
    </row>
    <row r="482" spans="1:61" x14ac:dyDescent="0.55000000000000004">
      <c r="A482" s="12" t="s">
        <v>1185</v>
      </c>
      <c r="B482" s="12" t="s">
        <v>1186</v>
      </c>
      <c r="C482" s="12" t="s">
        <v>8</v>
      </c>
      <c r="D482" s="12" t="s">
        <v>9</v>
      </c>
      <c r="E482" s="12">
        <v>1660</v>
      </c>
      <c r="F482" s="12">
        <v>75.263007265204166</v>
      </c>
      <c r="G482" s="12">
        <v>63.326150765551532</v>
      </c>
      <c r="H482" s="12">
        <f t="shared" si="158"/>
        <v>105121.41027081554</v>
      </c>
      <c r="I482" s="12">
        <v>39.726044815971292</v>
      </c>
      <c r="J482" s="12">
        <v>22.848695830719052</v>
      </c>
      <c r="K482" s="12">
        <v>26.04913119801499</v>
      </c>
      <c r="L482" s="14">
        <v>48.224285705337088</v>
      </c>
      <c r="M482" s="12">
        <v>39.224582038300539</v>
      </c>
      <c r="N482" s="12">
        <v>11.298930362823038</v>
      </c>
      <c r="O482" s="12">
        <v>9.5613543970284525</v>
      </c>
      <c r="P482" s="12">
        <v>41.59370572488757</v>
      </c>
      <c r="Q482" s="12">
        <v>391.68751683265157</v>
      </c>
      <c r="R482" s="12">
        <v>107.57887638289583</v>
      </c>
      <c r="S482" s="12">
        <v>1090.7277044602993</v>
      </c>
      <c r="T482" s="12">
        <v>1096.7609804479787</v>
      </c>
      <c r="U482" s="12">
        <v>22.300005279102376</v>
      </c>
      <c r="V482" s="15">
        <v>11.933010063052739</v>
      </c>
      <c r="W482" s="15">
        <v>59.362691251423861</v>
      </c>
      <c r="X482" s="15">
        <v>63.257388334288372</v>
      </c>
      <c r="Y482" s="12">
        <v>28.979059808586143</v>
      </c>
      <c r="Z482" s="12">
        <v>23.583648948516441</v>
      </c>
      <c r="AA482" s="12">
        <v>17.277610341718191</v>
      </c>
      <c r="AB482" s="12">
        <v>37.240545853580848</v>
      </c>
      <c r="AC482" s="12">
        <v>47.873489180267057</v>
      </c>
      <c r="AD482" s="12">
        <v>22.028712415093281</v>
      </c>
      <c r="AE482" s="12">
        <v>36.154576419721323</v>
      </c>
      <c r="AF482" s="12">
        <v>53.417419232466564</v>
      </c>
      <c r="AG482" s="12">
        <v>779.38893536624755</v>
      </c>
      <c r="AH482" s="12">
        <v>346.22284607523676</v>
      </c>
      <c r="AI482" s="12">
        <v>2146.596050414998</v>
      </c>
      <c r="AJ482" s="12">
        <v>2255.8305747702643</v>
      </c>
      <c r="AK482" s="12">
        <v>2199.2670370565743</v>
      </c>
      <c r="AL482" s="12">
        <v>2899.8529450887427</v>
      </c>
      <c r="AM482" s="12">
        <v>2717.6788800143331</v>
      </c>
      <c r="AN482" s="12">
        <v>3495.4992409991755</v>
      </c>
      <c r="AP482" s="12">
        <f t="shared" si="159"/>
        <v>0.76152245355753367</v>
      </c>
      <c r="AQ482" s="12">
        <f t="shared" si="198"/>
        <v>0.65681721093197909</v>
      </c>
      <c r="AR482" s="12">
        <f t="shared" si="199"/>
        <v>0.99891415425646612</v>
      </c>
      <c r="AS482" s="12">
        <f t="shared" si="200"/>
        <v>0.58807531175318395</v>
      </c>
      <c r="AT482" s="12">
        <f t="shared" si="201"/>
        <v>0.84352859895480703</v>
      </c>
      <c r="AU482" s="12">
        <f t="shared" si="202"/>
        <v>0.8237767389382965</v>
      </c>
      <c r="AV482" s="12">
        <f t="shared" si="203"/>
        <v>0.47380060682143676</v>
      </c>
      <c r="AW482" s="12">
        <f t="shared" si="204"/>
        <v>0.54016624231993704</v>
      </c>
      <c r="AX482" s="12">
        <f t="shared" si="205"/>
        <v>0.9430412932606419</v>
      </c>
      <c r="AY482" s="12">
        <f t="shared" si="206"/>
        <v>0.27165000487230762</v>
      </c>
      <c r="AZ482" s="12">
        <f t="shared" si="207"/>
        <v>0.22987503109893431</v>
      </c>
      <c r="BA482" s="12">
        <f t="shared" si="208"/>
        <v>0.35252807405288911</v>
      </c>
      <c r="BB482" s="12">
        <f t="shared" si="209"/>
        <v>0.18864215512647883</v>
      </c>
      <c r="BC482" s="12">
        <f t="shared" si="210"/>
        <v>0.93843095351514205</v>
      </c>
      <c r="BD482" s="12">
        <f t="shared" si="211"/>
        <v>0.77815883587000845</v>
      </c>
      <c r="BE482" s="12">
        <f t="shared" si="212"/>
        <v>0.63327882038143557</v>
      </c>
      <c r="BF482" s="12">
        <f t="shared" si="213"/>
        <v>0.46394621630007254</v>
      </c>
      <c r="BG482" s="12">
        <f t="shared" si="214"/>
        <v>0.89621494014765202</v>
      </c>
      <c r="BH482" s="12">
        <f t="shared" si="215"/>
        <v>0.41238818220002016</v>
      </c>
      <c r="BI482" s="12">
        <f t="shared" si="216"/>
        <v>0.67683120860595491</v>
      </c>
    </row>
    <row r="483" spans="1:61" x14ac:dyDescent="0.55000000000000004">
      <c r="A483" s="12" t="s">
        <v>1187</v>
      </c>
      <c r="B483" s="12" t="s">
        <v>1188</v>
      </c>
      <c r="C483" s="16" t="s">
        <v>515</v>
      </c>
      <c r="D483" s="12" t="s">
        <v>9</v>
      </c>
      <c r="E483" s="12">
        <v>2221</v>
      </c>
      <c r="F483" s="12">
        <v>70.848948963668391</v>
      </c>
      <c r="G483" s="12">
        <v>54.568228406296548</v>
      </c>
      <c r="H483" s="12">
        <f t="shared" si="158"/>
        <v>121196.03529038464</v>
      </c>
      <c r="I483" s="12">
        <v>35.80014694410302</v>
      </c>
      <c r="J483" s="12">
        <v>30.103537276455384</v>
      </c>
      <c r="K483" s="12">
        <v>19.206808633971967</v>
      </c>
      <c r="L483" s="14">
        <v>41.334846755165898</v>
      </c>
      <c r="M483" s="12">
        <v>34.19981074097425</v>
      </c>
      <c r="N483" s="12">
        <v>9.0467926026227516</v>
      </c>
      <c r="O483" s="12">
        <v>11.250206593484924</v>
      </c>
      <c r="P483" s="12">
        <v>35.81088620525761</v>
      </c>
      <c r="Q483" s="12">
        <v>715.43742711406742</v>
      </c>
      <c r="R483" s="12">
        <v>47.933392045321995</v>
      </c>
      <c r="S483" s="12">
        <v>1192.0699822202319</v>
      </c>
      <c r="T483" s="12">
        <v>1390.2811063328668</v>
      </c>
      <c r="U483" s="12">
        <v>68.462532204053076</v>
      </c>
      <c r="V483" s="15">
        <v>25.528110173676108</v>
      </c>
      <c r="W483" s="15">
        <v>61.71352665943062</v>
      </c>
      <c r="X483" s="15">
        <v>81.348123977000711</v>
      </c>
      <c r="Y483" s="12">
        <v>42.939862310454323</v>
      </c>
      <c r="Z483" s="12">
        <v>23.357301286497972</v>
      </c>
      <c r="AA483" s="12">
        <v>13.621161283136324</v>
      </c>
      <c r="AB483" s="12">
        <v>44.694948146596751</v>
      </c>
      <c r="AC483" s="12">
        <v>42.19286964782173</v>
      </c>
      <c r="AD483" s="12">
        <v>23.417910324714398</v>
      </c>
      <c r="AE483" s="12">
        <v>18.923123717180111</v>
      </c>
      <c r="AF483" s="12">
        <v>45.525351725910753</v>
      </c>
      <c r="AG483" s="12">
        <v>1564.7595102904038</v>
      </c>
      <c r="AH483" s="12">
        <v>516.64028034093508</v>
      </c>
      <c r="AI483" s="12">
        <v>3498.1782396188983</v>
      </c>
      <c r="AJ483" s="12">
        <v>3829.9768165385231</v>
      </c>
      <c r="AK483" s="12">
        <v>2191.5563292358493</v>
      </c>
      <c r="AL483" s="12">
        <v>977.49327189587484</v>
      </c>
      <c r="AM483" s="12">
        <v>851.56650379231496</v>
      </c>
      <c r="AN483" s="12">
        <v>2300.2340367117326</v>
      </c>
      <c r="AP483" s="12">
        <f t="shared" si="159"/>
        <v>0.75748925633796704</v>
      </c>
      <c r="AQ483" s="12">
        <f t="shared" si="198"/>
        <v>0.65625891202884357</v>
      </c>
      <c r="AR483" s="12">
        <f t="shared" si="199"/>
        <v>1.4907598496933074</v>
      </c>
      <c r="AS483" s="12">
        <f t="shared" si="200"/>
        <v>0.81906540585875909</v>
      </c>
      <c r="AT483" s="12">
        <f t="shared" si="201"/>
        <v>0.83428311776853747</v>
      </c>
      <c r="AU483" s="12">
        <f t="shared" si="202"/>
        <v>0.86610087503539201</v>
      </c>
      <c r="AV483" s="12">
        <f t="shared" si="203"/>
        <v>0.72828471954339924</v>
      </c>
      <c r="AW483" s="12">
        <f t="shared" si="204"/>
        <v>0.46466384036059261</v>
      </c>
      <c r="AX483" s="12">
        <f t="shared" si="205"/>
        <v>0.95501157231772649</v>
      </c>
      <c r="AY483" s="12">
        <f t="shared" si="206"/>
        <v>0.2526268842041261</v>
      </c>
      <c r="AZ483" s="12">
        <f t="shared" si="207"/>
        <v>0.31415605101203037</v>
      </c>
      <c r="BA483" s="12">
        <f t="shared" si="208"/>
        <v>0.84159939844967124</v>
      </c>
      <c r="BB483" s="12">
        <f t="shared" si="209"/>
        <v>0.31381313945105344</v>
      </c>
      <c r="BC483" s="12">
        <f t="shared" si="210"/>
        <v>0.75863490935425482</v>
      </c>
      <c r="BD483" s="12">
        <f t="shared" si="211"/>
        <v>0.96073189680440274</v>
      </c>
      <c r="BE483" s="12">
        <f t="shared" si="212"/>
        <v>0.52259376629965926</v>
      </c>
      <c r="BF483" s="12">
        <f t="shared" si="213"/>
        <v>0.30475840890249456</v>
      </c>
      <c r="BG483" s="12">
        <f t="shared" si="214"/>
        <v>0.92679942160244</v>
      </c>
      <c r="BH483" s="12">
        <f t="shared" si="215"/>
        <v>0.51439273804415431</v>
      </c>
      <c r="BI483" s="12">
        <f t="shared" si="216"/>
        <v>0.41566123049654585</v>
      </c>
    </row>
    <row r="484" spans="1:61" x14ac:dyDescent="0.55000000000000004">
      <c r="A484" s="12" t="s">
        <v>1189</v>
      </c>
      <c r="B484" s="12" t="s">
        <v>1190</v>
      </c>
      <c r="C484" s="12" t="s">
        <v>8</v>
      </c>
      <c r="D484" s="12" t="s">
        <v>9</v>
      </c>
      <c r="E484" s="12">
        <v>1765</v>
      </c>
      <c r="F484" s="12">
        <v>70.199998078735987</v>
      </c>
      <c r="G484" s="12">
        <v>38.644634027151668</v>
      </c>
      <c r="H484" s="12">
        <f t="shared" si="158"/>
        <v>68207.7790579227</v>
      </c>
      <c r="I484" s="12">
        <v>38.33345959211141</v>
      </c>
      <c r="J484" s="12">
        <v>13.673275167172729</v>
      </c>
      <c r="K484" s="12">
        <v>22.48074385651686</v>
      </c>
      <c r="L484" s="14">
        <v>44.356908200864986</v>
      </c>
      <c r="M484" s="12">
        <v>34.965522002177934</v>
      </c>
      <c r="N484" s="12">
        <v>10.692975555407809</v>
      </c>
      <c r="O484" s="12">
        <v>7.1423886932111289</v>
      </c>
      <c r="P484" s="12">
        <v>36.749906213153913</v>
      </c>
      <c r="Q484" s="12">
        <v>349.0390992451305</v>
      </c>
      <c r="R484" s="12">
        <v>552.33026173611688</v>
      </c>
      <c r="S484" s="12">
        <v>1025.7323376529914</v>
      </c>
      <c r="T484" s="12">
        <v>1038.2236103535954</v>
      </c>
      <c r="U484" s="12">
        <v>23.616960291258856</v>
      </c>
      <c r="V484" s="15">
        <v>9.9892432721659006</v>
      </c>
      <c r="W484" s="15">
        <v>37.299942283342872</v>
      </c>
      <c r="X484" s="15">
        <v>43.88809234864371</v>
      </c>
      <c r="Y484" s="12">
        <v>26.977245428839488</v>
      </c>
      <c r="Z484" s="12">
        <v>21.667747857391795</v>
      </c>
      <c r="AA484" s="12">
        <v>13.936657908811867</v>
      </c>
      <c r="AB484" s="12">
        <v>32.149529922887041</v>
      </c>
      <c r="AC484" s="12">
        <v>37.517772517513315</v>
      </c>
      <c r="AD484" s="12">
        <v>28.042321935427882</v>
      </c>
      <c r="AE484" s="12">
        <v>22.184050640475338</v>
      </c>
      <c r="AF484" s="12">
        <v>42.961863380254826</v>
      </c>
      <c r="AG484" s="12">
        <v>771.12203509927895</v>
      </c>
      <c r="AH484" s="12">
        <v>135.05183699176251</v>
      </c>
      <c r="AI484" s="12">
        <v>1327.5548284451379</v>
      </c>
      <c r="AJ484" s="12">
        <v>1499.1616110341033</v>
      </c>
      <c r="AK484" s="12">
        <v>750.44877371835162</v>
      </c>
      <c r="AL484" s="12">
        <v>2497.7407616661908</v>
      </c>
      <c r="AM484" s="12">
        <v>613.05859698018037</v>
      </c>
      <c r="AN484" s="12">
        <v>2506.6358740604664</v>
      </c>
      <c r="AP484" s="12">
        <f t="shared" si="159"/>
        <v>1.1478154553022777</v>
      </c>
      <c r="AQ484" s="12">
        <f t="shared" si="198"/>
        <v>0.9509704811108699</v>
      </c>
      <c r="AR484" s="12">
        <f t="shared" si="199"/>
        <v>1.1356839947768167</v>
      </c>
      <c r="AS484" s="12">
        <f t="shared" si="200"/>
        <v>0.83192740032933998</v>
      </c>
      <c r="AT484" s="12">
        <f t="shared" si="201"/>
        <v>1.1117161402038347</v>
      </c>
      <c r="AU484" s="12">
        <f t="shared" si="202"/>
        <v>0.86420494905828182</v>
      </c>
      <c r="AV484" s="12">
        <f t="shared" si="203"/>
        <v>0.30825582128616646</v>
      </c>
      <c r="AW484" s="12">
        <f t="shared" si="204"/>
        <v>0.50681494198638655</v>
      </c>
      <c r="AX484" s="12">
        <f t="shared" si="205"/>
        <v>0.95144520367953234</v>
      </c>
      <c r="AY484" s="12">
        <f t="shared" si="206"/>
        <v>0.29096606378768025</v>
      </c>
      <c r="AZ484" s="12">
        <f t="shared" si="207"/>
        <v>0.19435120872919806</v>
      </c>
      <c r="BA484" s="12">
        <f t="shared" si="208"/>
        <v>0.53811772231172628</v>
      </c>
      <c r="BB484" s="12">
        <f t="shared" si="209"/>
        <v>0.22760714211071428</v>
      </c>
      <c r="BC484" s="12">
        <f t="shared" si="210"/>
        <v>0.84988752728268369</v>
      </c>
      <c r="BD484" s="12">
        <f t="shared" si="211"/>
        <v>0.8391178811493154</v>
      </c>
      <c r="BE484" s="12">
        <f t="shared" si="212"/>
        <v>0.67396779702109011</v>
      </c>
      <c r="BF484" s="12">
        <f t="shared" si="213"/>
        <v>0.43349492021313973</v>
      </c>
      <c r="BG484" s="12">
        <f t="shared" si="214"/>
        <v>0.87328084877148038</v>
      </c>
      <c r="BH484" s="12">
        <f t="shared" si="215"/>
        <v>0.65272592315714284</v>
      </c>
      <c r="BI484" s="12">
        <f t="shared" si="216"/>
        <v>0.51636611857648329</v>
      </c>
    </row>
    <row r="485" spans="1:61" x14ac:dyDescent="0.55000000000000004">
      <c r="A485" s="12" t="s">
        <v>1191</v>
      </c>
      <c r="B485" s="12" t="s">
        <v>1192</v>
      </c>
      <c r="C485" s="12" t="s">
        <v>8</v>
      </c>
      <c r="D485" s="12" t="s">
        <v>9</v>
      </c>
      <c r="E485" s="12">
        <v>1930</v>
      </c>
      <c r="F485" s="12">
        <v>69.38971240304879</v>
      </c>
      <c r="G485" s="12">
        <v>42.675706921495298</v>
      </c>
      <c r="H485" s="12">
        <f t="shared" si="158"/>
        <v>82364.114358485924</v>
      </c>
      <c r="I485" s="12">
        <v>31.84695575626246</v>
      </c>
      <c r="J485" s="12">
        <v>29.391610973202067</v>
      </c>
      <c r="K485" s="12">
        <v>15.958394241729756</v>
      </c>
      <c r="L485" s="14">
        <v>34.858775733796733</v>
      </c>
      <c r="M485" s="12">
        <v>33.005400803780361</v>
      </c>
      <c r="N485" s="12">
        <v>14.283956817971056</v>
      </c>
      <c r="O485" s="12">
        <v>9.931017295020224</v>
      </c>
      <c r="P485" s="12">
        <v>35.727022738919864</v>
      </c>
      <c r="Q485" s="12">
        <v>730.19472305310023</v>
      </c>
      <c r="R485" s="12">
        <v>58.92722255652167</v>
      </c>
      <c r="S485" s="12">
        <v>1129.1007514986763</v>
      </c>
      <c r="T485" s="12">
        <v>1305.4600158847531</v>
      </c>
      <c r="U485" s="12">
        <v>45.786788406515186</v>
      </c>
      <c r="V485" s="15">
        <v>11.193147956651032</v>
      </c>
      <c r="W485" s="15">
        <v>52.968781730800877</v>
      </c>
      <c r="X485" s="15">
        <v>58.335463471293089</v>
      </c>
      <c r="Y485" s="12">
        <v>28.485948288956479</v>
      </c>
      <c r="Z485" s="12">
        <v>29.135512222493553</v>
      </c>
      <c r="AA485" s="12">
        <v>14.479947482316909</v>
      </c>
      <c r="AB485" s="12">
        <v>40.610046553094975</v>
      </c>
      <c r="AC485" s="12">
        <v>29.452813647246778</v>
      </c>
      <c r="AD485" s="12">
        <v>16.038946146189161</v>
      </c>
      <c r="AE485" s="12">
        <v>30.886762290801745</v>
      </c>
      <c r="AF485" s="12">
        <v>39.796444875329357</v>
      </c>
      <c r="AG485" s="12">
        <v>844.68922480725087</v>
      </c>
      <c r="AH485" s="12">
        <v>77.436346872197063</v>
      </c>
      <c r="AI485" s="12">
        <v>1932.1057328099794</v>
      </c>
      <c r="AJ485" s="12">
        <v>2059.564501426571</v>
      </c>
      <c r="AK485" s="12">
        <v>1039.9713978271188</v>
      </c>
      <c r="AL485" s="12">
        <v>2621.9735472672187</v>
      </c>
      <c r="AM485" s="12">
        <v>1660.9814942560258</v>
      </c>
      <c r="AN485" s="12">
        <v>2623.2499656919795</v>
      </c>
      <c r="AP485" s="12">
        <f t="shared" si="159"/>
        <v>0.81682948563504032</v>
      </c>
      <c r="AQ485" s="12">
        <f t="shared" si="198"/>
        <v>0.83717471405083022</v>
      </c>
      <c r="AR485" s="12">
        <f t="shared" si="199"/>
        <v>1.3669477948802329</v>
      </c>
      <c r="AS485" s="12">
        <f t="shared" si="200"/>
        <v>0.95159634092997603</v>
      </c>
      <c r="AT485" s="12">
        <f t="shared" si="201"/>
        <v>0.93253159106508698</v>
      </c>
      <c r="AU485" s="12">
        <f t="shared" si="202"/>
        <v>0.91359937593521923</v>
      </c>
      <c r="AV485" s="12">
        <f t="shared" si="203"/>
        <v>0.84316245635402309</v>
      </c>
      <c r="AW485" s="12">
        <f t="shared" si="204"/>
        <v>0.45780134000109379</v>
      </c>
      <c r="AX485" s="12">
        <f t="shared" si="205"/>
        <v>0.92382175377365949</v>
      </c>
      <c r="AY485" s="12">
        <f t="shared" si="206"/>
        <v>0.39980820462855349</v>
      </c>
      <c r="AZ485" s="12">
        <f t="shared" si="207"/>
        <v>0.27796935019166025</v>
      </c>
      <c r="BA485" s="12">
        <f t="shared" si="208"/>
        <v>0.78488771121269807</v>
      </c>
      <c r="BB485" s="12">
        <f t="shared" si="209"/>
        <v>0.19187552974802688</v>
      </c>
      <c r="BC485" s="12">
        <f t="shared" si="210"/>
        <v>0.90800310101019155</v>
      </c>
      <c r="BD485" s="12">
        <f t="shared" si="211"/>
        <v>0.70145076666467165</v>
      </c>
      <c r="BE485" s="12">
        <f t="shared" si="212"/>
        <v>0.71744592029464382</v>
      </c>
      <c r="BF485" s="12">
        <f t="shared" si="213"/>
        <v>0.35656072108622988</v>
      </c>
      <c r="BG485" s="12">
        <f t="shared" si="214"/>
        <v>0.74008655143729152</v>
      </c>
      <c r="BH485" s="12">
        <f t="shared" si="215"/>
        <v>0.40302459670542173</v>
      </c>
      <c r="BI485" s="12">
        <f t="shared" si="216"/>
        <v>0.77611863038422035</v>
      </c>
    </row>
    <row r="486" spans="1:61" x14ac:dyDescent="0.55000000000000004">
      <c r="A486" s="12" t="s">
        <v>1193</v>
      </c>
      <c r="B486" s="12" t="s">
        <v>1194</v>
      </c>
      <c r="C486" s="17" t="s">
        <v>51</v>
      </c>
      <c r="D486" s="12" t="s">
        <v>9</v>
      </c>
      <c r="E486" s="12">
        <v>1716</v>
      </c>
      <c r="F486" s="12">
        <v>71.955989400431022</v>
      </c>
      <c r="G486" s="12">
        <v>48.96914239679522</v>
      </c>
      <c r="H486" s="12">
        <f t="shared" si="158"/>
        <v>84031.048352900601</v>
      </c>
      <c r="I486" s="12">
        <v>55.040255850654773</v>
      </c>
      <c r="J486" s="12">
        <v>11.891002420190805</v>
      </c>
      <c r="K486" s="12">
        <v>26.505363409602484</v>
      </c>
      <c r="L486" s="14">
        <v>58.148047752390987</v>
      </c>
      <c r="M486" s="12">
        <v>43.523933412826224</v>
      </c>
      <c r="N486" s="12">
        <v>7.2895782804808604</v>
      </c>
      <c r="O486" s="12">
        <v>12.154382835102277</v>
      </c>
      <c r="P486" s="12">
        <v>44.385805336877986</v>
      </c>
      <c r="Q486" s="12">
        <v>488.05687553804438</v>
      </c>
      <c r="R486" s="12">
        <v>224.85040967220581</v>
      </c>
      <c r="S486" s="12">
        <v>826.71919619501523</v>
      </c>
      <c r="T486" s="12">
        <v>861.11259293512569</v>
      </c>
      <c r="U486" s="12">
        <v>29.99990909082193</v>
      </c>
      <c r="V486" s="15">
        <v>16.448819471861569</v>
      </c>
      <c r="W486" s="15">
        <v>38.033480776193997</v>
      </c>
      <c r="X486" s="15">
        <v>42.930896159880902</v>
      </c>
      <c r="Y486" s="12">
        <v>22.028925271315565</v>
      </c>
      <c r="Z486" s="12">
        <v>24.988627224980426</v>
      </c>
      <c r="AA486" s="12">
        <v>29.918379940238115</v>
      </c>
      <c r="AB486" s="12">
        <v>40.460208876049514</v>
      </c>
      <c r="AC486" s="12">
        <v>34.328586168814738</v>
      </c>
      <c r="AD486" s="12">
        <v>27.319082949924152</v>
      </c>
      <c r="AE486" s="12">
        <v>47.713077473969847</v>
      </c>
      <c r="AF486" s="12">
        <v>54.791697118415357</v>
      </c>
      <c r="AG486" s="12">
        <v>839.02040085974397</v>
      </c>
      <c r="AH486" s="12">
        <v>73.095487282630401</v>
      </c>
      <c r="AI486" s="12">
        <v>1345.040923861774</v>
      </c>
      <c r="AJ486" s="12">
        <v>1561.1852998387071</v>
      </c>
      <c r="AK486" s="12">
        <v>2258.6036375119133</v>
      </c>
      <c r="AL486" s="12">
        <v>5248.0152695978632</v>
      </c>
      <c r="AM486" s="12">
        <v>833.45175422799525</v>
      </c>
      <c r="AN486" s="12">
        <v>5623.9589716471673</v>
      </c>
      <c r="AP486" s="12">
        <f t="shared" si="159"/>
        <v>1.1874426405351235</v>
      </c>
      <c r="AQ486" s="12">
        <f t="shared" si="198"/>
        <v>0.90640356690793933</v>
      </c>
      <c r="AR486" s="12">
        <f t="shared" si="199"/>
        <v>0.87669283264169462</v>
      </c>
      <c r="AS486" s="12">
        <f t="shared" si="200"/>
        <v>0.82623886994388995</v>
      </c>
      <c r="AT486" s="12">
        <f t="shared" si="201"/>
        <v>1.1189025258894709</v>
      </c>
      <c r="AU486" s="12">
        <f t="shared" si="202"/>
        <v>0.94655380495369379</v>
      </c>
      <c r="AV486" s="12">
        <f t="shared" si="203"/>
        <v>0.20449529915132636</v>
      </c>
      <c r="AW486" s="12">
        <f t="shared" si="204"/>
        <v>0.45582550806295319</v>
      </c>
      <c r="AX486" s="12">
        <f t="shared" si="205"/>
        <v>0.98058226233566448</v>
      </c>
      <c r="AY486" s="12">
        <f t="shared" si="206"/>
        <v>0.16423219597244321</v>
      </c>
      <c r="AZ486" s="12">
        <f t="shared" si="207"/>
        <v>0.27383490606632743</v>
      </c>
      <c r="BA486" s="12">
        <f t="shared" si="208"/>
        <v>0.69879531466331157</v>
      </c>
      <c r="BB486" s="12">
        <f t="shared" si="209"/>
        <v>0.38314642700687573</v>
      </c>
      <c r="BC486" s="12">
        <f t="shared" si="210"/>
        <v>0.88592329017665461</v>
      </c>
      <c r="BD486" s="12">
        <f t="shared" si="211"/>
        <v>0.54445901005606578</v>
      </c>
      <c r="BE486" s="12">
        <f t="shared" si="212"/>
        <v>0.61760994120256474</v>
      </c>
      <c r="BF486" s="12">
        <f t="shared" si="213"/>
        <v>0.73945193985264734</v>
      </c>
      <c r="BG486" s="12">
        <f t="shared" si="214"/>
        <v>0.62652898110865385</v>
      </c>
      <c r="BH486" s="12">
        <f t="shared" si="215"/>
        <v>0.49859895543812738</v>
      </c>
      <c r="BI486" s="12">
        <f t="shared" si="216"/>
        <v>0.87080853456414653</v>
      </c>
    </row>
    <row r="487" spans="1:61" x14ac:dyDescent="0.55000000000000004">
      <c r="A487" s="12" t="s">
        <v>1195</v>
      </c>
      <c r="B487" s="12" t="s">
        <v>1140</v>
      </c>
      <c r="C487" s="17" t="s">
        <v>322</v>
      </c>
      <c r="D487" s="12" t="s">
        <v>9</v>
      </c>
      <c r="E487" s="12">
        <v>2271</v>
      </c>
      <c r="F487" s="12">
        <v>70.640698704039849</v>
      </c>
      <c r="G487" s="12">
        <v>41.95833861885793</v>
      </c>
      <c r="H487" s="12">
        <f t="shared" si="158"/>
        <v>95287.387003426353</v>
      </c>
      <c r="I487" s="12">
        <v>46.28798247006344</v>
      </c>
      <c r="J487" s="12">
        <v>9.2601261822640559</v>
      </c>
      <c r="K487" s="12">
        <v>16.799634515379264</v>
      </c>
      <c r="L487" s="14">
        <v>49.159881803082904</v>
      </c>
      <c r="M487" s="12">
        <v>36.819535550453999</v>
      </c>
      <c r="N487" s="12">
        <v>14.104265888635821</v>
      </c>
      <c r="O487" s="12">
        <v>6.7162878339712542</v>
      </c>
      <c r="P487" s="12">
        <v>38.911910538584742</v>
      </c>
      <c r="Q487" s="12">
        <v>1090.9827931970963</v>
      </c>
      <c r="R487" s="12">
        <v>231.96241045104733</v>
      </c>
      <c r="S487" s="12">
        <v>869.6896075201139</v>
      </c>
      <c r="T487" s="12">
        <v>1279.9990426301581</v>
      </c>
      <c r="U487" s="12">
        <v>30.685385864391492</v>
      </c>
      <c r="V487" s="15">
        <v>7.3401245102836112</v>
      </c>
      <c r="W487" s="15">
        <v>49.2398438596407</v>
      </c>
      <c r="X487" s="15">
        <v>52.729498153727903</v>
      </c>
      <c r="Y487" s="12">
        <v>27.130061566096465</v>
      </c>
      <c r="Z487" s="12">
        <v>20.202011979623279</v>
      </c>
      <c r="AA487" s="12">
        <v>61.520217212174252</v>
      </c>
      <c r="AB487" s="12">
        <v>64.848835598094368</v>
      </c>
      <c r="AC487" s="12">
        <v>36.041605618414387</v>
      </c>
      <c r="AD487" s="12">
        <v>15.031463281897306</v>
      </c>
      <c r="AE487" s="12">
        <v>31.521238459694381</v>
      </c>
      <c r="AF487" s="12">
        <v>48.963519846838544</v>
      </c>
      <c r="AG487" s="12">
        <v>662.09811103489528</v>
      </c>
      <c r="AH487" s="12">
        <v>86.311896813252162</v>
      </c>
      <c r="AI487" s="12">
        <v>1836.3088928298662</v>
      </c>
      <c r="AJ487" s="12">
        <v>1947.4230831398265</v>
      </c>
      <c r="AK487" s="12">
        <v>2665.2776194154931</v>
      </c>
      <c r="AL487" s="12">
        <v>1032.5022791959095</v>
      </c>
      <c r="AM487" s="12">
        <v>3218.5225376885319</v>
      </c>
      <c r="AN487" s="12">
        <v>4152.9132920312068</v>
      </c>
      <c r="AP487" s="12">
        <f t="shared" si="159"/>
        <v>1.1716355656891591</v>
      </c>
      <c r="AQ487" s="12">
        <f t="shared" si="198"/>
        <v>0.92739397744161423</v>
      </c>
      <c r="AR487" s="12">
        <f t="shared" si="199"/>
        <v>1.2567108205287456</v>
      </c>
      <c r="AS487" s="12">
        <f t="shared" si="200"/>
        <v>1.5455529873851688</v>
      </c>
      <c r="AT487" s="12">
        <f t="shared" si="201"/>
        <v>1.1669556388210323</v>
      </c>
      <c r="AU487" s="12">
        <f t="shared" si="202"/>
        <v>0.94158042640290962</v>
      </c>
      <c r="AV487" s="12">
        <f t="shared" si="203"/>
        <v>0.18836754366816513</v>
      </c>
      <c r="AW487" s="12">
        <f t="shared" si="204"/>
        <v>0.34173464010089888</v>
      </c>
      <c r="AX487" s="12">
        <f t="shared" si="205"/>
        <v>0.94622790402296075</v>
      </c>
      <c r="AY487" s="12">
        <f t="shared" si="206"/>
        <v>0.36246654799049621</v>
      </c>
      <c r="AZ487" s="12">
        <f t="shared" si="207"/>
        <v>0.17260236624237293</v>
      </c>
      <c r="BA487" s="12">
        <f t="shared" si="208"/>
        <v>0.58193965311278195</v>
      </c>
      <c r="BB487" s="12">
        <f t="shared" si="209"/>
        <v>0.1392033826850422</v>
      </c>
      <c r="BC487" s="12">
        <f t="shared" si="210"/>
        <v>0.93381969454908442</v>
      </c>
      <c r="BD487" s="12">
        <f t="shared" si="211"/>
        <v>0.41835849966893934</v>
      </c>
      <c r="BE487" s="12">
        <f t="shared" si="212"/>
        <v>0.31152466799599604</v>
      </c>
      <c r="BF487" s="12">
        <f t="shared" si="213"/>
        <v>0.94867111559952311</v>
      </c>
      <c r="BG487" s="12">
        <f t="shared" si="214"/>
        <v>0.73609098633339998</v>
      </c>
      <c r="BH487" s="12">
        <f t="shared" si="215"/>
        <v>0.30699311097153181</v>
      </c>
      <c r="BI487" s="12">
        <f t="shared" si="216"/>
        <v>0.64376986291621008</v>
      </c>
    </row>
    <row r="488" spans="1:61" x14ac:dyDescent="0.55000000000000004">
      <c r="A488" s="12" t="s">
        <v>1196</v>
      </c>
      <c r="B488" s="12" t="s">
        <v>1197</v>
      </c>
      <c r="C488" s="17" t="s">
        <v>322</v>
      </c>
      <c r="D488" s="12" t="s">
        <v>9</v>
      </c>
      <c r="E488" s="12">
        <v>1912</v>
      </c>
      <c r="F488" s="12">
        <v>68.870005230101739</v>
      </c>
      <c r="G488" s="12">
        <v>45.846838722612723</v>
      </c>
      <c r="H488" s="12">
        <f t="shared" si="158"/>
        <v>87659.155637635529</v>
      </c>
      <c r="I488" s="12">
        <v>30.6151912793154</v>
      </c>
      <c r="J488" s="12">
        <v>14.085796182767897</v>
      </c>
      <c r="K488" s="12">
        <v>31.72830308517635</v>
      </c>
      <c r="L488" s="14">
        <v>42.299088552108408</v>
      </c>
      <c r="M488" s="12">
        <v>32.974065798383542</v>
      </c>
      <c r="N488" s="12">
        <v>17.921795651403475</v>
      </c>
      <c r="O488" s="12">
        <v>9.7153997243797967</v>
      </c>
      <c r="P488" s="12">
        <v>36.087363582993333</v>
      </c>
      <c r="Q488" s="12">
        <v>504.32076666962951</v>
      </c>
      <c r="R488" s="12">
        <v>48.021575845704291</v>
      </c>
      <c r="S488" s="12">
        <v>1154.2307492343411</v>
      </c>
      <c r="T488" s="12">
        <v>1155.6510160486509</v>
      </c>
      <c r="U488" s="12">
        <v>25.420453849850269</v>
      </c>
      <c r="V488" s="15">
        <v>23.271396823026752</v>
      </c>
      <c r="W488" s="15">
        <v>44.185594532316287</v>
      </c>
      <c r="X488" s="15">
        <v>48.957784203397281</v>
      </c>
      <c r="Y488" s="12">
        <v>22.780601712664811</v>
      </c>
      <c r="Z488" s="12">
        <v>22.513403302010328</v>
      </c>
      <c r="AA488" s="12">
        <v>9.2492344640545472</v>
      </c>
      <c r="AB488" s="12">
        <v>31.839251985581193</v>
      </c>
      <c r="AC488" s="12">
        <v>34.069752661710446</v>
      </c>
      <c r="AD488" s="12">
        <v>20.87566712738586</v>
      </c>
      <c r="AE488" s="12">
        <v>23.079730048327434</v>
      </c>
      <c r="AF488" s="12">
        <v>43.382220936984652</v>
      </c>
      <c r="AG488" s="12">
        <v>687.22949880319504</v>
      </c>
      <c r="AH488" s="12">
        <v>51.72606858578564</v>
      </c>
      <c r="AI488" s="12">
        <v>1597.8338554863656</v>
      </c>
      <c r="AJ488" s="12">
        <v>1731.533893554089</v>
      </c>
      <c r="AK488" s="12">
        <v>1085.7251837518754</v>
      </c>
      <c r="AL488" s="12">
        <v>1611.4439156022681</v>
      </c>
      <c r="AM488" s="12">
        <v>1312.25253470588</v>
      </c>
      <c r="AN488" s="12">
        <v>1658.1514092671378</v>
      </c>
      <c r="AP488" s="12">
        <f t="shared" si="159"/>
        <v>0.92261734354315506</v>
      </c>
      <c r="AQ488" s="12">
        <f t="shared" si="198"/>
        <v>0.78712872225133834</v>
      </c>
      <c r="AR488" s="12">
        <f t="shared" si="199"/>
        <v>1.0678551797127545</v>
      </c>
      <c r="AS488" s="12">
        <f t="shared" si="200"/>
        <v>0.69446995414925605</v>
      </c>
      <c r="AT488" s="12">
        <f t="shared" si="201"/>
        <v>0.94624236142998308</v>
      </c>
      <c r="AU488" s="12">
        <f t="shared" si="202"/>
        <v>0.72377898265113749</v>
      </c>
      <c r="AV488" s="12">
        <f t="shared" si="203"/>
        <v>0.33300472102172013</v>
      </c>
      <c r="AW488" s="12">
        <f t="shared" si="204"/>
        <v>0.75009424957443549</v>
      </c>
      <c r="AX488" s="12">
        <f t="shared" si="205"/>
        <v>0.91372886585494495</v>
      </c>
      <c r="AY488" s="12">
        <f t="shared" si="206"/>
        <v>0.49662247036104812</v>
      </c>
      <c r="AZ488" s="12">
        <f t="shared" si="207"/>
        <v>0.26921888328130217</v>
      </c>
      <c r="BA488" s="12">
        <f t="shared" si="208"/>
        <v>0.51923211524933133</v>
      </c>
      <c r="BB488" s="12">
        <f t="shared" si="209"/>
        <v>0.47533599001018312</v>
      </c>
      <c r="BC488" s="12">
        <f t="shared" si="210"/>
        <v>0.90252439425659625</v>
      </c>
      <c r="BD488" s="12">
        <f t="shared" si="211"/>
        <v>0.71548796821549998</v>
      </c>
      <c r="BE488" s="12">
        <f t="shared" si="212"/>
        <v>0.70709586117807688</v>
      </c>
      <c r="BF488" s="12">
        <f t="shared" si="213"/>
        <v>0.29049785680402229</v>
      </c>
      <c r="BG488" s="12">
        <f t="shared" si="214"/>
        <v>0.78533906116053531</v>
      </c>
      <c r="BH488" s="12">
        <f t="shared" si="215"/>
        <v>0.4812032827390062</v>
      </c>
      <c r="BI488" s="12">
        <f t="shared" si="216"/>
        <v>0.53200895550857485</v>
      </c>
    </row>
    <row r="489" spans="1:61" x14ac:dyDescent="0.55000000000000004">
      <c r="A489" s="12" t="s">
        <v>1198</v>
      </c>
      <c r="B489" s="12" t="s">
        <v>1199</v>
      </c>
      <c r="C489" s="12" t="s">
        <v>8</v>
      </c>
      <c r="D489" s="12" t="s">
        <v>9</v>
      </c>
      <c r="E489" s="12">
        <v>2174</v>
      </c>
      <c r="F489" s="12">
        <v>72.401729642482408</v>
      </c>
      <c r="G489" s="12">
        <v>64.092929341235731</v>
      </c>
      <c r="H489" s="12">
        <f t="shared" si="158"/>
        <v>139338.02838784648</v>
      </c>
      <c r="I489" s="12">
        <v>34.602244095887656</v>
      </c>
      <c r="J489" s="12">
        <v>18.476004193902323</v>
      </c>
      <c r="K489" s="12">
        <v>33.164523265024592</v>
      </c>
      <c r="L489" s="14">
        <v>47.522000171093083</v>
      </c>
      <c r="M489" s="12">
        <v>43.855907260439324</v>
      </c>
      <c r="N489" s="12">
        <v>16.697745259922527</v>
      </c>
      <c r="O489" s="12">
        <v>13.596347441441129</v>
      </c>
      <c r="P489" s="12">
        <v>47.545224787256267</v>
      </c>
      <c r="Q489" s="12">
        <v>474.28132644890866</v>
      </c>
      <c r="R489" s="12">
        <v>61.148809808581746</v>
      </c>
      <c r="S489" s="12">
        <v>1089.5485310192887</v>
      </c>
      <c r="T489" s="12">
        <v>1144.3221821779789</v>
      </c>
      <c r="U489" s="12">
        <v>33.544986272914201</v>
      </c>
      <c r="V489" s="15">
        <v>9.7246181448658611</v>
      </c>
      <c r="W489" s="15">
        <v>57.1811057266303</v>
      </c>
      <c r="X489" s="15">
        <v>62.11134203859249</v>
      </c>
      <c r="Y489" s="12">
        <v>32.479679538949895</v>
      </c>
      <c r="Z489" s="12">
        <v>21.795707261887927</v>
      </c>
      <c r="AA489" s="12">
        <v>13.611640695277096</v>
      </c>
      <c r="AB489" s="12">
        <v>38.196746888630422</v>
      </c>
      <c r="AC489" s="12">
        <v>47.635019021002861</v>
      </c>
      <c r="AD489" s="12">
        <v>20.555249592289822</v>
      </c>
      <c r="AE489" s="12">
        <v>30.096564166550639</v>
      </c>
      <c r="AF489" s="12">
        <v>57.296194067226054</v>
      </c>
      <c r="AG489" s="12">
        <v>811.23294541830467</v>
      </c>
      <c r="AH489" s="12">
        <v>965.65971940109978</v>
      </c>
      <c r="AI489" s="12">
        <v>2060.5904651697133</v>
      </c>
      <c r="AJ489" s="12">
        <v>2210.4596179751597</v>
      </c>
      <c r="AK489" s="12">
        <v>1938.7324446600087</v>
      </c>
      <c r="AL489" s="12">
        <v>1971.4034038862048</v>
      </c>
      <c r="AM489" s="12">
        <v>2941.6098706625189</v>
      </c>
      <c r="AN489" s="12">
        <v>3495.5832179890608</v>
      </c>
      <c r="AP489" s="12">
        <f t="shared" si="159"/>
        <v>0.74145464499028069</v>
      </c>
      <c r="AQ489" s="12">
        <f t="shared" si="198"/>
        <v>0.74181700346573021</v>
      </c>
      <c r="AR489" s="12">
        <f t="shared" si="199"/>
        <v>0.96908259112182071</v>
      </c>
      <c r="AS489" s="12">
        <f t="shared" si="200"/>
        <v>0.59595882543092982</v>
      </c>
      <c r="AT489" s="12">
        <f t="shared" si="201"/>
        <v>0.8939549909191491</v>
      </c>
      <c r="AU489" s="12">
        <f t="shared" si="202"/>
        <v>0.72813105448654247</v>
      </c>
      <c r="AV489" s="12">
        <f t="shared" si="203"/>
        <v>0.38878843751069631</v>
      </c>
      <c r="AW489" s="12">
        <f t="shared" si="204"/>
        <v>0.69787725991377925</v>
      </c>
      <c r="AX489" s="12">
        <f t="shared" si="205"/>
        <v>0.92240403650787228</v>
      </c>
      <c r="AY489" s="12">
        <f t="shared" si="206"/>
        <v>0.35119710411797422</v>
      </c>
      <c r="AZ489" s="12">
        <f t="shared" si="207"/>
        <v>0.28596662445658289</v>
      </c>
      <c r="BA489" s="12">
        <f t="shared" si="208"/>
        <v>0.54007827188907365</v>
      </c>
      <c r="BB489" s="12">
        <f t="shared" si="209"/>
        <v>0.15656750966391181</v>
      </c>
      <c r="BC489" s="12">
        <f t="shared" si="210"/>
        <v>0.92062260852617195</v>
      </c>
      <c r="BD489" s="12">
        <f t="shared" si="211"/>
        <v>0.85032580480349074</v>
      </c>
      <c r="BE489" s="12">
        <f t="shared" si="212"/>
        <v>0.57061684665024703</v>
      </c>
      <c r="BF489" s="12">
        <f t="shared" si="213"/>
        <v>0.35635601992400862</v>
      </c>
      <c r="BG489" s="12">
        <f t="shared" si="214"/>
        <v>0.83138190584024374</v>
      </c>
      <c r="BH489" s="12">
        <f t="shared" si="215"/>
        <v>0.35875418824803956</v>
      </c>
      <c r="BI489" s="12">
        <f t="shared" si="216"/>
        <v>0.5252803376649785</v>
      </c>
    </row>
    <row r="490" spans="1:61" x14ac:dyDescent="0.55000000000000004">
      <c r="A490" s="12" t="s">
        <v>1200</v>
      </c>
      <c r="B490" s="12" t="s">
        <v>1201</v>
      </c>
      <c r="C490" s="12" t="s">
        <v>8</v>
      </c>
      <c r="D490" s="12" t="s">
        <v>9</v>
      </c>
      <c r="E490" s="12">
        <v>1914</v>
      </c>
      <c r="F490" s="12">
        <v>69.523737429712583</v>
      </c>
      <c r="G490" s="12">
        <v>36.485780045561029</v>
      </c>
      <c r="H490" s="12">
        <f t="shared" si="158"/>
        <v>69833.783007203805</v>
      </c>
      <c r="I490" s="12">
        <v>33.031084271042637</v>
      </c>
      <c r="J490" s="12">
        <v>11.801401027036718</v>
      </c>
      <c r="K490" s="12">
        <v>24.352459143743324</v>
      </c>
      <c r="L490" s="14">
        <v>40.297000657430509</v>
      </c>
      <c r="M490" s="12">
        <v>30.895408924936397</v>
      </c>
      <c r="N490" s="12">
        <v>6.7918884247912805</v>
      </c>
      <c r="O490" s="12">
        <v>17.172183630677026</v>
      </c>
      <c r="P490" s="12">
        <v>34.002412575296376</v>
      </c>
      <c r="Q490" s="12">
        <v>419.01347652824478</v>
      </c>
      <c r="R490" s="12">
        <v>48.868749821425347</v>
      </c>
      <c r="S490" s="12">
        <v>935.12543353116553</v>
      </c>
      <c r="T490" s="12">
        <v>990.68928655005834</v>
      </c>
      <c r="U490" s="12">
        <v>73.667632216996054</v>
      </c>
      <c r="V490" s="15">
        <v>11.380834544059262</v>
      </c>
      <c r="W490" s="15">
        <v>85.764442151350607</v>
      </c>
      <c r="X490" s="15">
        <v>96.849809036864528</v>
      </c>
      <c r="Y490" s="12">
        <v>54.995886760564836</v>
      </c>
      <c r="Z490" s="12">
        <v>19.355179250356805</v>
      </c>
      <c r="AA490" s="12">
        <v>14.511610375811253</v>
      </c>
      <c r="AB490" s="12">
        <v>56.691597486738104</v>
      </c>
      <c r="AC490" s="12">
        <v>57.27261781822434</v>
      </c>
      <c r="AD490" s="12">
        <v>17.987682002411642</v>
      </c>
      <c r="AE490" s="12">
        <v>22.060814450032201</v>
      </c>
      <c r="AF490" s="12">
        <v>60.571073630039244</v>
      </c>
      <c r="AG490" s="12">
        <v>1577.8896527330733</v>
      </c>
      <c r="AH490" s="12">
        <v>384.53136413230089</v>
      </c>
      <c r="AI490" s="12">
        <v>3144.0428816881426</v>
      </c>
      <c r="AJ490" s="12">
        <v>3480.7386993925534</v>
      </c>
      <c r="AK490" s="12">
        <v>2294.6762041321681</v>
      </c>
      <c r="AL490" s="12">
        <v>1352.6474111525415</v>
      </c>
      <c r="AM490" s="12">
        <v>1866.3275976905281</v>
      </c>
      <c r="AN490" s="12">
        <v>2522.3011126246647</v>
      </c>
      <c r="AP490" s="12">
        <f t="shared" si="159"/>
        <v>1.1044576985091255</v>
      </c>
      <c r="AQ490" s="12">
        <f t="shared" si="198"/>
        <v>0.93193601816478666</v>
      </c>
      <c r="AR490" s="12">
        <f t="shared" si="199"/>
        <v>2.6544535683744432</v>
      </c>
      <c r="AS490" s="12">
        <f t="shared" si="200"/>
        <v>1.5537997931233862</v>
      </c>
      <c r="AT490" s="12">
        <f t="shared" si="201"/>
        <v>1.6601282350110671</v>
      </c>
      <c r="AU490" s="12">
        <f t="shared" si="202"/>
        <v>0.81969088845702753</v>
      </c>
      <c r="AV490" s="12">
        <f t="shared" si="203"/>
        <v>0.29286053141676227</v>
      </c>
      <c r="AW490" s="12">
        <f t="shared" si="204"/>
        <v>0.60432436028592829</v>
      </c>
      <c r="AX490" s="12">
        <f t="shared" si="205"/>
        <v>0.90862402356069005</v>
      </c>
      <c r="AY490" s="12">
        <f t="shared" si="206"/>
        <v>0.19974725057379492</v>
      </c>
      <c r="AZ490" s="12">
        <f t="shared" si="207"/>
        <v>0.50502838857831689</v>
      </c>
      <c r="BA490" s="12">
        <f t="shared" si="208"/>
        <v>0.7606378675352421</v>
      </c>
      <c r="BB490" s="12">
        <f t="shared" si="209"/>
        <v>0.1175101392272989</v>
      </c>
      <c r="BC490" s="12">
        <f t="shared" si="210"/>
        <v>0.88554064281846512</v>
      </c>
      <c r="BD490" s="12">
        <f t="shared" si="211"/>
        <v>0.97008885264575684</v>
      </c>
      <c r="BE490" s="12">
        <f t="shared" si="212"/>
        <v>0.3414117807296676</v>
      </c>
      <c r="BF490" s="12">
        <f t="shared" si="213"/>
        <v>0.25597462444423025</v>
      </c>
      <c r="BG490" s="12">
        <f t="shared" si="214"/>
        <v>0.94554404249194146</v>
      </c>
      <c r="BH490" s="12">
        <f t="shared" si="215"/>
        <v>0.29696818835139388</v>
      </c>
      <c r="BI490" s="12">
        <f t="shared" si="216"/>
        <v>0.36421369356562794</v>
      </c>
    </row>
    <row r="491" spans="1:61" x14ac:dyDescent="0.55000000000000004">
      <c r="A491" s="12" t="s">
        <v>1202</v>
      </c>
      <c r="B491" s="12" t="s">
        <v>1203</v>
      </c>
      <c r="C491" s="16" t="s">
        <v>515</v>
      </c>
      <c r="D491" s="12" t="s">
        <v>9</v>
      </c>
      <c r="E491" s="12">
        <v>2281</v>
      </c>
      <c r="F491" s="12">
        <v>72.600111922615682</v>
      </c>
      <c r="G491" s="12">
        <v>46.704963810699581</v>
      </c>
      <c r="H491" s="12">
        <f t="shared" si="158"/>
        <v>106534.02245220574</v>
      </c>
      <c r="I491" s="12">
        <v>31.262598141988953</v>
      </c>
      <c r="J491" s="12">
        <v>26.279861716981536</v>
      </c>
      <c r="K491" s="12">
        <v>26.59536973494847</v>
      </c>
      <c r="L491" s="14">
        <v>42.580882588606158</v>
      </c>
      <c r="M491" s="12">
        <v>29.023679490718163</v>
      </c>
      <c r="N491" s="12">
        <v>10.715691923309988</v>
      </c>
      <c r="O491" s="12">
        <v>17.867823527702043</v>
      </c>
      <c r="P491" s="12">
        <v>34.961419233072625</v>
      </c>
      <c r="Q491" s="12">
        <v>389.95852272768616</v>
      </c>
      <c r="R491" s="12">
        <v>46.28360884466673</v>
      </c>
      <c r="S491" s="12">
        <v>1095.2277561263613</v>
      </c>
      <c r="T491" s="12">
        <v>1150.9746121397138</v>
      </c>
      <c r="U491" s="12">
        <v>29.299302362989508</v>
      </c>
      <c r="V491" s="15">
        <v>17.037438721814667</v>
      </c>
      <c r="W491" s="15">
        <v>47.182738458055105</v>
      </c>
      <c r="X491" s="15">
        <v>54.193788758380968</v>
      </c>
      <c r="Y491" s="12">
        <v>29.766034699579695</v>
      </c>
      <c r="Z491" s="12">
        <v>34.352152062783219</v>
      </c>
      <c r="AA491" s="12">
        <v>12.442263877762395</v>
      </c>
      <c r="AB491" s="12">
        <v>45.583289360095307</v>
      </c>
      <c r="AC491" s="12">
        <v>29.825763400676195</v>
      </c>
      <c r="AD491" s="12">
        <v>22.979727008596839</v>
      </c>
      <c r="AE491" s="12">
        <v>17.839204456763213</v>
      </c>
      <c r="AF491" s="12">
        <v>35.807692126160049</v>
      </c>
      <c r="AG491" s="12">
        <v>767.57516534651359</v>
      </c>
      <c r="AH491" s="12">
        <v>443.30227051250534</v>
      </c>
      <c r="AI491" s="12">
        <v>1494.2201703964988</v>
      </c>
      <c r="AJ491" s="12">
        <v>1639.9812900750037</v>
      </c>
      <c r="AK491" s="12">
        <v>1163.2922539061383</v>
      </c>
      <c r="AL491" s="12">
        <v>376.98074742508959</v>
      </c>
      <c r="AM491" s="12">
        <v>1473.6521324302503</v>
      </c>
      <c r="AN491" s="12">
        <v>1516.4175785785628</v>
      </c>
      <c r="AP491" s="12">
        <f t="shared" si="159"/>
        <v>0.91169929520106718</v>
      </c>
      <c r="AQ491" s="12">
        <f t="shared" si="198"/>
        <v>0.74855896205754813</v>
      </c>
      <c r="AR491" s="12">
        <f t="shared" si="199"/>
        <v>1.1603432341374769</v>
      </c>
      <c r="AS491" s="12">
        <f t="shared" si="200"/>
        <v>0.97598382786141225</v>
      </c>
      <c r="AT491" s="12">
        <f t="shared" si="201"/>
        <v>0.76667851133109988</v>
      </c>
      <c r="AU491" s="12">
        <f t="shared" si="202"/>
        <v>0.73419328678626861</v>
      </c>
      <c r="AV491" s="12">
        <f t="shared" si="203"/>
        <v>0.61717512929178997</v>
      </c>
      <c r="AW491" s="12">
        <f t="shared" si="204"/>
        <v>0.62458474597388669</v>
      </c>
      <c r="AX491" s="12">
        <f t="shared" si="205"/>
        <v>0.83016308054400978</v>
      </c>
      <c r="AY491" s="12">
        <f t="shared" si="206"/>
        <v>0.30650048420154558</v>
      </c>
      <c r="AZ491" s="12">
        <f t="shared" si="207"/>
        <v>0.51107260287647394</v>
      </c>
      <c r="BA491" s="12">
        <f t="shared" si="208"/>
        <v>0.54063949087631236</v>
      </c>
      <c r="BB491" s="12">
        <f t="shared" si="209"/>
        <v>0.31437991534001869</v>
      </c>
      <c r="BC491" s="12">
        <f t="shared" si="210"/>
        <v>0.87063000279267955</v>
      </c>
      <c r="BD491" s="12">
        <f t="shared" si="211"/>
        <v>0.6530032193253168</v>
      </c>
      <c r="BE491" s="12">
        <f t="shared" si="212"/>
        <v>0.75361283806025436</v>
      </c>
      <c r="BF491" s="12">
        <f t="shared" si="213"/>
        <v>0.27295669207792295</v>
      </c>
      <c r="BG491" s="12">
        <f t="shared" si="214"/>
        <v>0.832942913371576</v>
      </c>
      <c r="BH491" s="12">
        <f t="shared" si="215"/>
        <v>0.64175392615735005</v>
      </c>
      <c r="BI491" s="12">
        <f t="shared" si="216"/>
        <v>0.49819475642023892</v>
      </c>
    </row>
    <row r="492" spans="1:61" x14ac:dyDescent="0.55000000000000004">
      <c r="A492" s="12" t="s">
        <v>1204</v>
      </c>
      <c r="B492" s="12" t="s">
        <v>1205</v>
      </c>
      <c r="C492" s="12" t="s">
        <v>8</v>
      </c>
      <c r="D492" s="12" t="s">
        <v>9</v>
      </c>
      <c r="E492" s="12">
        <v>1924</v>
      </c>
      <c r="F492" s="12">
        <v>70.786827581495942</v>
      </c>
      <c r="G492" s="12">
        <v>38.75644901298903</v>
      </c>
      <c r="H492" s="12">
        <f t="shared" si="158"/>
        <v>74567.407900990889</v>
      </c>
      <c r="I492" s="12">
        <v>33.000821985059261</v>
      </c>
      <c r="J492" s="12">
        <v>36.925534520358674</v>
      </c>
      <c r="K492" s="12">
        <v>32.829786042781265</v>
      </c>
      <c r="L492" s="14">
        <v>46.725474151010474</v>
      </c>
      <c r="M492" s="12">
        <v>36.16374370668467</v>
      </c>
      <c r="N492" s="12">
        <v>16.287510313271806</v>
      </c>
      <c r="O492" s="12">
        <v>16.330447315865619</v>
      </c>
      <c r="P492" s="12">
        <v>41.449523794638758</v>
      </c>
      <c r="Q492" s="12">
        <v>408.03028500556059</v>
      </c>
      <c r="R492" s="12">
        <v>207.53482876417519</v>
      </c>
      <c r="S492" s="12">
        <v>1564.7836446348551</v>
      </c>
      <c r="T492" s="12">
        <v>1566.2610530855543</v>
      </c>
      <c r="U492" s="12">
        <v>29.961333700680804</v>
      </c>
      <c r="V492" s="15">
        <v>8.6415801056717534</v>
      </c>
      <c r="W492" s="15">
        <v>60.982862613177133</v>
      </c>
      <c r="X492" s="15">
        <v>67.177055791698024</v>
      </c>
      <c r="Y492" s="12">
        <v>36.061025320479786</v>
      </c>
      <c r="Z492" s="12">
        <v>23.314600810514328</v>
      </c>
      <c r="AA492" s="12">
        <v>21.594975384458404</v>
      </c>
      <c r="AB492" s="12">
        <v>44.85271062083045</v>
      </c>
      <c r="AC492" s="12">
        <v>35.272314852219743</v>
      </c>
      <c r="AD492" s="12">
        <v>20.823849289401174</v>
      </c>
      <c r="AE492" s="12">
        <v>22.611883122850884</v>
      </c>
      <c r="AF492" s="12">
        <v>44.568201905011897</v>
      </c>
      <c r="AG492" s="12">
        <v>993.49879169671556</v>
      </c>
      <c r="AH492" s="12">
        <v>337.80532263989755</v>
      </c>
      <c r="AI492" s="12">
        <v>2245.2225679528447</v>
      </c>
      <c r="AJ492" s="12">
        <v>2422.6473295383694</v>
      </c>
      <c r="AK492" s="12">
        <v>1410.9299478004564</v>
      </c>
      <c r="AL492" s="12">
        <v>1122.3327409128926</v>
      </c>
      <c r="AM492" s="12">
        <v>1185.1389041634454</v>
      </c>
      <c r="AN492" s="12">
        <v>1412.6254596533015</v>
      </c>
      <c r="AP492" s="12">
        <f t="shared" si="159"/>
        <v>1.205618041409074</v>
      </c>
      <c r="AQ492" s="12">
        <f t="shared" si="198"/>
        <v>1.0694871395660412</v>
      </c>
      <c r="AR492" s="12">
        <f t="shared" si="199"/>
        <v>1.7333129711956834</v>
      </c>
      <c r="AS492" s="12">
        <f t="shared" si="200"/>
        <v>1.1572967019191642</v>
      </c>
      <c r="AT492" s="12">
        <f t="shared" si="201"/>
        <v>1.1499557632350448</v>
      </c>
      <c r="AU492" s="12">
        <f t="shared" si="202"/>
        <v>0.70627045706170954</v>
      </c>
      <c r="AV492" s="12">
        <f t="shared" si="203"/>
        <v>0.79026559261914164</v>
      </c>
      <c r="AW492" s="12">
        <f t="shared" si="204"/>
        <v>0.70261001390119215</v>
      </c>
      <c r="AX492" s="12">
        <f t="shared" si="205"/>
        <v>0.87247669927060123</v>
      </c>
      <c r="AY492" s="12">
        <f t="shared" si="206"/>
        <v>0.39294806844990815</v>
      </c>
      <c r="AZ492" s="12">
        <f t="shared" si="207"/>
        <v>0.39398395496109084</v>
      </c>
      <c r="BA492" s="12">
        <f t="shared" si="208"/>
        <v>0.44600546045936612</v>
      </c>
      <c r="BB492" s="12">
        <f t="shared" si="209"/>
        <v>0.12863886343080416</v>
      </c>
      <c r="BC492" s="12">
        <f t="shared" si="210"/>
        <v>0.90779302389006467</v>
      </c>
      <c r="BD492" s="12">
        <f t="shared" si="211"/>
        <v>0.80398764804489564</v>
      </c>
      <c r="BE492" s="12">
        <f t="shared" si="212"/>
        <v>0.51980360802735037</v>
      </c>
      <c r="BF492" s="12">
        <f t="shared" si="213"/>
        <v>0.48146422112623194</v>
      </c>
      <c r="BG492" s="12">
        <f t="shared" si="214"/>
        <v>0.79142333198443915</v>
      </c>
      <c r="BH492" s="12">
        <f t="shared" si="215"/>
        <v>0.46723557153557588</v>
      </c>
      <c r="BI492" s="12">
        <f t="shared" si="216"/>
        <v>0.50735461957930317</v>
      </c>
    </row>
    <row r="493" spans="1:61" x14ac:dyDescent="0.55000000000000004">
      <c r="A493" s="12" t="s">
        <v>1206</v>
      </c>
      <c r="B493" s="12" t="s">
        <v>1207</v>
      </c>
      <c r="C493" s="17" t="s">
        <v>322</v>
      </c>
      <c r="D493" s="12" t="s">
        <v>9</v>
      </c>
      <c r="E493" s="12">
        <v>1692</v>
      </c>
      <c r="F493" s="12">
        <v>75.422303140455483</v>
      </c>
      <c r="G493" s="12">
        <v>55.166615183188604</v>
      </c>
      <c r="H493" s="12">
        <f t="shared" si="158"/>
        <v>93341.912889955114</v>
      </c>
      <c r="I493" s="12">
        <v>38.558207264204704</v>
      </c>
      <c r="J493" s="12">
        <v>38.804380562971737</v>
      </c>
      <c r="K493" s="12">
        <v>21.018655407954746</v>
      </c>
      <c r="L493" s="14">
        <v>44.040382686910689</v>
      </c>
      <c r="M493" s="12">
        <v>37.557238836108027</v>
      </c>
      <c r="N493" s="12">
        <v>14.648157638045623</v>
      </c>
      <c r="O493" s="12">
        <v>10.872281864570951</v>
      </c>
      <c r="P493" s="12">
        <v>40.532162699229531</v>
      </c>
      <c r="Q493" s="12">
        <v>424.31495506127931</v>
      </c>
      <c r="R493" s="12">
        <v>101.79804076475853</v>
      </c>
      <c r="S493" s="12">
        <v>1048.2594408909065</v>
      </c>
      <c r="T493" s="12">
        <v>1081.0269735682427</v>
      </c>
      <c r="U493" s="12">
        <v>31.334486892294937</v>
      </c>
      <c r="V493" s="15">
        <v>15.998359563591153</v>
      </c>
      <c r="W493" s="15">
        <v>49.752868058064408</v>
      </c>
      <c r="X493" s="15">
        <v>55.080201312089336</v>
      </c>
      <c r="Y493" s="12">
        <v>28.957336070257515</v>
      </c>
      <c r="Z493" s="12">
        <v>28.798371316750949</v>
      </c>
      <c r="AA493" s="12">
        <v>30.603501265745152</v>
      </c>
      <c r="AB493" s="12">
        <v>43.850839296634128</v>
      </c>
      <c r="AC493" s="12">
        <v>41.194943446425029</v>
      </c>
      <c r="AD493" s="12">
        <v>21.206633744514303</v>
      </c>
      <c r="AE493" s="12">
        <v>34.000670909172413</v>
      </c>
      <c r="AF493" s="12">
        <v>45.497755317383053</v>
      </c>
      <c r="AG493" s="12">
        <v>1006.038107684833</v>
      </c>
      <c r="AH493" s="12">
        <v>91.812093134278157</v>
      </c>
      <c r="AI493" s="12">
        <v>1851.1180337957626</v>
      </c>
      <c r="AJ493" s="12">
        <v>1972.2677678083292</v>
      </c>
      <c r="AK493" s="12">
        <v>2705.3338524934265</v>
      </c>
      <c r="AL493" s="12">
        <v>3338.1960804450837</v>
      </c>
      <c r="AM493" s="12">
        <v>1327.7117200892162</v>
      </c>
      <c r="AN493" s="12">
        <v>4263.7807543355129</v>
      </c>
      <c r="AP493" s="12">
        <f t="shared" si="159"/>
        <v>0.79831583903903336</v>
      </c>
      <c r="AQ493" s="12">
        <f t="shared" si="198"/>
        <v>0.73472266813246945</v>
      </c>
      <c r="AR493" s="12">
        <f t="shared" si="199"/>
        <v>0.99843358395630544</v>
      </c>
      <c r="AS493" s="12">
        <f t="shared" si="200"/>
        <v>0.79488000398467751</v>
      </c>
      <c r="AT493" s="12">
        <f t="shared" si="201"/>
        <v>0.82473349445677024</v>
      </c>
      <c r="AU493" s="12">
        <f t="shared" si="202"/>
        <v>0.8755193509175534</v>
      </c>
      <c r="AV493" s="12">
        <f t="shared" si="203"/>
        <v>0.88110906843924508</v>
      </c>
      <c r="AW493" s="12">
        <f t="shared" si="204"/>
        <v>0.47725869135559834</v>
      </c>
      <c r="AX493" s="12">
        <f t="shared" si="205"/>
        <v>0.92660337704659279</v>
      </c>
      <c r="AY493" s="12">
        <f t="shared" si="206"/>
        <v>0.36139590543793182</v>
      </c>
      <c r="AZ493" s="12">
        <f t="shared" si="207"/>
        <v>0.26823838503879344</v>
      </c>
      <c r="BA493" s="12">
        <f t="shared" si="208"/>
        <v>0.56888838722195179</v>
      </c>
      <c r="BB493" s="12">
        <f t="shared" si="209"/>
        <v>0.2904557206126212</v>
      </c>
      <c r="BC493" s="12">
        <f t="shared" si="210"/>
        <v>0.90328043240365474</v>
      </c>
      <c r="BD493" s="12">
        <f t="shared" si="211"/>
        <v>0.66035990495808372</v>
      </c>
      <c r="BE493" s="12">
        <f t="shared" si="212"/>
        <v>0.65673478042098576</v>
      </c>
      <c r="BF493" s="12">
        <f t="shared" si="213"/>
        <v>0.69790001187261641</v>
      </c>
      <c r="BG493" s="12">
        <f t="shared" si="214"/>
        <v>0.90542804054963844</v>
      </c>
      <c r="BH493" s="12">
        <f t="shared" si="215"/>
        <v>0.46610285708780919</v>
      </c>
      <c r="BI493" s="12">
        <f t="shared" si="216"/>
        <v>0.74730435978633836</v>
      </c>
    </row>
    <row r="494" spans="1:61" x14ac:dyDescent="0.55000000000000004">
      <c r="A494" s="12" t="s">
        <v>1208</v>
      </c>
      <c r="B494" s="12" t="s">
        <v>1209</v>
      </c>
      <c r="C494" s="17" t="s">
        <v>322</v>
      </c>
      <c r="D494" s="12" t="s">
        <v>9</v>
      </c>
      <c r="E494" s="12">
        <v>1915</v>
      </c>
      <c r="F494" s="12">
        <v>67.559172281798581</v>
      </c>
      <c r="G494" s="12">
        <v>46.741681253947398</v>
      </c>
      <c r="H494" s="12">
        <f t="shared" si="158"/>
        <v>89510.319601309267</v>
      </c>
      <c r="I494" s="12">
        <v>31.5015219701896</v>
      </c>
      <c r="J494" s="12">
        <v>30.307071146494593</v>
      </c>
      <c r="K494" s="12">
        <v>31.626794281775219</v>
      </c>
      <c r="L494" s="14">
        <v>45.418571234619854</v>
      </c>
      <c r="M494" s="12">
        <v>35.426223444454301</v>
      </c>
      <c r="N494" s="12">
        <v>18.872880942205381</v>
      </c>
      <c r="O494" s="12">
        <v>15.618806978694764</v>
      </c>
      <c r="P494" s="12">
        <v>41.459816305705935</v>
      </c>
      <c r="Q494" s="12">
        <v>500.94264286031824</v>
      </c>
      <c r="R494" s="12">
        <v>159.45629071529982</v>
      </c>
      <c r="S494" s="12">
        <v>1337.6729654653186</v>
      </c>
      <c r="T494" s="12">
        <v>1393.7080850710695</v>
      </c>
      <c r="U494" s="12">
        <v>25.323632857440479</v>
      </c>
      <c r="V494" s="15">
        <v>13.367159993361703</v>
      </c>
      <c r="W494" s="15">
        <v>54.075870799663825</v>
      </c>
      <c r="X494" s="15">
        <v>58.928640160132254</v>
      </c>
      <c r="Y494" s="12">
        <v>34.786736437512431</v>
      </c>
      <c r="Z494" s="12">
        <v>28.801561792227027</v>
      </c>
      <c r="AA494" s="12">
        <v>51.512450241172921</v>
      </c>
      <c r="AB494" s="12">
        <v>54.13840662258611</v>
      </c>
      <c r="AC494" s="12">
        <v>44.779325120182158</v>
      </c>
      <c r="AD494" s="12">
        <v>21.521565544516342</v>
      </c>
      <c r="AE494" s="12">
        <v>43.259108693003398</v>
      </c>
      <c r="AF494" s="12">
        <v>56.492178530694517</v>
      </c>
      <c r="AG494" s="12">
        <v>851.52001086431881</v>
      </c>
      <c r="AH494" s="12">
        <v>46.961845443569011</v>
      </c>
      <c r="AI494" s="12">
        <v>2038.6584712311615</v>
      </c>
      <c r="AJ494" s="12">
        <v>2177.5283857372642</v>
      </c>
      <c r="AK494" s="12">
        <v>1360.268995879977</v>
      </c>
      <c r="AL494" s="12">
        <v>1631.8361758386541</v>
      </c>
      <c r="AM494" s="12">
        <v>2431.1968836049564</v>
      </c>
      <c r="AN494" s="12">
        <v>2780.6746857921353</v>
      </c>
      <c r="AP494" s="12">
        <f t="shared" si="159"/>
        <v>0.97169314445197019</v>
      </c>
      <c r="AQ494" s="12">
        <f t="shared" si="198"/>
        <v>0.88699882403576569</v>
      </c>
      <c r="AR494" s="12">
        <f t="shared" si="199"/>
        <v>1.2607300075487904</v>
      </c>
      <c r="AS494" s="12">
        <f t="shared" si="200"/>
        <v>1.1582468830860475</v>
      </c>
      <c r="AT494" s="12">
        <f t="shared" si="201"/>
        <v>1.2086039058752016</v>
      </c>
      <c r="AU494" s="12">
        <f t="shared" si="202"/>
        <v>0.69358240723736986</v>
      </c>
      <c r="AV494" s="12">
        <f t="shared" si="203"/>
        <v>0.66728367543612488</v>
      </c>
      <c r="AW494" s="12">
        <f t="shared" si="204"/>
        <v>0.69634058100154439</v>
      </c>
      <c r="AX494" s="12">
        <f t="shared" si="205"/>
        <v>0.85447130742783206</v>
      </c>
      <c r="AY494" s="12">
        <f t="shared" si="206"/>
        <v>0.4552089860467613</v>
      </c>
      <c r="AZ494" s="12">
        <f t="shared" si="207"/>
        <v>0.37672156730094375</v>
      </c>
      <c r="BA494" s="12">
        <f t="shared" si="208"/>
        <v>0.42973387454090617</v>
      </c>
      <c r="BB494" s="12">
        <f t="shared" si="209"/>
        <v>0.22683638986132856</v>
      </c>
      <c r="BC494" s="12">
        <f t="shared" si="210"/>
        <v>0.91765007053817038</v>
      </c>
      <c r="BD494" s="12">
        <f t="shared" si="211"/>
        <v>0.64255190737364043</v>
      </c>
      <c r="BE494" s="12">
        <f t="shared" si="212"/>
        <v>0.53199869720974102</v>
      </c>
      <c r="BF494" s="12">
        <f t="shared" si="213"/>
        <v>0.95149549930940036</v>
      </c>
      <c r="BG494" s="12">
        <f t="shared" si="214"/>
        <v>0.79266415785066091</v>
      </c>
      <c r="BH494" s="12">
        <f t="shared" si="215"/>
        <v>0.38096540272071105</v>
      </c>
      <c r="BI494" s="12">
        <f t="shared" si="216"/>
        <v>0.76575394715038203</v>
      </c>
    </row>
    <row r="495" spans="1:61" x14ac:dyDescent="0.55000000000000004">
      <c r="A495" s="12" t="s">
        <v>1210</v>
      </c>
      <c r="B495" s="12" t="s">
        <v>1211</v>
      </c>
      <c r="C495" s="17" t="s">
        <v>134</v>
      </c>
      <c r="D495" s="12" t="s">
        <v>9</v>
      </c>
      <c r="E495" s="12">
        <v>1929</v>
      </c>
      <c r="F495" s="12">
        <v>71.612812246469247</v>
      </c>
      <c r="G495" s="12">
        <v>51.757493783225414</v>
      </c>
      <c r="H495" s="12">
        <f t="shared" si="158"/>
        <v>99840.20550784182</v>
      </c>
      <c r="I495" s="12">
        <v>31.607285791337201</v>
      </c>
      <c r="J495" s="12">
        <v>46.44155633552964</v>
      </c>
      <c r="K495" s="12">
        <v>31.840726026646241</v>
      </c>
      <c r="L495" s="14">
        <v>48.484456353614995</v>
      </c>
      <c r="M495" s="12">
        <v>38.187707882388466</v>
      </c>
      <c r="N495" s="12">
        <v>13.708585884648027</v>
      </c>
      <c r="O495" s="12">
        <v>17.58574309081223</v>
      </c>
      <c r="P495" s="12">
        <v>42.797605735459769</v>
      </c>
      <c r="Q495" s="12">
        <v>366.96003754390063</v>
      </c>
      <c r="R495" s="12">
        <v>263.70028325423669</v>
      </c>
      <c r="S495" s="12">
        <v>1471.702657795073</v>
      </c>
      <c r="T495" s="12">
        <v>1474.0397212222822</v>
      </c>
      <c r="U495" s="12">
        <v>21.832868324605869</v>
      </c>
      <c r="V495" s="15">
        <v>11.062103223545304</v>
      </c>
      <c r="W495" s="15">
        <v>44.658319683210735</v>
      </c>
      <c r="X495" s="15">
        <v>49.00927716016821</v>
      </c>
      <c r="Y495" s="12">
        <v>31.491913031732889</v>
      </c>
      <c r="Z495" s="12">
        <v>22.96347565805381</v>
      </c>
      <c r="AA495" s="12">
        <v>26.372784672310257</v>
      </c>
      <c r="AB495" s="12">
        <v>37.967823813074524</v>
      </c>
      <c r="AC495" s="12">
        <v>46.04988116287231</v>
      </c>
      <c r="AD495" s="12">
        <v>25.077736937324492</v>
      </c>
      <c r="AE495" s="12">
        <v>31.732190627194775</v>
      </c>
      <c r="AF495" s="12">
        <v>57.217804539835164</v>
      </c>
      <c r="AG495" s="12">
        <v>729.85089051842874</v>
      </c>
      <c r="AH495" s="12">
        <v>194.48663958536801</v>
      </c>
      <c r="AI495" s="12">
        <v>1635.0243151996888</v>
      </c>
      <c r="AJ495" s="12">
        <v>1758.831342745744</v>
      </c>
      <c r="AK495" s="12">
        <v>706.29216449498074</v>
      </c>
      <c r="AL495" s="12">
        <v>1874.0037552736949</v>
      </c>
      <c r="AM495" s="12">
        <v>1344.5569356170624</v>
      </c>
      <c r="AN495" s="12">
        <v>1874.0166995386794</v>
      </c>
      <c r="AP495" s="12">
        <f t="shared" si="159"/>
        <v>0.93676205723331973</v>
      </c>
      <c r="AQ495" s="12">
        <f t="shared" si="198"/>
        <v>0.82688713473468956</v>
      </c>
      <c r="AR495" s="12">
        <f t="shared" si="199"/>
        <v>0.94690205374766623</v>
      </c>
      <c r="AS495" s="12">
        <f t="shared" si="200"/>
        <v>0.73357152825239547</v>
      </c>
      <c r="AT495" s="12">
        <f t="shared" si="201"/>
        <v>1.1054979744475077</v>
      </c>
      <c r="AU495" s="12">
        <f t="shared" si="202"/>
        <v>0.65190554186714245</v>
      </c>
      <c r="AV495" s="12">
        <f t="shared" si="203"/>
        <v>0.95786484635022551</v>
      </c>
      <c r="AW495" s="12">
        <f t="shared" si="204"/>
        <v>0.65672028566062701</v>
      </c>
      <c r="AX495" s="12">
        <f t="shared" si="205"/>
        <v>0.89228608063810932</v>
      </c>
      <c r="AY495" s="12">
        <f t="shared" si="206"/>
        <v>0.32031198122117938</v>
      </c>
      <c r="AZ495" s="12">
        <f t="shared" si="207"/>
        <v>0.41090483424500635</v>
      </c>
      <c r="BA495" s="12">
        <f t="shared" si="208"/>
        <v>0.44548439784682869</v>
      </c>
      <c r="BB495" s="12">
        <f t="shared" si="209"/>
        <v>0.22571447416767687</v>
      </c>
      <c r="BC495" s="12">
        <f t="shared" si="210"/>
        <v>0.91122175781662673</v>
      </c>
      <c r="BD495" s="12">
        <f t="shared" si="211"/>
        <v>0.82943687230471175</v>
      </c>
      <c r="BE495" s="12">
        <f t="shared" si="212"/>
        <v>0.60481411236811922</v>
      </c>
      <c r="BF495" s="12">
        <f t="shared" si="213"/>
        <v>0.69460880355298571</v>
      </c>
      <c r="BG495" s="12">
        <f t="shared" si="214"/>
        <v>0.80481733847044545</v>
      </c>
      <c r="BH495" s="12">
        <f t="shared" si="215"/>
        <v>0.43828555008372116</v>
      </c>
      <c r="BI495" s="12">
        <f t="shared" si="216"/>
        <v>0.55458595243903064</v>
      </c>
    </row>
    <row r="496" spans="1:61" x14ac:dyDescent="0.55000000000000004">
      <c r="A496" s="12" t="s">
        <v>239</v>
      </c>
      <c r="B496" s="12" t="s">
        <v>240</v>
      </c>
      <c r="C496" s="12" t="s">
        <v>8</v>
      </c>
      <c r="D496" s="12" t="s">
        <v>9</v>
      </c>
      <c r="E496" s="12">
        <v>1528</v>
      </c>
      <c r="F496" s="12">
        <v>70.162099999999995</v>
      </c>
      <c r="G496" s="12">
        <v>34.970100000000002</v>
      </c>
      <c r="H496" s="14">
        <f t="shared" si="158"/>
        <v>53434.3128</v>
      </c>
      <c r="I496" s="12">
        <v>56.650100000000002</v>
      </c>
      <c r="J496" s="12">
        <v>14.6845</v>
      </c>
      <c r="K496" s="12">
        <v>22.9041</v>
      </c>
      <c r="L496" s="12">
        <v>60.834699999999998</v>
      </c>
      <c r="M496" s="12">
        <v>34.8855</v>
      </c>
      <c r="N496" s="12">
        <v>13.9613</v>
      </c>
      <c r="O496" s="12">
        <v>7.3169000000000004</v>
      </c>
      <c r="P496" s="12">
        <v>36.0608</v>
      </c>
      <c r="Q496" s="12">
        <v>352.62810000000002</v>
      </c>
      <c r="R496" s="15">
        <v>265.05110000000002</v>
      </c>
      <c r="S496" s="15">
        <v>1310.6126999999999</v>
      </c>
      <c r="T496" s="15">
        <v>1351.1353224178879</v>
      </c>
      <c r="AP496" s="12">
        <f t="shared" ref="AP496:AP526" si="217">L496/G496</f>
        <v>1.7396204185861635</v>
      </c>
      <c r="AQ496" s="12">
        <f t="shared" ref="AQ496:AQ526" si="218">P496/G496</f>
        <v>1.0311895018887562</v>
      </c>
      <c r="AU496" s="12">
        <f t="shared" ref="AU496:AU526" si="219">I496/$L496</f>
        <v>0.93121360013281895</v>
      </c>
      <c r="AV496" s="12">
        <f t="shared" ref="AV496:AV526" si="220">J496/$L496</f>
        <v>0.24138361823104248</v>
      </c>
      <c r="AW496" s="12">
        <f t="shared" ref="AW496:AW526" si="221">K496/$L496</f>
        <v>0.37649729512926011</v>
      </c>
      <c r="AX496" s="12">
        <f t="shared" ref="AX496:AX518" si="222">M496/$P496</f>
        <v>0.96740782234448486</v>
      </c>
      <c r="AY496" s="12">
        <f t="shared" ref="AY496:AY518" si="223">N496/$P496</f>
        <v>0.38716001863519389</v>
      </c>
      <c r="AZ496" s="12">
        <f t="shared" ref="AZ496:AZ518" si="224">O496/$P496</f>
        <v>0.20290453900079866</v>
      </c>
    </row>
    <row r="497" spans="1:52" x14ac:dyDescent="0.55000000000000004">
      <c r="A497" s="12" t="s">
        <v>241</v>
      </c>
      <c r="B497" s="12" t="s">
        <v>242</v>
      </c>
      <c r="C497" s="12" t="s">
        <v>8</v>
      </c>
      <c r="D497" s="12" t="s">
        <v>9</v>
      </c>
      <c r="E497" s="12">
        <v>1574</v>
      </c>
      <c r="F497" s="12">
        <v>65.073700000000002</v>
      </c>
      <c r="G497" s="12">
        <v>31.692699999999999</v>
      </c>
      <c r="H497" s="14">
        <f t="shared" si="158"/>
        <v>49884.309799999995</v>
      </c>
      <c r="I497" s="12">
        <v>75.671300000000002</v>
      </c>
      <c r="J497" s="12">
        <v>24.171500000000002</v>
      </c>
      <c r="K497" s="12">
        <v>26.9391</v>
      </c>
      <c r="L497" s="12">
        <v>81.777900000000002</v>
      </c>
      <c r="M497" s="12">
        <v>40.967599999999997</v>
      </c>
      <c r="N497" s="12">
        <v>20.27</v>
      </c>
      <c r="O497" s="12">
        <v>18.123000000000001</v>
      </c>
      <c r="P497" s="12">
        <v>45.396999999999998</v>
      </c>
      <c r="Q497" s="12">
        <v>728.26850000000002</v>
      </c>
      <c r="R497" s="15">
        <v>27.458200000000001</v>
      </c>
      <c r="S497" s="15">
        <v>2116.2375000000002</v>
      </c>
      <c r="T497" s="15">
        <v>2209.8935055340316</v>
      </c>
      <c r="AP497" s="12">
        <f t="shared" si="217"/>
        <v>2.580338689982236</v>
      </c>
      <c r="AQ497" s="12">
        <f t="shared" si="218"/>
        <v>1.4324118803383745</v>
      </c>
      <c r="AU497" s="12">
        <f t="shared" si="219"/>
        <v>0.92532701377756088</v>
      </c>
      <c r="AV497" s="12">
        <f t="shared" si="220"/>
        <v>0.29557496585263254</v>
      </c>
      <c r="AW497" s="12">
        <f t="shared" si="221"/>
        <v>0.32941785005484364</v>
      </c>
      <c r="AX497" s="12">
        <f t="shared" si="222"/>
        <v>0.90242967596977774</v>
      </c>
      <c r="AY497" s="12">
        <f t="shared" si="223"/>
        <v>0.44650527567900961</v>
      </c>
      <c r="AZ497" s="12">
        <f t="shared" si="224"/>
        <v>0.39921140163446928</v>
      </c>
    </row>
    <row r="498" spans="1:52" x14ac:dyDescent="0.55000000000000004">
      <c r="A498" s="12" t="s">
        <v>243</v>
      </c>
      <c r="B498" s="12" t="s">
        <v>244</v>
      </c>
      <c r="C498" s="12" t="s">
        <v>8</v>
      </c>
      <c r="D498" s="12" t="s">
        <v>9</v>
      </c>
      <c r="E498" s="12">
        <v>1512</v>
      </c>
      <c r="F498" s="12">
        <v>68.636799999999994</v>
      </c>
      <c r="G498" s="12">
        <v>29.397400000000001</v>
      </c>
      <c r="H498" s="14">
        <f t="shared" si="158"/>
        <v>44448.868800000004</v>
      </c>
      <c r="I498" s="12">
        <v>53.001199999999997</v>
      </c>
      <c r="J498" s="12">
        <v>9.0451999999999995</v>
      </c>
      <c r="K498" s="12">
        <v>22.4314</v>
      </c>
      <c r="L498" s="12">
        <v>56.585700000000003</v>
      </c>
      <c r="M498" s="12">
        <v>36.682400000000001</v>
      </c>
      <c r="N498" s="12">
        <v>13.5219</v>
      </c>
      <c r="O498" s="12">
        <v>10.5776</v>
      </c>
      <c r="P498" s="12">
        <v>37.5105</v>
      </c>
      <c r="Q498" s="12">
        <v>406.46179999999998</v>
      </c>
      <c r="R498" s="15">
        <v>160.0727</v>
      </c>
      <c r="S498" s="15">
        <v>1301.6241</v>
      </c>
      <c r="T498" s="15">
        <v>1309.5710045975857</v>
      </c>
      <c r="AP498" s="12">
        <f t="shared" si="217"/>
        <v>1.9248538986440977</v>
      </c>
      <c r="AQ498" s="12">
        <f t="shared" si="218"/>
        <v>1.2759801887241728</v>
      </c>
      <c r="AU498" s="12">
        <f t="shared" si="219"/>
        <v>0.9366536068299941</v>
      </c>
      <c r="AV498" s="12">
        <f t="shared" si="220"/>
        <v>0.15984957330208868</v>
      </c>
      <c r="AW498" s="12">
        <f t="shared" si="221"/>
        <v>0.39641464186181313</v>
      </c>
      <c r="AX498" s="12">
        <f t="shared" si="222"/>
        <v>0.97792351474920358</v>
      </c>
      <c r="AY498" s="12">
        <f t="shared" si="223"/>
        <v>0.36048306474187231</v>
      </c>
      <c r="AZ498" s="12">
        <f t="shared" si="224"/>
        <v>0.2819903760280455</v>
      </c>
    </row>
    <row r="499" spans="1:52" x14ac:dyDescent="0.55000000000000004">
      <c r="A499" s="12" t="s">
        <v>245</v>
      </c>
      <c r="B499" s="12" t="s">
        <v>246</v>
      </c>
      <c r="C499" s="12" t="s">
        <v>8</v>
      </c>
      <c r="D499" s="12" t="s">
        <v>9</v>
      </c>
      <c r="E499" s="12">
        <v>1600</v>
      </c>
      <c r="F499" s="12">
        <v>70.5137</v>
      </c>
      <c r="G499" s="12">
        <v>38.982700000000001</v>
      </c>
      <c r="H499" s="14">
        <f t="shared" si="158"/>
        <v>62372.32</v>
      </c>
      <c r="I499" s="12">
        <v>39.600499999999997</v>
      </c>
      <c r="J499" s="12">
        <v>10.2898</v>
      </c>
      <c r="K499" s="12">
        <v>33.751199999999997</v>
      </c>
      <c r="L499" s="12">
        <v>48.757899999999999</v>
      </c>
      <c r="M499" s="12">
        <v>46.1218</v>
      </c>
      <c r="N499" s="12">
        <v>21.025300000000001</v>
      </c>
      <c r="O499" s="12">
        <v>13.848000000000001</v>
      </c>
      <c r="P499" s="12">
        <v>49.579000000000001</v>
      </c>
      <c r="Q499" s="12">
        <v>382.6114</v>
      </c>
      <c r="R499" s="15">
        <v>169.833</v>
      </c>
      <c r="S499" s="15">
        <v>2129.1545999999998</v>
      </c>
      <c r="T499" s="15">
        <v>2133.7337622878563</v>
      </c>
      <c r="AP499" s="12">
        <f t="shared" si="217"/>
        <v>1.2507573872512678</v>
      </c>
      <c r="AQ499" s="12">
        <f t="shared" si="218"/>
        <v>1.271820576819974</v>
      </c>
      <c r="AU499" s="12">
        <f t="shared" si="219"/>
        <v>0.81218633288144071</v>
      </c>
      <c r="AV499" s="12">
        <f t="shared" si="220"/>
        <v>0.21103862143365484</v>
      </c>
      <c r="AW499" s="12">
        <f t="shared" si="221"/>
        <v>0.69222013253236903</v>
      </c>
      <c r="AX499" s="12">
        <f t="shared" si="222"/>
        <v>0.93026886383347784</v>
      </c>
      <c r="AY499" s="12">
        <f t="shared" si="223"/>
        <v>0.42407672603319957</v>
      </c>
      <c r="AZ499" s="12">
        <f t="shared" si="224"/>
        <v>0.27931180540148048</v>
      </c>
    </row>
    <row r="500" spans="1:52" x14ac:dyDescent="0.55000000000000004">
      <c r="A500" s="12" t="s">
        <v>247</v>
      </c>
      <c r="B500" s="12" t="s">
        <v>248</v>
      </c>
      <c r="C500" s="12" t="s">
        <v>8</v>
      </c>
      <c r="D500" s="12" t="s">
        <v>9</v>
      </c>
      <c r="E500" s="12">
        <v>1620</v>
      </c>
      <c r="F500" s="12">
        <v>69.9255</v>
      </c>
      <c r="G500" s="12">
        <v>41.800600000000003</v>
      </c>
      <c r="H500" s="14">
        <f t="shared" si="158"/>
        <v>67716.972000000009</v>
      </c>
      <c r="I500" s="12">
        <v>61.698500000000003</v>
      </c>
      <c r="J500" s="12">
        <v>19.983499999999999</v>
      </c>
      <c r="K500" s="12">
        <v>27.775500000000001</v>
      </c>
      <c r="L500" s="12">
        <v>66.406499999999994</v>
      </c>
      <c r="M500" s="12">
        <v>46.949100000000001</v>
      </c>
      <c r="N500" s="12">
        <v>19.506399999999999</v>
      </c>
      <c r="O500" s="12">
        <v>18.273599999999998</v>
      </c>
      <c r="P500" s="12">
        <v>52.180599999999998</v>
      </c>
      <c r="Q500" s="12">
        <v>677.72630000000004</v>
      </c>
      <c r="R500" s="15">
        <v>1483.3751</v>
      </c>
      <c r="S500" s="15">
        <v>1497.5030999999999</v>
      </c>
      <c r="T500" s="15">
        <v>1596.7603237509691</v>
      </c>
      <c r="AP500" s="12">
        <f t="shared" si="217"/>
        <v>1.588649445223274</v>
      </c>
      <c r="AQ500" s="12">
        <f t="shared" si="218"/>
        <v>1.2483217944240033</v>
      </c>
      <c r="AU500" s="12">
        <f t="shared" si="219"/>
        <v>0.92910332572865617</v>
      </c>
      <c r="AV500" s="12">
        <f t="shared" si="220"/>
        <v>0.3009268670988533</v>
      </c>
      <c r="AW500" s="12">
        <f t="shared" si="221"/>
        <v>0.4182647782973053</v>
      </c>
      <c r="AX500" s="12">
        <f t="shared" si="222"/>
        <v>0.89974243301150236</v>
      </c>
      <c r="AY500" s="12">
        <f t="shared" si="223"/>
        <v>0.37382475479392724</v>
      </c>
      <c r="AZ500" s="12">
        <f t="shared" si="224"/>
        <v>0.35019911614661386</v>
      </c>
    </row>
    <row r="501" spans="1:52" x14ac:dyDescent="0.55000000000000004">
      <c r="A501" s="12" t="s">
        <v>249</v>
      </c>
      <c r="B501" s="12" t="s">
        <v>250</v>
      </c>
      <c r="C501" s="12" t="s">
        <v>8</v>
      </c>
      <c r="D501" s="12" t="s">
        <v>9</v>
      </c>
      <c r="E501" s="12">
        <v>1715</v>
      </c>
      <c r="F501" s="12">
        <v>70.146999999999991</v>
      </c>
      <c r="G501" s="12">
        <v>63.188200000000002</v>
      </c>
      <c r="H501" s="14">
        <f t="shared" si="158"/>
        <v>108367.76300000001</v>
      </c>
      <c r="I501" s="12">
        <v>37.668500000000002</v>
      </c>
      <c r="J501" s="12">
        <v>14.3996</v>
      </c>
      <c r="K501" s="12">
        <v>29.098800000000001</v>
      </c>
      <c r="L501" s="12">
        <v>48.180199999999999</v>
      </c>
      <c r="M501" s="12">
        <v>40.4636</v>
      </c>
      <c r="N501" s="12">
        <v>15.8089</v>
      </c>
      <c r="O501" s="12">
        <v>9.3001000000000005</v>
      </c>
      <c r="P501" s="12">
        <v>43.310400000000001</v>
      </c>
      <c r="Q501" s="12">
        <v>713.31669999999997</v>
      </c>
      <c r="R501" s="15">
        <v>458.99509999999998</v>
      </c>
      <c r="S501" s="15">
        <v>1295.2655999999999</v>
      </c>
      <c r="T501" s="15">
        <v>1295.3266180113221</v>
      </c>
      <c r="AP501" s="12">
        <f t="shared" si="217"/>
        <v>0.76248729984395813</v>
      </c>
      <c r="AQ501" s="12">
        <f t="shared" si="218"/>
        <v>0.68541911306224901</v>
      </c>
      <c r="AU501" s="12">
        <f t="shared" si="219"/>
        <v>0.78182531413319167</v>
      </c>
      <c r="AV501" s="12">
        <f t="shared" si="220"/>
        <v>0.29886966015085037</v>
      </c>
      <c r="AW501" s="12">
        <f t="shared" si="221"/>
        <v>0.60395764235100724</v>
      </c>
      <c r="AX501" s="12">
        <f t="shared" si="222"/>
        <v>0.93426982895563182</v>
      </c>
      <c r="AY501" s="12">
        <f t="shared" si="223"/>
        <v>0.36501394584210717</v>
      </c>
      <c r="AZ501" s="12">
        <f t="shared" si="224"/>
        <v>0.2147313347371532</v>
      </c>
    </row>
    <row r="502" spans="1:52" x14ac:dyDescent="0.55000000000000004">
      <c r="A502" s="12" t="s">
        <v>251</v>
      </c>
      <c r="B502" s="12" t="s">
        <v>252</v>
      </c>
      <c r="C502" s="12" t="s">
        <v>8</v>
      </c>
      <c r="D502" s="12" t="s">
        <v>9</v>
      </c>
      <c r="E502" s="12">
        <v>1622</v>
      </c>
      <c r="F502" s="12">
        <v>72.476100000000002</v>
      </c>
      <c r="G502" s="12">
        <v>35.871499999999997</v>
      </c>
      <c r="H502" s="14">
        <f t="shared" si="158"/>
        <v>58183.572999999997</v>
      </c>
      <c r="I502" s="12">
        <v>38.586300000000001</v>
      </c>
      <c r="J502" s="12">
        <v>22.3626</v>
      </c>
      <c r="K502" s="12">
        <v>19.3963</v>
      </c>
      <c r="L502" s="12">
        <v>42.536099999999998</v>
      </c>
      <c r="M502" s="12">
        <v>41.935299999999998</v>
      </c>
      <c r="N502" s="12">
        <v>12.222099999999999</v>
      </c>
      <c r="O502" s="12">
        <v>9.7254000000000005</v>
      </c>
      <c r="P502" s="12">
        <v>43.639000000000003</v>
      </c>
      <c r="Q502" s="12">
        <v>441.36430000000001</v>
      </c>
      <c r="R502" s="15">
        <v>50.369199999999999</v>
      </c>
      <c r="S502" s="15">
        <v>1356.1759</v>
      </c>
      <c r="T502" s="15">
        <v>1357.6291787896907</v>
      </c>
      <c r="AP502" s="12">
        <f t="shared" si="217"/>
        <v>1.185790948245822</v>
      </c>
      <c r="AQ502" s="12">
        <f t="shared" si="218"/>
        <v>1.2165368049844585</v>
      </c>
      <c r="AU502" s="12">
        <f t="shared" si="219"/>
        <v>0.90714240374646482</v>
      </c>
      <c r="AV502" s="12">
        <f t="shared" si="220"/>
        <v>0.52573226036237464</v>
      </c>
      <c r="AW502" s="12">
        <f t="shared" si="221"/>
        <v>0.4559962008740811</v>
      </c>
      <c r="AX502" s="12">
        <f t="shared" si="222"/>
        <v>0.9609592337129631</v>
      </c>
      <c r="AY502" s="12">
        <f t="shared" si="223"/>
        <v>0.28007287059740138</v>
      </c>
      <c r="AZ502" s="12">
        <f t="shared" si="224"/>
        <v>0.22286028552441622</v>
      </c>
    </row>
    <row r="503" spans="1:52" x14ac:dyDescent="0.55000000000000004">
      <c r="A503" s="12" t="s">
        <v>504</v>
      </c>
      <c r="B503" s="12" t="s">
        <v>505</v>
      </c>
      <c r="C503" s="12" t="s">
        <v>485</v>
      </c>
      <c r="D503" s="12" t="s">
        <v>9</v>
      </c>
      <c r="E503" s="12">
        <v>1775</v>
      </c>
      <c r="F503" s="12">
        <v>69.436300000000003</v>
      </c>
      <c r="G503" s="12">
        <v>36.718800000000002</v>
      </c>
      <c r="H503" s="14">
        <f t="shared" si="158"/>
        <v>65175.87</v>
      </c>
      <c r="I503" s="12">
        <v>70.622100000000003</v>
      </c>
      <c r="J503" s="12">
        <v>8.0204000000000004</v>
      </c>
      <c r="K503" s="12">
        <v>40.3536</v>
      </c>
      <c r="L503" s="12">
        <v>77.063400000000001</v>
      </c>
      <c r="M503" s="12">
        <v>43.97</v>
      </c>
      <c r="N503" s="12">
        <v>8.0534999999999997</v>
      </c>
      <c r="O503" s="12">
        <v>19.071300000000001</v>
      </c>
      <c r="P503" s="12">
        <v>47.493600000000001</v>
      </c>
      <c r="Q503" s="12">
        <v>518.13549999999998</v>
      </c>
      <c r="R503" s="15">
        <v>224.1103</v>
      </c>
      <c r="S503" s="15">
        <v>2837.6300999999999</v>
      </c>
      <c r="T503" s="15">
        <v>2843.2229270819444</v>
      </c>
      <c r="AP503" s="12">
        <f t="shared" si="217"/>
        <v>2.0987450570280073</v>
      </c>
      <c r="AQ503" s="12">
        <f t="shared" si="218"/>
        <v>1.2934409621229452</v>
      </c>
      <c r="AU503" s="12">
        <f t="shared" si="219"/>
        <v>0.91641557470861656</v>
      </c>
      <c r="AV503" s="12">
        <f t="shared" si="220"/>
        <v>0.10407534575427506</v>
      </c>
      <c r="AW503" s="12">
        <f t="shared" si="221"/>
        <v>0.52364157304245595</v>
      </c>
      <c r="AX503" s="12">
        <f t="shared" si="222"/>
        <v>0.92580895110077988</v>
      </c>
      <c r="AY503" s="12">
        <f t="shared" si="223"/>
        <v>0.16957021577644144</v>
      </c>
      <c r="AZ503" s="12">
        <f t="shared" si="224"/>
        <v>0.40155515690535148</v>
      </c>
    </row>
    <row r="504" spans="1:52" x14ac:dyDescent="0.55000000000000004">
      <c r="A504" s="12" t="s">
        <v>253</v>
      </c>
      <c r="B504" s="12" t="s">
        <v>254</v>
      </c>
      <c r="C504" s="12" t="s">
        <v>8</v>
      </c>
      <c r="D504" s="12" t="s">
        <v>9</v>
      </c>
      <c r="E504" s="12">
        <v>1677</v>
      </c>
      <c r="F504" s="12">
        <v>69.336500000000001</v>
      </c>
      <c r="G504" s="12">
        <v>36.3369</v>
      </c>
      <c r="H504" s="14">
        <f t="shared" si="158"/>
        <v>60936.981299999999</v>
      </c>
      <c r="I504" s="12">
        <v>56.328000000000003</v>
      </c>
      <c r="J504" s="12">
        <v>16.058199999999999</v>
      </c>
      <c r="K504" s="12">
        <v>30.44</v>
      </c>
      <c r="L504" s="12">
        <v>61.0182</v>
      </c>
      <c r="M504" s="12">
        <v>53.208199999999998</v>
      </c>
      <c r="N504" s="12">
        <v>18.2806</v>
      </c>
      <c r="O504" s="12">
        <v>17.434200000000001</v>
      </c>
      <c r="P504" s="12">
        <v>55.735199999999999</v>
      </c>
      <c r="Q504" s="12">
        <v>635.87969999999996</v>
      </c>
      <c r="R504" s="15">
        <v>1539.788</v>
      </c>
      <c r="S504" s="15">
        <v>1826.9045000000001</v>
      </c>
      <c r="T504" s="15">
        <v>1830.6628449466414</v>
      </c>
      <c r="AP504" s="12">
        <f t="shared" si="217"/>
        <v>1.679235157649662</v>
      </c>
      <c r="AQ504" s="12">
        <f t="shared" si="218"/>
        <v>1.5338457600951099</v>
      </c>
      <c r="AU504" s="12">
        <f t="shared" si="219"/>
        <v>0.9231344090779473</v>
      </c>
      <c r="AV504" s="12">
        <f t="shared" si="220"/>
        <v>0.2631706605570141</v>
      </c>
      <c r="AW504" s="12">
        <f t="shared" si="221"/>
        <v>0.49886755099298247</v>
      </c>
      <c r="AX504" s="12">
        <f t="shared" si="222"/>
        <v>0.95466060945327191</v>
      </c>
      <c r="AY504" s="12">
        <f t="shared" si="223"/>
        <v>0.3279902108541819</v>
      </c>
      <c r="AZ504" s="12">
        <f t="shared" si="224"/>
        <v>0.31280411660853463</v>
      </c>
    </row>
    <row r="505" spans="1:52" x14ac:dyDescent="0.55000000000000004">
      <c r="A505" s="12" t="s">
        <v>444</v>
      </c>
      <c r="B505" s="12" t="s">
        <v>445</v>
      </c>
      <c r="C505" s="12" t="s">
        <v>322</v>
      </c>
      <c r="D505" s="12" t="s">
        <v>9</v>
      </c>
      <c r="E505" s="12">
        <v>1946</v>
      </c>
      <c r="F505" s="12">
        <v>68.789000000000001</v>
      </c>
      <c r="G505" s="12">
        <v>57.007399999999997</v>
      </c>
      <c r="H505" s="14">
        <f t="shared" si="158"/>
        <v>110936.4004</v>
      </c>
      <c r="I505" s="12">
        <v>83.999700000000004</v>
      </c>
      <c r="J505" s="12">
        <v>22.017299999999999</v>
      </c>
      <c r="K505" s="12">
        <v>21.6158</v>
      </c>
      <c r="L505" s="12">
        <v>87.152900000000002</v>
      </c>
      <c r="M505" s="12">
        <v>51.535699999999999</v>
      </c>
      <c r="N505" s="12">
        <v>14.565300000000001</v>
      </c>
      <c r="O505" s="12">
        <v>14.241099999999999</v>
      </c>
      <c r="P505" s="12">
        <v>51.986499999999999</v>
      </c>
      <c r="Q505" s="12">
        <v>626.63120000000004</v>
      </c>
      <c r="R505" s="15">
        <v>707.1114</v>
      </c>
      <c r="S505" s="15">
        <v>2688.2748999999999</v>
      </c>
      <c r="T505" s="15">
        <v>2691.9934823260642</v>
      </c>
      <c r="AP505" s="12">
        <f t="shared" si="217"/>
        <v>1.52879976985444</v>
      </c>
      <c r="AQ505" s="12">
        <f t="shared" si="218"/>
        <v>0.91192546932503504</v>
      </c>
      <c r="AU505" s="12">
        <f t="shared" si="219"/>
        <v>0.96381990731232126</v>
      </c>
      <c r="AV505" s="12">
        <f t="shared" si="220"/>
        <v>0.2526284265928041</v>
      </c>
      <c r="AW505" s="12">
        <f t="shared" si="221"/>
        <v>0.24802158046375966</v>
      </c>
      <c r="AX505" s="12">
        <f t="shared" si="222"/>
        <v>0.9913285179806296</v>
      </c>
      <c r="AY505" s="12">
        <f t="shared" si="223"/>
        <v>0.28017466072922781</v>
      </c>
      <c r="AZ505" s="12">
        <f t="shared" si="224"/>
        <v>0.27393842632221826</v>
      </c>
    </row>
    <row r="506" spans="1:52" x14ac:dyDescent="0.55000000000000004">
      <c r="A506" s="12" t="s">
        <v>255</v>
      </c>
      <c r="B506" s="12" t="s">
        <v>256</v>
      </c>
      <c r="C506" s="12" t="s">
        <v>8</v>
      </c>
      <c r="D506" s="12" t="s">
        <v>9</v>
      </c>
      <c r="E506" s="12">
        <v>1624</v>
      </c>
      <c r="F506" s="12">
        <v>68.403999999999996</v>
      </c>
      <c r="G506" s="12">
        <v>36.931899999999999</v>
      </c>
      <c r="H506" s="14">
        <f t="shared" si="158"/>
        <v>59977.405599999998</v>
      </c>
      <c r="I506" s="12">
        <v>55.853700000000003</v>
      </c>
      <c r="J506" s="12">
        <v>14.7659</v>
      </c>
      <c r="K506" s="12">
        <v>21.796800000000001</v>
      </c>
      <c r="L506" s="12">
        <v>59.038400000000003</v>
      </c>
      <c r="M506" s="12">
        <v>41.0685</v>
      </c>
      <c r="N506" s="12">
        <v>18.804099999999998</v>
      </c>
      <c r="O506" s="12">
        <v>13.962300000000001</v>
      </c>
      <c r="P506" s="12">
        <v>43.195300000000003</v>
      </c>
      <c r="Q506" s="12">
        <v>497.81180000000001</v>
      </c>
      <c r="R506" s="15">
        <v>1108.8063</v>
      </c>
      <c r="S506" s="15">
        <v>2012.4474</v>
      </c>
      <c r="T506" s="15">
        <v>2016.3905990421722</v>
      </c>
      <c r="AP506" s="12">
        <f t="shared" si="217"/>
        <v>1.5985746739268762</v>
      </c>
      <c r="AQ506" s="12">
        <f t="shared" si="218"/>
        <v>1.1695932242857803</v>
      </c>
      <c r="AU506" s="12">
        <f t="shared" si="219"/>
        <v>0.94605714246998562</v>
      </c>
      <c r="AV506" s="12">
        <f t="shared" si="220"/>
        <v>0.25010671020894876</v>
      </c>
      <c r="AW506" s="12">
        <f t="shared" si="221"/>
        <v>0.36919699720859644</v>
      </c>
      <c r="AX506" s="12">
        <f t="shared" si="222"/>
        <v>0.95076316173287367</v>
      </c>
      <c r="AY506" s="12">
        <f t="shared" si="223"/>
        <v>0.43532745460732991</v>
      </c>
      <c r="AZ506" s="12">
        <f t="shared" si="224"/>
        <v>0.32323655582899063</v>
      </c>
    </row>
    <row r="507" spans="1:52" x14ac:dyDescent="0.55000000000000004">
      <c r="A507" s="12" t="s">
        <v>257</v>
      </c>
      <c r="B507" s="12" t="s">
        <v>258</v>
      </c>
      <c r="C507" s="12" t="s">
        <v>8</v>
      </c>
      <c r="D507" s="12" t="s">
        <v>9</v>
      </c>
      <c r="E507" s="12">
        <v>1324</v>
      </c>
      <c r="F507" s="12">
        <v>67.732699999999994</v>
      </c>
      <c r="G507" s="12">
        <v>35.376600000000003</v>
      </c>
      <c r="H507" s="14">
        <f t="shared" si="158"/>
        <v>46838.618400000007</v>
      </c>
      <c r="I507" s="12">
        <v>138.5504</v>
      </c>
      <c r="J507" s="12">
        <v>24.546600000000002</v>
      </c>
      <c r="K507" s="12">
        <v>38.7346</v>
      </c>
      <c r="L507" s="12">
        <v>145.75489999999999</v>
      </c>
      <c r="M507" s="12">
        <v>38.843600000000002</v>
      </c>
      <c r="N507" s="12">
        <v>20.002199999999998</v>
      </c>
      <c r="O507" s="12">
        <v>16.901700000000002</v>
      </c>
      <c r="P507" s="12">
        <v>41.292299999999997</v>
      </c>
      <c r="Q507" s="12">
        <v>550.33979999999997</v>
      </c>
      <c r="R507" s="15">
        <v>378.7801</v>
      </c>
      <c r="S507" s="15">
        <v>1620.9550999999999</v>
      </c>
      <c r="T507" s="15">
        <v>1652.3196952659312</v>
      </c>
      <c r="AP507" s="12">
        <f t="shared" si="217"/>
        <v>4.1200935081381473</v>
      </c>
      <c r="AQ507" s="12">
        <f t="shared" si="218"/>
        <v>1.1672207052119195</v>
      </c>
      <c r="AU507" s="12">
        <f t="shared" si="219"/>
        <v>0.95057113002718951</v>
      </c>
      <c r="AV507" s="12">
        <f t="shared" si="220"/>
        <v>0.16841011863066013</v>
      </c>
      <c r="AW507" s="12">
        <f t="shared" si="221"/>
        <v>0.26575161452548079</v>
      </c>
      <c r="AX507" s="12">
        <f t="shared" si="222"/>
        <v>0.94069838686631657</v>
      </c>
      <c r="AY507" s="12">
        <f t="shared" si="223"/>
        <v>0.48440508278783212</v>
      </c>
      <c r="AZ507" s="12">
        <f t="shared" si="224"/>
        <v>0.40931844435887571</v>
      </c>
    </row>
    <row r="508" spans="1:52" x14ac:dyDescent="0.55000000000000004">
      <c r="A508" s="12" t="s">
        <v>259</v>
      </c>
      <c r="B508" s="12" t="s">
        <v>260</v>
      </c>
      <c r="C508" s="12" t="s">
        <v>8</v>
      </c>
      <c r="D508" s="12" t="s">
        <v>9</v>
      </c>
      <c r="E508" s="12">
        <v>1837</v>
      </c>
      <c r="F508" s="12">
        <v>70.728200000000001</v>
      </c>
      <c r="G508" s="12">
        <v>51.896599999999999</v>
      </c>
      <c r="H508" s="14">
        <f t="shared" si="158"/>
        <v>95334.054199999999</v>
      </c>
      <c r="I508" s="12">
        <v>49.963500000000003</v>
      </c>
      <c r="J508" s="12">
        <v>20.706199999999999</v>
      </c>
      <c r="K508" s="12">
        <v>28.703399999999998</v>
      </c>
      <c r="L508" s="12">
        <v>58.385899999999999</v>
      </c>
      <c r="M508" s="12">
        <v>43.004100000000001</v>
      </c>
      <c r="N508" s="12">
        <v>19.730499999999999</v>
      </c>
      <c r="O508" s="12">
        <v>10.3705</v>
      </c>
      <c r="P508" s="12">
        <v>43.567700000000002</v>
      </c>
      <c r="Q508" s="12">
        <v>273.34089999999998</v>
      </c>
      <c r="R508" s="15">
        <v>129.69159999999999</v>
      </c>
      <c r="S508" s="15">
        <v>1776.6153999999999</v>
      </c>
      <c r="T508" s="15">
        <v>1787.3407803918421</v>
      </c>
      <c r="AP508" s="12">
        <f t="shared" si="217"/>
        <v>1.1250428737142704</v>
      </c>
      <c r="AQ508" s="12">
        <f t="shared" si="218"/>
        <v>0.83950971739959845</v>
      </c>
      <c r="AU508" s="12">
        <f t="shared" si="219"/>
        <v>0.85574599346760094</v>
      </c>
      <c r="AV508" s="12">
        <f t="shared" si="220"/>
        <v>0.35464384380475422</v>
      </c>
      <c r="AW508" s="12">
        <f t="shared" si="221"/>
        <v>0.49161527012515005</v>
      </c>
      <c r="AX508" s="12">
        <f t="shared" si="222"/>
        <v>0.98706381103432128</v>
      </c>
      <c r="AY508" s="12">
        <f t="shared" si="223"/>
        <v>0.45286990132598226</v>
      </c>
      <c r="AZ508" s="12">
        <f t="shared" si="224"/>
        <v>0.2380318446922835</v>
      </c>
    </row>
    <row r="509" spans="1:52" x14ac:dyDescent="0.55000000000000004">
      <c r="A509" s="12" t="s">
        <v>446</v>
      </c>
      <c r="B509" s="12" t="s">
        <v>447</v>
      </c>
      <c r="C509" s="12" t="s">
        <v>322</v>
      </c>
      <c r="D509" s="12" t="s">
        <v>9</v>
      </c>
      <c r="E509" s="12">
        <v>1998</v>
      </c>
      <c r="F509" s="12">
        <v>73.042200000000008</v>
      </c>
      <c r="G509" s="12">
        <v>89.223100000000002</v>
      </c>
      <c r="H509" s="14">
        <f t="shared" si="158"/>
        <v>178267.75380000001</v>
      </c>
      <c r="I509" s="12">
        <v>92.834699999999998</v>
      </c>
      <c r="J509" s="12">
        <v>17.251899999999999</v>
      </c>
      <c r="K509" s="12">
        <v>20.879799999999999</v>
      </c>
      <c r="L509" s="12">
        <v>96.009799999999998</v>
      </c>
      <c r="M509" s="12">
        <v>44.699800000000003</v>
      </c>
      <c r="N509" s="12">
        <v>18.2164</v>
      </c>
      <c r="O509" s="12">
        <v>14.3314</v>
      </c>
      <c r="P509" s="12">
        <v>47.4392</v>
      </c>
      <c r="Q509" s="12">
        <v>741.88220000000001</v>
      </c>
      <c r="R509" s="15">
        <v>383.85129999999998</v>
      </c>
      <c r="S509" s="15">
        <v>2415.5118000000002</v>
      </c>
      <c r="T509" s="15">
        <v>2460.8468586237295</v>
      </c>
      <c r="AP509" s="12">
        <f t="shared" si="217"/>
        <v>1.0760643824301106</v>
      </c>
      <c r="AQ509" s="12">
        <f t="shared" si="218"/>
        <v>0.53169190489906759</v>
      </c>
      <c r="AU509" s="12">
        <f t="shared" si="219"/>
        <v>0.96692941762195106</v>
      </c>
      <c r="AV509" s="12">
        <f t="shared" si="220"/>
        <v>0.17968894841984881</v>
      </c>
      <c r="AW509" s="12">
        <f t="shared" si="221"/>
        <v>0.21747571602065621</v>
      </c>
      <c r="AX509" s="12">
        <f t="shared" si="222"/>
        <v>0.94225450682136302</v>
      </c>
      <c r="AY509" s="12">
        <f t="shared" si="223"/>
        <v>0.38399467107371121</v>
      </c>
      <c r="AZ509" s="12">
        <f t="shared" si="224"/>
        <v>0.3021003726875664</v>
      </c>
    </row>
    <row r="510" spans="1:52" x14ac:dyDescent="0.55000000000000004">
      <c r="A510" s="12" t="s">
        <v>448</v>
      </c>
      <c r="B510" s="12" t="s">
        <v>449</v>
      </c>
      <c r="C510" s="12" t="s">
        <v>322</v>
      </c>
      <c r="D510" s="12" t="s">
        <v>9</v>
      </c>
      <c r="E510" s="12">
        <v>2100</v>
      </c>
      <c r="F510" s="12">
        <v>71.774000000000001</v>
      </c>
      <c r="G510" s="12">
        <v>38.620800000000003</v>
      </c>
      <c r="H510" s="14">
        <f t="shared" si="158"/>
        <v>81103.680000000008</v>
      </c>
      <c r="I510" s="12">
        <v>75.340299999999999</v>
      </c>
      <c r="J510" s="12">
        <v>12.8207</v>
      </c>
      <c r="K510" s="12">
        <v>22.9709</v>
      </c>
      <c r="L510" s="12">
        <v>75.945099999999996</v>
      </c>
      <c r="M510" s="12">
        <v>47.722299999999997</v>
      </c>
      <c r="N510" s="12">
        <v>18.291</v>
      </c>
      <c r="O510" s="12">
        <v>17.801500000000001</v>
      </c>
      <c r="P510" s="12">
        <v>49.4116</v>
      </c>
      <c r="Q510" s="12">
        <v>512.55499999999995</v>
      </c>
      <c r="R510" s="15">
        <v>486.28030000000001</v>
      </c>
      <c r="S510" s="15">
        <v>2538.6347000000001</v>
      </c>
      <c r="T510" s="15">
        <v>2568.5753865826191</v>
      </c>
      <c r="AP510" s="12">
        <f t="shared" si="217"/>
        <v>1.9664300066285523</v>
      </c>
      <c r="AQ510" s="12">
        <f t="shared" si="218"/>
        <v>1.2794038445604441</v>
      </c>
      <c r="AU510" s="12">
        <f t="shared" si="219"/>
        <v>0.9920363525757423</v>
      </c>
      <c r="AV510" s="12">
        <f t="shared" si="220"/>
        <v>0.16881536794342231</v>
      </c>
      <c r="AW510" s="12">
        <f t="shared" si="221"/>
        <v>0.3024671769475582</v>
      </c>
      <c r="AX510" s="12">
        <f t="shared" si="222"/>
        <v>0.96581167175319149</v>
      </c>
      <c r="AY510" s="12">
        <f t="shared" si="223"/>
        <v>0.37017623392077975</v>
      </c>
      <c r="AZ510" s="12">
        <f t="shared" si="224"/>
        <v>0.36026965327979665</v>
      </c>
    </row>
    <row r="511" spans="1:52" x14ac:dyDescent="0.55000000000000004">
      <c r="A511" s="12" t="s">
        <v>450</v>
      </c>
      <c r="B511" s="12" t="s">
        <v>451</v>
      </c>
      <c r="C511" s="12" t="s">
        <v>322</v>
      </c>
      <c r="D511" s="12" t="s">
        <v>9</v>
      </c>
      <c r="E511" s="12">
        <v>2264</v>
      </c>
      <c r="F511" s="12">
        <v>70.019799999999989</v>
      </c>
      <c r="G511" s="12">
        <v>34.1203</v>
      </c>
      <c r="H511" s="14">
        <f t="shared" si="158"/>
        <v>77248.359200000006</v>
      </c>
      <c r="I511" s="12">
        <v>69.783600000000007</v>
      </c>
      <c r="J511" s="12">
        <v>17.115400000000001</v>
      </c>
      <c r="K511" s="12">
        <v>16.077200000000001</v>
      </c>
      <c r="L511" s="12">
        <v>71.995500000000007</v>
      </c>
      <c r="M511" s="12">
        <v>56.1937</v>
      </c>
      <c r="N511" s="12">
        <v>24.119900000000001</v>
      </c>
      <c r="O511" s="12">
        <v>8.3185000000000002</v>
      </c>
      <c r="P511" s="12">
        <v>58.544199999999996</v>
      </c>
      <c r="Q511" s="12">
        <v>232.39789999999999</v>
      </c>
      <c r="R511" s="15">
        <v>486.41379999999998</v>
      </c>
      <c r="S511" s="15">
        <v>1882.2959000000001</v>
      </c>
      <c r="T511" s="15">
        <v>1882.4672896067466</v>
      </c>
      <c r="AP511" s="12">
        <f t="shared" si="217"/>
        <v>2.1100488565458102</v>
      </c>
      <c r="AQ511" s="12">
        <f t="shared" si="218"/>
        <v>1.715817270070896</v>
      </c>
      <c r="AU511" s="12">
        <f t="shared" si="219"/>
        <v>0.96927724649457259</v>
      </c>
      <c r="AV511" s="12">
        <f t="shared" si="220"/>
        <v>0.23772874693557236</v>
      </c>
      <c r="AW511" s="12">
        <f t="shared" si="221"/>
        <v>0.22330840121952067</v>
      </c>
      <c r="AX511" s="12">
        <f t="shared" si="222"/>
        <v>0.95985084773555707</v>
      </c>
      <c r="AY511" s="12">
        <f t="shared" si="223"/>
        <v>0.41199469802303224</v>
      </c>
      <c r="AZ511" s="12">
        <f t="shared" si="224"/>
        <v>0.14208922489332848</v>
      </c>
    </row>
    <row r="512" spans="1:52" x14ac:dyDescent="0.55000000000000004">
      <c r="A512" s="12" t="s">
        <v>452</v>
      </c>
      <c r="B512" s="12" t="s">
        <v>453</v>
      </c>
      <c r="C512" s="12" t="s">
        <v>322</v>
      </c>
      <c r="D512" s="12" t="s">
        <v>9</v>
      </c>
      <c r="E512" s="12">
        <v>2168</v>
      </c>
      <c r="F512" s="12">
        <v>70.572900000000004</v>
      </c>
      <c r="G512" s="12">
        <v>43.453800000000001</v>
      </c>
      <c r="H512" s="14">
        <f t="shared" si="158"/>
        <v>94207.838400000008</v>
      </c>
      <c r="I512" s="12">
        <v>40.942799999999998</v>
      </c>
      <c r="J512" s="12">
        <v>18.644200000000001</v>
      </c>
      <c r="K512" s="12">
        <v>17.0838</v>
      </c>
      <c r="L512" s="12">
        <v>44.707500000000003</v>
      </c>
      <c r="M512" s="12">
        <v>44.6614</v>
      </c>
      <c r="N512" s="12">
        <v>14.232200000000001</v>
      </c>
      <c r="O512" s="12">
        <v>8.1434999999999995</v>
      </c>
      <c r="P512" s="12">
        <v>46.5379</v>
      </c>
      <c r="Q512" s="12">
        <v>630.49450000000002</v>
      </c>
      <c r="R512" s="15">
        <v>116.9409</v>
      </c>
      <c r="S512" s="15">
        <v>1204.1532999999999</v>
      </c>
      <c r="T512" s="15">
        <v>1285.1948430504731</v>
      </c>
      <c r="AP512" s="12">
        <f t="shared" si="217"/>
        <v>1.0288513317592478</v>
      </c>
      <c r="AQ512" s="12">
        <f t="shared" si="218"/>
        <v>1.0709742301018552</v>
      </c>
      <c r="AU512" s="12">
        <f t="shared" si="219"/>
        <v>0.91579265223955697</v>
      </c>
      <c r="AV512" s="12">
        <f t="shared" si="220"/>
        <v>0.41702622602471623</v>
      </c>
      <c r="AW512" s="12">
        <f t="shared" si="221"/>
        <v>0.38212380473074986</v>
      </c>
      <c r="AX512" s="12">
        <f t="shared" si="222"/>
        <v>0.95967802586708895</v>
      </c>
      <c r="AY512" s="12">
        <f t="shared" si="223"/>
        <v>0.30581955782276382</v>
      </c>
      <c r="AZ512" s="12">
        <f t="shared" si="224"/>
        <v>0.17498640892691761</v>
      </c>
    </row>
    <row r="513" spans="1:52" x14ac:dyDescent="0.55000000000000004">
      <c r="A513" s="12" t="s">
        <v>454</v>
      </c>
      <c r="B513" s="12" t="s">
        <v>455</v>
      </c>
      <c r="C513" s="12" t="s">
        <v>322</v>
      </c>
      <c r="D513" s="12" t="s">
        <v>9</v>
      </c>
      <c r="E513" s="12">
        <v>2126</v>
      </c>
      <c r="F513" s="12">
        <v>72.723600000000005</v>
      </c>
      <c r="G513" s="12">
        <v>50.3446</v>
      </c>
      <c r="H513" s="14">
        <f t="shared" si="158"/>
        <v>107032.61960000001</v>
      </c>
      <c r="I513" s="12">
        <v>73.047399999999996</v>
      </c>
      <c r="J513" s="12">
        <v>15.377800000000001</v>
      </c>
      <c r="K513" s="12">
        <v>21.446899999999999</v>
      </c>
      <c r="L513" s="12">
        <v>74.9649</v>
      </c>
      <c r="M513" s="12">
        <v>48.039200000000001</v>
      </c>
      <c r="N513" s="12">
        <v>16.5152</v>
      </c>
      <c r="O513" s="12">
        <v>12.624000000000001</v>
      </c>
      <c r="P513" s="12">
        <v>50.775199999999998</v>
      </c>
      <c r="Q513" s="12">
        <v>346.71530000000001</v>
      </c>
      <c r="R513" s="15">
        <v>163.75700000000001</v>
      </c>
      <c r="S513" s="15">
        <v>2040.6983</v>
      </c>
      <c r="T513" s="15">
        <v>2048.7567252937697</v>
      </c>
      <c r="AP513" s="12">
        <f t="shared" si="217"/>
        <v>1.4890355668731106</v>
      </c>
      <c r="AQ513" s="12">
        <f t="shared" si="218"/>
        <v>1.0085530523631134</v>
      </c>
      <c r="AU513" s="12">
        <f t="shared" si="219"/>
        <v>0.97442136253099776</v>
      </c>
      <c r="AV513" s="12">
        <f t="shared" si="220"/>
        <v>0.20513333573445708</v>
      </c>
      <c r="AW513" s="12">
        <f t="shared" si="221"/>
        <v>0.28609255798380306</v>
      </c>
      <c r="AX513" s="12">
        <f t="shared" si="222"/>
        <v>0.94611542642865021</v>
      </c>
      <c r="AY513" s="12">
        <f t="shared" si="223"/>
        <v>0.32526115111314186</v>
      </c>
      <c r="AZ513" s="12">
        <f t="shared" si="224"/>
        <v>0.24862531314499994</v>
      </c>
    </row>
    <row r="514" spans="1:52" x14ac:dyDescent="0.55000000000000004">
      <c r="A514" s="12" t="s">
        <v>261</v>
      </c>
      <c r="B514" s="12" t="s">
        <v>262</v>
      </c>
      <c r="C514" s="12" t="s">
        <v>8</v>
      </c>
      <c r="D514" s="12" t="s">
        <v>9</v>
      </c>
      <c r="E514" s="12">
        <v>1600</v>
      </c>
      <c r="F514" s="12">
        <v>71.933499999999995</v>
      </c>
      <c r="G514" s="12">
        <v>41.606200000000001</v>
      </c>
      <c r="H514" s="14">
        <f t="shared" si="158"/>
        <v>66569.919999999998</v>
      </c>
      <c r="I514" s="12">
        <v>55.936399999999999</v>
      </c>
      <c r="J514" s="12">
        <v>18.838100000000001</v>
      </c>
      <c r="K514" s="12">
        <v>27.329000000000001</v>
      </c>
      <c r="L514" s="12">
        <v>61.084699999999998</v>
      </c>
      <c r="M514" s="12">
        <v>49.692900000000002</v>
      </c>
      <c r="N514" s="12">
        <v>15.8451</v>
      </c>
      <c r="O514" s="12">
        <v>11.8117</v>
      </c>
      <c r="P514" s="12">
        <v>51.996499999999997</v>
      </c>
      <c r="Q514" s="12">
        <v>592.85490000000004</v>
      </c>
      <c r="R514" s="15">
        <v>54.130099999999999</v>
      </c>
      <c r="S514" s="15">
        <v>1756.3357000000001</v>
      </c>
      <c r="T514" s="15">
        <v>1852.4333273005484</v>
      </c>
      <c r="AP514" s="12">
        <f t="shared" si="217"/>
        <v>1.4681633987242284</v>
      </c>
      <c r="AQ514" s="12">
        <f t="shared" si="218"/>
        <v>1.2497296076065585</v>
      </c>
      <c r="AU514" s="12">
        <f t="shared" si="219"/>
        <v>0.91571866604894514</v>
      </c>
      <c r="AV514" s="12">
        <f t="shared" si="220"/>
        <v>0.3083931000725223</v>
      </c>
      <c r="AW514" s="12">
        <f t="shared" si="221"/>
        <v>0.44739517424166775</v>
      </c>
      <c r="AX514" s="12">
        <f t="shared" si="222"/>
        <v>0.95569701806852392</v>
      </c>
      <c r="AY514" s="12">
        <f t="shared" si="223"/>
        <v>0.30473397247891687</v>
      </c>
      <c r="AZ514" s="12">
        <f t="shared" si="224"/>
        <v>0.22716336676507073</v>
      </c>
    </row>
    <row r="515" spans="1:52" x14ac:dyDescent="0.55000000000000004">
      <c r="A515" s="12" t="s">
        <v>263</v>
      </c>
      <c r="B515" s="12" t="s">
        <v>264</v>
      </c>
      <c r="C515" s="12" t="s">
        <v>8</v>
      </c>
      <c r="D515" s="12" t="s">
        <v>9</v>
      </c>
      <c r="E515" s="12">
        <v>1743</v>
      </c>
      <c r="F515" s="12">
        <v>72.285499999999999</v>
      </c>
      <c r="G515" s="12">
        <v>73.818299999999994</v>
      </c>
      <c r="H515" s="14">
        <f t="shared" si="158"/>
        <v>128665.29689999999</v>
      </c>
      <c r="I515" s="12">
        <v>35.531799999999997</v>
      </c>
      <c r="J515" s="12">
        <v>24.5947</v>
      </c>
      <c r="K515" s="12">
        <v>29.483899999999998</v>
      </c>
      <c r="L515" s="12">
        <v>48.6736</v>
      </c>
      <c r="M515" s="12">
        <v>43.2271</v>
      </c>
      <c r="N515" s="12">
        <v>19.659300000000002</v>
      </c>
      <c r="O515" s="12">
        <v>11.0617</v>
      </c>
      <c r="P515" s="12">
        <v>46.0336</v>
      </c>
      <c r="Q515" s="12">
        <v>487.51150000000001</v>
      </c>
      <c r="R515" s="15">
        <v>69.168899999999994</v>
      </c>
      <c r="S515" s="15">
        <v>1752.0630000000001</v>
      </c>
      <c r="T515" s="15">
        <v>1818.1591094096577</v>
      </c>
      <c r="AP515" s="12">
        <f t="shared" si="217"/>
        <v>0.65937037292920597</v>
      </c>
      <c r="AQ515" s="12">
        <f t="shared" si="218"/>
        <v>0.62360688338799464</v>
      </c>
      <c r="AU515" s="12">
        <f t="shared" si="219"/>
        <v>0.73000147924131353</v>
      </c>
      <c r="AV515" s="12">
        <f t="shared" si="220"/>
        <v>0.50529856020512143</v>
      </c>
      <c r="AW515" s="12">
        <f t="shared" si="221"/>
        <v>0.60574726340356988</v>
      </c>
      <c r="AX515" s="12">
        <f t="shared" si="222"/>
        <v>0.93903366236835706</v>
      </c>
      <c r="AY515" s="12">
        <f t="shared" si="223"/>
        <v>0.42706414445100976</v>
      </c>
      <c r="AZ515" s="12">
        <f t="shared" si="224"/>
        <v>0.2402962184143756</v>
      </c>
    </row>
    <row r="516" spans="1:52" x14ac:dyDescent="0.55000000000000004">
      <c r="A516" s="12" t="s">
        <v>506</v>
      </c>
      <c r="B516" s="12" t="s">
        <v>484</v>
      </c>
      <c r="C516" s="12" t="s">
        <v>485</v>
      </c>
      <c r="D516" s="12" t="s">
        <v>9</v>
      </c>
      <c r="E516" s="12">
        <v>2036</v>
      </c>
      <c r="F516" s="12">
        <v>72.17649999999999</v>
      </c>
      <c r="G516" s="12">
        <v>41.368600000000001</v>
      </c>
      <c r="H516" s="14">
        <f t="shared" si="158"/>
        <v>84226.469599999997</v>
      </c>
      <c r="I516" s="12">
        <v>65.665099999999995</v>
      </c>
      <c r="J516" s="12">
        <v>12.842599999999999</v>
      </c>
      <c r="K516" s="12">
        <v>33.603099999999998</v>
      </c>
      <c r="L516" s="12">
        <v>73.061800000000005</v>
      </c>
      <c r="M516" s="12">
        <v>56.741199999999999</v>
      </c>
      <c r="N516" s="12">
        <v>14.7903</v>
      </c>
      <c r="O516" s="12">
        <v>7.9031000000000002</v>
      </c>
      <c r="P516" s="12">
        <v>58.397799999999997</v>
      </c>
      <c r="Q516" s="12">
        <v>453.81659999999999</v>
      </c>
      <c r="R516" s="15">
        <v>333.56040000000002</v>
      </c>
      <c r="S516" s="15">
        <v>1804.1003000000001</v>
      </c>
      <c r="T516" s="15">
        <v>1813.1205973529973</v>
      </c>
      <c r="AP516" s="12">
        <f t="shared" si="217"/>
        <v>1.7661172966936276</v>
      </c>
      <c r="AQ516" s="12">
        <f t="shared" si="218"/>
        <v>1.4116455475892342</v>
      </c>
      <c r="AU516" s="12">
        <f t="shared" si="219"/>
        <v>0.89876104886548092</v>
      </c>
      <c r="AV516" s="12">
        <f t="shared" si="220"/>
        <v>0.17577721873810936</v>
      </c>
      <c r="AW516" s="12">
        <f t="shared" si="221"/>
        <v>0.45992707543476885</v>
      </c>
      <c r="AX516" s="12">
        <f t="shared" si="222"/>
        <v>0.97163249300487353</v>
      </c>
      <c r="AY516" s="12">
        <f t="shared" si="223"/>
        <v>0.25326810256550764</v>
      </c>
      <c r="AZ516" s="12">
        <f t="shared" si="224"/>
        <v>0.13533215292356904</v>
      </c>
    </row>
    <row r="517" spans="1:52" x14ac:dyDescent="0.55000000000000004">
      <c r="A517" s="12" t="s">
        <v>456</v>
      </c>
      <c r="B517" s="12" t="s">
        <v>455</v>
      </c>
      <c r="C517" s="12" t="s">
        <v>322</v>
      </c>
      <c r="D517" s="12" t="s">
        <v>9</v>
      </c>
      <c r="E517" s="12">
        <v>2124</v>
      </c>
      <c r="F517" s="12">
        <v>73.130200000000002</v>
      </c>
      <c r="G517" s="12">
        <v>44.358600000000003</v>
      </c>
      <c r="H517" s="14">
        <f t="shared" si="158"/>
        <v>94217.666400000002</v>
      </c>
      <c r="I517" s="12">
        <v>73.542699999999996</v>
      </c>
      <c r="J517" s="12">
        <v>15.146699999999999</v>
      </c>
      <c r="K517" s="12">
        <v>24.183499999999999</v>
      </c>
      <c r="L517" s="12">
        <v>73.555800000000005</v>
      </c>
      <c r="M517" s="12">
        <v>49.624200000000002</v>
      </c>
      <c r="N517" s="12">
        <v>14.3635</v>
      </c>
      <c r="O517" s="12">
        <v>15.0832</v>
      </c>
      <c r="P517" s="12">
        <v>51.301099999999998</v>
      </c>
      <c r="Q517" s="12">
        <v>382.2253</v>
      </c>
      <c r="R517" s="15">
        <v>121.4881</v>
      </c>
      <c r="S517" s="15">
        <v>2148.2136</v>
      </c>
      <c r="T517" s="15">
        <v>2152.1573240604994</v>
      </c>
      <c r="AP517" s="12">
        <f t="shared" si="217"/>
        <v>1.6582083293882133</v>
      </c>
      <c r="AQ517" s="12">
        <f t="shared" si="218"/>
        <v>1.1565085462570954</v>
      </c>
      <c r="AU517" s="12">
        <f t="shared" si="219"/>
        <v>0.99982190391512282</v>
      </c>
      <c r="AV517" s="12">
        <f t="shared" si="220"/>
        <v>0.20592121899292778</v>
      </c>
      <c r="AW517" s="12">
        <f t="shared" si="221"/>
        <v>0.32877760829193614</v>
      </c>
      <c r="AX517" s="12">
        <f t="shared" si="222"/>
        <v>0.96731259173779904</v>
      </c>
      <c r="AY517" s="12">
        <f t="shared" si="223"/>
        <v>0.27998424985039311</v>
      </c>
      <c r="AZ517" s="12">
        <f t="shared" si="224"/>
        <v>0.29401318880101984</v>
      </c>
    </row>
    <row r="518" spans="1:52" x14ac:dyDescent="0.55000000000000004">
      <c r="A518" s="12" t="s">
        <v>265</v>
      </c>
      <c r="B518" s="12" t="s">
        <v>266</v>
      </c>
      <c r="C518" s="12" t="s">
        <v>8</v>
      </c>
      <c r="D518" s="12" t="s">
        <v>9</v>
      </c>
      <c r="E518" s="12">
        <v>1741</v>
      </c>
      <c r="F518" s="12">
        <v>68.593400000000003</v>
      </c>
      <c r="G518" s="12">
        <v>41.99</v>
      </c>
      <c r="H518" s="14">
        <f t="shared" si="158"/>
        <v>73104.59</v>
      </c>
      <c r="I518" s="12">
        <v>56.512999999999998</v>
      </c>
      <c r="J518" s="12">
        <v>10.6229</v>
      </c>
      <c r="K518" s="12">
        <v>20.134499999999999</v>
      </c>
      <c r="L518" s="12">
        <v>58.461399999999998</v>
      </c>
      <c r="M518" s="12">
        <v>42.170200000000001</v>
      </c>
      <c r="N518" s="12">
        <v>13.526899999999999</v>
      </c>
      <c r="O518" s="12">
        <v>10.2745</v>
      </c>
      <c r="P518" s="12">
        <v>44.209099999999999</v>
      </c>
      <c r="Q518" s="12">
        <v>301.20800000000003</v>
      </c>
      <c r="R518" s="15">
        <v>49.393300000000004</v>
      </c>
      <c r="S518" s="15">
        <v>1957.3001999999999</v>
      </c>
      <c r="T518" s="15">
        <v>1968.3984911060768</v>
      </c>
      <c r="AP518" s="12">
        <f t="shared" si="217"/>
        <v>1.3922695879971421</v>
      </c>
      <c r="AQ518" s="12">
        <f t="shared" si="218"/>
        <v>1.0528482972136222</v>
      </c>
      <c r="AU518" s="12">
        <f t="shared" si="219"/>
        <v>0.96667202632848337</v>
      </c>
      <c r="AV518" s="12">
        <f t="shared" si="220"/>
        <v>0.1817079303608877</v>
      </c>
      <c r="AW518" s="12">
        <f t="shared" si="221"/>
        <v>0.34440673675279759</v>
      </c>
      <c r="AX518" s="12">
        <f t="shared" si="222"/>
        <v>0.95388053590776567</v>
      </c>
      <c r="AY518" s="12">
        <f t="shared" si="223"/>
        <v>0.30597546658945785</v>
      </c>
      <c r="AZ518" s="12">
        <f t="shared" si="224"/>
        <v>0.2324069026512641</v>
      </c>
    </row>
    <row r="519" spans="1:52" x14ac:dyDescent="0.55000000000000004">
      <c r="A519" s="12" t="s">
        <v>267</v>
      </c>
      <c r="B519" s="12" t="s">
        <v>268</v>
      </c>
      <c r="C519" s="12" t="s">
        <v>8</v>
      </c>
      <c r="D519" s="12" t="s">
        <v>9</v>
      </c>
      <c r="E519" s="12">
        <v>1256</v>
      </c>
      <c r="F519" s="12">
        <v>69.986999999999995</v>
      </c>
      <c r="G519" s="12">
        <v>40.692399999999999</v>
      </c>
      <c r="H519" s="14">
        <f t="shared" si="158"/>
        <v>51109.654399999999</v>
      </c>
      <c r="I519" s="12">
        <v>64.260400000000004</v>
      </c>
      <c r="J519" s="12">
        <v>9.1854999999999993</v>
      </c>
      <c r="K519" s="12">
        <v>21.683</v>
      </c>
      <c r="L519" s="12">
        <v>66.207499999999996</v>
      </c>
      <c r="M519" s="12">
        <v>50.700099999999999</v>
      </c>
      <c r="N519" s="12">
        <v>15.9315</v>
      </c>
      <c r="P519" s="12">
        <v>52.219900000000003</v>
      </c>
      <c r="Q519" s="12">
        <v>549.55619999999999</v>
      </c>
      <c r="R519" s="15">
        <v>1787.0581999999999</v>
      </c>
      <c r="S519" s="15">
        <v>2592.4011</v>
      </c>
      <c r="T519" s="15">
        <v>2592.4303771684149</v>
      </c>
      <c r="AP519" s="12">
        <f t="shared" si="217"/>
        <v>1.6270237194168935</v>
      </c>
      <c r="AQ519" s="12">
        <f t="shared" si="218"/>
        <v>1.2832838564449383</v>
      </c>
      <c r="AU519" s="12">
        <f t="shared" si="219"/>
        <v>0.97059094513461475</v>
      </c>
      <c r="AV519" s="12">
        <f t="shared" si="220"/>
        <v>0.13873805837707209</v>
      </c>
      <c r="AW519" s="12">
        <f t="shared" si="221"/>
        <v>0.32750066080126877</v>
      </c>
      <c r="AX519" s="12">
        <f t="shared" ref="AX519:AX565" si="225">M519/$P519</f>
        <v>0.97089615261614814</v>
      </c>
      <c r="AY519" s="12">
        <f t="shared" ref="AY519:AY565" si="226">N519/$P519</f>
        <v>0.30508484313451384</v>
      </c>
    </row>
    <row r="520" spans="1:52" x14ac:dyDescent="0.55000000000000004">
      <c r="A520" s="12" t="s">
        <v>269</v>
      </c>
      <c r="B520" s="12" t="s">
        <v>270</v>
      </c>
      <c r="C520" s="12" t="s">
        <v>8</v>
      </c>
      <c r="D520" s="12" t="s">
        <v>9</v>
      </c>
      <c r="E520" s="12">
        <v>1954</v>
      </c>
      <c r="F520" s="12">
        <v>70.029899999999998</v>
      </c>
      <c r="G520" s="12">
        <v>41.600299999999997</v>
      </c>
      <c r="H520" s="14">
        <f t="shared" si="158"/>
        <v>81286.986199999999</v>
      </c>
      <c r="I520" s="12">
        <v>49.2821</v>
      </c>
      <c r="J520" s="12">
        <v>16.8691</v>
      </c>
      <c r="K520" s="12">
        <v>31.524100000000001</v>
      </c>
      <c r="L520" s="12">
        <v>54.998899999999999</v>
      </c>
      <c r="M520" s="12">
        <v>46.496099999999998</v>
      </c>
      <c r="N520" s="12">
        <v>15.4399</v>
      </c>
      <c r="O520" s="12">
        <v>36.803100000000001</v>
      </c>
      <c r="P520" s="12">
        <v>48.550400000000003</v>
      </c>
      <c r="Q520" s="12">
        <v>692.88689999999997</v>
      </c>
      <c r="R520" s="15">
        <v>1463.1171999999999</v>
      </c>
      <c r="S520" s="15">
        <v>2006.9159999999999</v>
      </c>
      <c r="T520" s="15">
        <v>2014.5509951388894</v>
      </c>
      <c r="AP520" s="12">
        <f t="shared" si="217"/>
        <v>1.3220794080811917</v>
      </c>
      <c r="AQ520" s="12">
        <f t="shared" si="218"/>
        <v>1.1670685067174997</v>
      </c>
      <c r="AU520" s="12">
        <f t="shared" si="219"/>
        <v>0.89605610294024063</v>
      </c>
      <c r="AV520" s="12">
        <f t="shared" si="220"/>
        <v>0.30671704343177775</v>
      </c>
      <c r="AW520" s="12">
        <f t="shared" si="221"/>
        <v>0.57317691808381621</v>
      </c>
      <c r="AX520" s="12">
        <f t="shared" si="225"/>
        <v>0.95768726931189019</v>
      </c>
      <c r="AY520" s="12">
        <f t="shared" si="226"/>
        <v>0.31801797719483255</v>
      </c>
      <c r="AZ520" s="12">
        <f t="shared" ref="AZ520:AZ565" si="227">O520/$P520</f>
        <v>0.75803906867914572</v>
      </c>
    </row>
    <row r="521" spans="1:52" x14ac:dyDescent="0.55000000000000004">
      <c r="A521" s="12" t="s">
        <v>271</v>
      </c>
      <c r="B521" s="12" t="s">
        <v>272</v>
      </c>
      <c r="C521" s="12" t="s">
        <v>8</v>
      </c>
      <c r="D521" s="12" t="s">
        <v>9</v>
      </c>
      <c r="E521" s="12">
        <v>1672</v>
      </c>
      <c r="F521" s="12">
        <v>69.308099999999996</v>
      </c>
      <c r="G521" s="12">
        <v>147.94059999999999</v>
      </c>
      <c r="H521" s="14">
        <f t="shared" si="158"/>
        <v>247356.68319999997</v>
      </c>
      <c r="I521" s="12">
        <v>47.607700000000001</v>
      </c>
      <c r="J521" s="12">
        <v>19.373000000000001</v>
      </c>
      <c r="K521" s="12">
        <v>23.256699999999999</v>
      </c>
      <c r="L521" s="12">
        <v>53.219799999999999</v>
      </c>
      <c r="M521" s="12">
        <v>46.7605</v>
      </c>
      <c r="N521" s="12">
        <v>19.957799999999999</v>
      </c>
      <c r="O521" s="12">
        <v>9.2165999999999997</v>
      </c>
      <c r="P521" s="12">
        <v>50.878999999999998</v>
      </c>
      <c r="Q521" s="12">
        <v>465.54730000000001</v>
      </c>
      <c r="R521" s="15">
        <v>257.19110000000001</v>
      </c>
      <c r="S521" s="15">
        <v>1954.1283000000001</v>
      </c>
      <c r="T521" s="15">
        <v>1994.3893779236416</v>
      </c>
      <c r="AP521" s="12">
        <f t="shared" si="217"/>
        <v>0.35973762442493812</v>
      </c>
      <c r="AQ521" s="12">
        <f t="shared" si="218"/>
        <v>0.34391505780022524</v>
      </c>
      <c r="AU521" s="12">
        <f t="shared" si="219"/>
        <v>0.89454864542895696</v>
      </c>
      <c r="AV521" s="12">
        <f t="shared" si="220"/>
        <v>0.36401865471121653</v>
      </c>
      <c r="AW521" s="12">
        <f t="shared" si="221"/>
        <v>0.43699337464627824</v>
      </c>
      <c r="AX521" s="12">
        <f t="shared" si="225"/>
        <v>0.91905304742624661</v>
      </c>
      <c r="AY521" s="12">
        <f t="shared" si="226"/>
        <v>0.39226006800448121</v>
      </c>
      <c r="AZ521" s="12">
        <f t="shared" si="227"/>
        <v>0.18114742821203247</v>
      </c>
    </row>
    <row r="522" spans="1:52" x14ac:dyDescent="0.55000000000000004">
      <c r="A522" s="12" t="s">
        <v>273</v>
      </c>
      <c r="B522" s="12" t="s">
        <v>11</v>
      </c>
      <c r="C522" s="12" t="s">
        <v>8</v>
      </c>
      <c r="D522" s="12" t="s">
        <v>9</v>
      </c>
      <c r="E522" s="12">
        <v>1432</v>
      </c>
      <c r="F522" s="12">
        <v>70.637799999999999</v>
      </c>
      <c r="G522" s="12">
        <v>40.0184</v>
      </c>
      <c r="H522" s="14">
        <f t="shared" si="158"/>
        <v>57306.3488</v>
      </c>
      <c r="I522" s="12">
        <v>113.8498</v>
      </c>
      <c r="J522" s="12">
        <v>16.890799999999999</v>
      </c>
      <c r="K522" s="12">
        <v>41.292400000000001</v>
      </c>
      <c r="L522" s="12">
        <v>121.83969999999999</v>
      </c>
      <c r="M522" s="12">
        <v>50.822000000000003</v>
      </c>
      <c r="N522" s="12">
        <v>19.943999999999999</v>
      </c>
      <c r="O522" s="12">
        <v>12.301500000000001</v>
      </c>
      <c r="P522" s="12">
        <v>52.427799999999998</v>
      </c>
      <c r="Q522" s="12">
        <v>386.69540000000001</v>
      </c>
      <c r="R522" s="15">
        <v>88.131500000000003</v>
      </c>
      <c r="S522" s="15">
        <v>1375.3757000000001</v>
      </c>
      <c r="T522" s="15">
        <v>1384.3677546311637</v>
      </c>
      <c r="AP522" s="12">
        <f t="shared" si="217"/>
        <v>3.0445919876856644</v>
      </c>
      <c r="AQ522" s="12">
        <f t="shared" si="218"/>
        <v>1.3100923575155428</v>
      </c>
      <c r="AU522" s="12">
        <f t="shared" si="219"/>
        <v>0.93442285232153399</v>
      </c>
      <c r="AV522" s="12">
        <f t="shared" si="220"/>
        <v>0.13863133280860016</v>
      </c>
      <c r="AW522" s="12">
        <f t="shared" si="221"/>
        <v>0.33890759744155641</v>
      </c>
      <c r="AX522" s="12">
        <f t="shared" si="225"/>
        <v>0.96937121145651739</v>
      </c>
      <c r="AY522" s="12">
        <f t="shared" si="226"/>
        <v>0.38040886705144983</v>
      </c>
      <c r="AZ522" s="12">
        <f t="shared" si="227"/>
        <v>0.2346369674104197</v>
      </c>
    </row>
    <row r="523" spans="1:52" x14ac:dyDescent="0.55000000000000004">
      <c r="A523" s="12" t="s">
        <v>548</v>
      </c>
      <c r="B523" s="12" t="s">
        <v>549</v>
      </c>
      <c r="C523" s="12" t="s">
        <v>515</v>
      </c>
      <c r="D523" s="12" t="s">
        <v>9</v>
      </c>
      <c r="E523" s="12">
        <v>2378</v>
      </c>
      <c r="F523" s="12">
        <v>70.306435000000008</v>
      </c>
      <c r="G523" s="12">
        <v>39.463087000000002</v>
      </c>
      <c r="H523" s="14">
        <f t="shared" si="158"/>
        <v>93843.22088600001</v>
      </c>
      <c r="I523" s="12">
        <v>34.008660999999996</v>
      </c>
      <c r="J523" s="12">
        <v>5.8977329999999997</v>
      </c>
      <c r="K523" s="12">
        <v>23.862967999999999</v>
      </c>
      <c r="L523" s="12">
        <v>40.720205999999997</v>
      </c>
      <c r="M523" s="12">
        <v>26.587382999999999</v>
      </c>
      <c r="N523" s="12">
        <v>8.6170810000000007</v>
      </c>
      <c r="O523" s="12">
        <v>13.674947</v>
      </c>
      <c r="P523" s="12">
        <v>26.720952</v>
      </c>
      <c r="Q523" s="12">
        <v>520.61924299999998</v>
      </c>
      <c r="R523" s="15">
        <v>102.974851</v>
      </c>
      <c r="S523" s="15">
        <v>1122.993003</v>
      </c>
      <c r="T523" s="15">
        <v>1140.0979153387684</v>
      </c>
      <c r="AP523" s="12">
        <f t="shared" si="217"/>
        <v>1.0318555666970501</v>
      </c>
      <c r="AQ523" s="12">
        <f t="shared" si="218"/>
        <v>0.67711256344441573</v>
      </c>
      <c r="AU523" s="12">
        <f t="shared" si="219"/>
        <v>0.83517900179581606</v>
      </c>
      <c r="AV523" s="12">
        <f t="shared" si="220"/>
        <v>0.14483553938798835</v>
      </c>
      <c r="AW523" s="12">
        <f t="shared" si="221"/>
        <v>0.58602277208519038</v>
      </c>
      <c r="AX523" s="12">
        <f t="shared" si="225"/>
        <v>0.99500133827567216</v>
      </c>
      <c r="AY523" s="12">
        <f t="shared" si="226"/>
        <v>0.32248405670576408</v>
      </c>
      <c r="AZ523" s="12">
        <f t="shared" si="227"/>
        <v>0.51176870494733873</v>
      </c>
    </row>
    <row r="524" spans="1:52" x14ac:dyDescent="0.55000000000000004">
      <c r="A524" s="12" t="s">
        <v>550</v>
      </c>
      <c r="B524" s="12" t="s">
        <v>549</v>
      </c>
      <c r="C524" s="12" t="s">
        <v>515</v>
      </c>
      <c r="D524" s="12" t="s">
        <v>9</v>
      </c>
      <c r="E524" s="12">
        <v>2376</v>
      </c>
      <c r="F524" s="12">
        <v>69.779955999999999</v>
      </c>
      <c r="G524" s="12">
        <v>45.776131999999997</v>
      </c>
      <c r="H524" s="14">
        <f t="shared" si="158"/>
        <v>108764.08963199999</v>
      </c>
      <c r="I524" s="12">
        <v>36.426580999999999</v>
      </c>
      <c r="J524" s="12">
        <v>6.5679610000000004</v>
      </c>
      <c r="K524" s="12">
        <v>27.053611</v>
      </c>
      <c r="L524" s="12">
        <v>45.119247999999999</v>
      </c>
      <c r="M524" s="12">
        <v>27.649602000000002</v>
      </c>
      <c r="N524" s="12">
        <v>8.8113910000000004</v>
      </c>
      <c r="O524" s="12">
        <v>15.032394999999999</v>
      </c>
      <c r="P524" s="12">
        <v>28.050993999999999</v>
      </c>
      <c r="Q524" s="12">
        <v>438.65977299999997</v>
      </c>
      <c r="R524" s="15">
        <v>103.706396</v>
      </c>
      <c r="S524" s="15">
        <v>1188.38435</v>
      </c>
      <c r="T524" s="15">
        <v>1223.3747273710844</v>
      </c>
      <c r="AP524" s="12">
        <f t="shared" si="217"/>
        <v>0.98565007633235591</v>
      </c>
      <c r="AQ524" s="12">
        <f t="shared" si="218"/>
        <v>0.61278646260457303</v>
      </c>
      <c r="AU524" s="12">
        <f t="shared" si="219"/>
        <v>0.80734016222965421</v>
      </c>
      <c r="AV524" s="12">
        <f t="shared" si="220"/>
        <v>0.14556893767378393</v>
      </c>
      <c r="AW524" s="12">
        <f t="shared" si="221"/>
        <v>0.59960243574981575</v>
      </c>
      <c r="AX524" s="12">
        <f t="shared" si="225"/>
        <v>0.98569063185425809</v>
      </c>
      <c r="AY524" s="12">
        <f t="shared" si="226"/>
        <v>0.31412045505410613</v>
      </c>
      <c r="AZ524" s="12">
        <f t="shared" si="227"/>
        <v>0.53589526987884994</v>
      </c>
    </row>
    <row r="525" spans="1:52" x14ac:dyDescent="0.55000000000000004">
      <c r="A525" s="12" t="s">
        <v>674</v>
      </c>
      <c r="B525" s="12" t="s">
        <v>675</v>
      </c>
      <c r="C525" s="12" t="s">
        <v>322</v>
      </c>
      <c r="D525" s="12" t="s">
        <v>9</v>
      </c>
      <c r="E525" s="12">
        <v>1819</v>
      </c>
      <c r="F525" s="12">
        <v>70.608689700968156</v>
      </c>
      <c r="G525" s="12">
        <v>35.323618154658284</v>
      </c>
      <c r="H525" s="14">
        <f t="shared" si="158"/>
        <v>64253.661423323421</v>
      </c>
      <c r="I525" s="12">
        <v>45.756457272307671</v>
      </c>
      <c r="J525" s="12">
        <v>18.400052614378325</v>
      </c>
      <c r="K525" s="12">
        <v>16.540216403378054</v>
      </c>
      <c r="L525" s="12">
        <v>49.504722437250429</v>
      </c>
      <c r="M525" s="12">
        <v>38.594413432725005</v>
      </c>
      <c r="N525" s="12">
        <v>12.5889059320745</v>
      </c>
      <c r="O525" s="12">
        <v>13.289170942074072</v>
      </c>
      <c r="P525" s="12">
        <v>41.489278346107724</v>
      </c>
      <c r="Q525" s="12">
        <v>638.54931188945818</v>
      </c>
      <c r="R525" s="15">
        <v>70.157267106911604</v>
      </c>
      <c r="S525" s="15">
        <v>884.78564320350665</v>
      </c>
      <c r="T525" s="15">
        <v>1080.8787246382117</v>
      </c>
      <c r="AP525" s="12">
        <f t="shared" si="217"/>
        <v>1.4014623932492607</v>
      </c>
      <c r="AQ525" s="12">
        <f t="shared" si="218"/>
        <v>1.1745478100361684</v>
      </c>
      <c r="AU525" s="12">
        <f t="shared" si="219"/>
        <v>0.92428469486534626</v>
      </c>
      <c r="AV525" s="12">
        <f t="shared" si="220"/>
        <v>0.37168277506658604</v>
      </c>
      <c r="AW525" s="12">
        <f t="shared" si="221"/>
        <v>0.33411391053335482</v>
      </c>
      <c r="AX525" s="12">
        <f t="shared" si="225"/>
        <v>0.93022619267480466</v>
      </c>
      <c r="AY525" s="12">
        <f t="shared" si="226"/>
        <v>0.30342552181931398</v>
      </c>
      <c r="AZ525" s="12">
        <f t="shared" si="227"/>
        <v>0.32030373802153111</v>
      </c>
    </row>
    <row r="526" spans="1:52" x14ac:dyDescent="0.55000000000000004">
      <c r="A526" s="12" t="s">
        <v>676</v>
      </c>
      <c r="B526" s="12" t="s">
        <v>677</v>
      </c>
      <c r="C526" s="12" t="s">
        <v>322</v>
      </c>
      <c r="D526" s="12" t="s">
        <v>9</v>
      </c>
      <c r="E526" s="12">
        <v>1855</v>
      </c>
      <c r="F526" s="12">
        <v>67.258867767789241</v>
      </c>
      <c r="G526" s="12">
        <v>44.141006183582839</v>
      </c>
      <c r="H526" s="14">
        <f t="shared" si="158"/>
        <v>81881.566470546168</v>
      </c>
      <c r="I526" s="12">
        <v>38.203755208802136</v>
      </c>
      <c r="J526" s="12">
        <v>14.388523705348979</v>
      </c>
      <c r="K526" s="12">
        <v>24.923023410024125</v>
      </c>
      <c r="L526" s="12">
        <v>45.000061223465259</v>
      </c>
      <c r="M526" s="12">
        <v>36.228263080831468</v>
      </c>
      <c r="N526" s="12">
        <v>10.114894421947856</v>
      </c>
      <c r="O526" s="12">
        <v>14.580808988389887</v>
      </c>
      <c r="P526" s="12">
        <v>39.310369428096315</v>
      </c>
      <c r="Q526" s="12">
        <v>375.04750766879499</v>
      </c>
      <c r="R526" s="15">
        <v>235.67189539107835</v>
      </c>
      <c r="S526" s="15">
        <v>1563.5776036644252</v>
      </c>
      <c r="T526" s="15">
        <v>1578.2507648039175</v>
      </c>
      <c r="AP526" s="12">
        <f t="shared" si="217"/>
        <v>1.0194616098307683</v>
      </c>
      <c r="AQ526" s="12">
        <f t="shared" si="218"/>
        <v>0.89056351059611416</v>
      </c>
      <c r="AU526" s="12">
        <f t="shared" si="219"/>
        <v>0.84897118292987583</v>
      </c>
      <c r="AV526" s="12">
        <f t="shared" si="220"/>
        <v>0.31974453621067722</v>
      </c>
      <c r="AW526" s="12">
        <f t="shared" si="221"/>
        <v>0.55384421115027349</v>
      </c>
      <c r="AX526" s="12">
        <f t="shared" si="225"/>
        <v>0.92159558935454899</v>
      </c>
      <c r="AY526" s="12">
        <f t="shared" si="226"/>
        <v>0.25730855672697989</v>
      </c>
      <c r="AZ526" s="12">
        <f t="shared" si="227"/>
        <v>0.37091508425175318</v>
      </c>
    </row>
    <row r="527" spans="1:52" x14ac:dyDescent="0.55000000000000004">
      <c r="A527" s="12" t="s">
        <v>551</v>
      </c>
      <c r="B527" s="12" t="s">
        <v>552</v>
      </c>
      <c r="C527" s="12" t="s">
        <v>515</v>
      </c>
      <c r="D527" s="12" t="s">
        <v>9</v>
      </c>
      <c r="E527" s="12">
        <v>1584</v>
      </c>
      <c r="F527" s="12">
        <v>68.166826999999998</v>
      </c>
      <c r="G527" s="12">
        <v>66.477887999999993</v>
      </c>
      <c r="H527" s="14">
        <f t="shared" si="158"/>
        <v>105300.97459199998</v>
      </c>
      <c r="I527" s="12">
        <v>53.984065000000001</v>
      </c>
      <c r="J527" s="12">
        <v>22.961756999999999</v>
      </c>
      <c r="K527" s="12">
        <v>22.484473999999999</v>
      </c>
      <c r="L527" s="12">
        <v>58.212349000000003</v>
      </c>
      <c r="M527" s="12">
        <v>48.350748000000003</v>
      </c>
      <c r="N527" s="12">
        <v>18.818791000000001</v>
      </c>
      <c r="O527" s="12">
        <v>15.363887</v>
      </c>
      <c r="P527" s="12">
        <v>50.978278000000003</v>
      </c>
      <c r="Q527" s="12">
        <v>418.84864099999999</v>
      </c>
      <c r="R527" s="15">
        <v>2153.4009179999998</v>
      </c>
      <c r="S527" s="15">
        <v>55.795226</v>
      </c>
      <c r="T527" s="15">
        <v>2154.7162622452615</v>
      </c>
      <c r="AP527" s="12">
        <f t="shared" ref="AP527:AP558" si="228">L527/G527</f>
        <v>0.87566483760735614</v>
      </c>
      <c r="AQ527" s="12">
        <f t="shared" ref="AQ527:AQ558" si="229">P527/G527</f>
        <v>0.7668456314376294</v>
      </c>
      <c r="AU527" s="12">
        <f t="shared" ref="AU527:AU558" si="230">I527/$L527</f>
        <v>0.92736448412346317</v>
      </c>
      <c r="AV527" s="12">
        <f t="shared" ref="AV527:AV558" si="231">J527/$L527</f>
        <v>0.39444821235439231</v>
      </c>
      <c r="AW527" s="12">
        <f t="shared" ref="AW527:AW558" si="232">K527/$L527</f>
        <v>0.38624921320388561</v>
      </c>
      <c r="AX527" s="12">
        <f t="shared" si="225"/>
        <v>0.94845785100861979</v>
      </c>
      <c r="AY527" s="12">
        <f t="shared" si="226"/>
        <v>0.36915313224193252</v>
      </c>
      <c r="AZ527" s="12">
        <f t="shared" si="227"/>
        <v>0.30138105096449119</v>
      </c>
    </row>
    <row r="528" spans="1:52" x14ac:dyDescent="0.55000000000000004">
      <c r="A528" s="12" t="s">
        <v>457</v>
      </c>
      <c r="B528" s="12" t="s">
        <v>458</v>
      </c>
      <c r="C528" s="12" t="s">
        <v>322</v>
      </c>
      <c r="D528" s="12" t="s">
        <v>9</v>
      </c>
      <c r="E528" s="12">
        <v>1594</v>
      </c>
      <c r="F528" s="12">
        <v>66.776596999999995</v>
      </c>
      <c r="G528" s="12">
        <v>52.288151999999997</v>
      </c>
      <c r="H528" s="14">
        <f t="shared" si="158"/>
        <v>83347.314287999994</v>
      </c>
      <c r="I528" s="12">
        <v>54.933095999999999</v>
      </c>
      <c r="J528" s="12">
        <v>13.360364000000001</v>
      </c>
      <c r="K528" s="12">
        <v>22.038924000000002</v>
      </c>
      <c r="L528" s="12">
        <v>57.545337000000004</v>
      </c>
      <c r="M528" s="12">
        <v>38.889547</v>
      </c>
      <c r="N528" s="12">
        <v>7.4910620000000003</v>
      </c>
      <c r="O528" s="12">
        <v>7.8317139999999998</v>
      </c>
      <c r="P528" s="12">
        <v>38.945475000000002</v>
      </c>
      <c r="Q528" s="12">
        <v>360.15243500000003</v>
      </c>
      <c r="R528" s="15">
        <v>2098.878937</v>
      </c>
      <c r="S528" s="15">
        <v>26.641961999999999</v>
      </c>
      <c r="T528" s="15">
        <v>2128.9014175044999</v>
      </c>
      <c r="AP528" s="12">
        <f t="shared" si="228"/>
        <v>1.1005425665072273</v>
      </c>
      <c r="AQ528" s="12">
        <f t="shared" si="229"/>
        <v>0.74482408557869872</v>
      </c>
      <c r="AU528" s="12">
        <f t="shared" si="230"/>
        <v>0.95460551390984116</v>
      </c>
      <c r="AV528" s="12">
        <f t="shared" si="231"/>
        <v>0.2321710966780853</v>
      </c>
      <c r="AW528" s="12">
        <f t="shared" si="232"/>
        <v>0.38298366381971138</v>
      </c>
      <c r="AX528" s="12">
        <f t="shared" si="225"/>
        <v>0.99856394099699641</v>
      </c>
      <c r="AY528" s="12">
        <f t="shared" si="226"/>
        <v>0.19234742932266199</v>
      </c>
      <c r="AZ528" s="12">
        <f t="shared" si="227"/>
        <v>0.20109432482207495</v>
      </c>
    </row>
    <row r="529" spans="1:52" x14ac:dyDescent="0.55000000000000004">
      <c r="A529" s="12" t="s">
        <v>459</v>
      </c>
      <c r="B529" s="12" t="s">
        <v>460</v>
      </c>
      <c r="C529" s="12" t="s">
        <v>322</v>
      </c>
      <c r="D529" s="12" t="s">
        <v>9</v>
      </c>
      <c r="E529" s="12">
        <v>1701</v>
      </c>
      <c r="F529" s="12">
        <v>74.173265999999998</v>
      </c>
      <c r="G529" s="12">
        <v>71.848501999999996</v>
      </c>
      <c r="H529" s="14">
        <f t="shared" si="158"/>
        <v>122214.30190199999</v>
      </c>
      <c r="I529" s="12">
        <v>56.417665</v>
      </c>
      <c r="J529" s="12">
        <v>16.389962000000001</v>
      </c>
      <c r="K529" s="12">
        <v>19.563023000000001</v>
      </c>
      <c r="L529" s="12">
        <v>59.586010999999999</v>
      </c>
      <c r="M529" s="12">
        <v>47.645347000000001</v>
      </c>
      <c r="N529" s="12">
        <v>13.135242</v>
      </c>
      <c r="O529" s="12">
        <v>5.9879910000000001</v>
      </c>
      <c r="P529" s="12">
        <v>47.827652</v>
      </c>
      <c r="Q529" s="12">
        <v>528.53657199999998</v>
      </c>
      <c r="R529" s="15">
        <v>2323.2586150000002</v>
      </c>
      <c r="S529" s="15">
        <v>231.08498499999999</v>
      </c>
      <c r="T529" s="15">
        <v>2355.746519846296</v>
      </c>
      <c r="AP529" s="12">
        <f t="shared" si="228"/>
        <v>0.82932850847746276</v>
      </c>
      <c r="AQ529" s="12">
        <f t="shared" si="229"/>
        <v>0.66567361418335491</v>
      </c>
      <c r="AU529" s="12">
        <f t="shared" si="230"/>
        <v>0.94682735180913524</v>
      </c>
      <c r="AV529" s="12">
        <f t="shared" si="231"/>
        <v>0.27506392398041213</v>
      </c>
      <c r="AW529" s="12">
        <f t="shared" si="232"/>
        <v>0.32831570148234962</v>
      </c>
      <c r="AX529" s="12">
        <f t="shared" si="225"/>
        <v>0.99618829291473476</v>
      </c>
      <c r="AY529" s="12">
        <f t="shared" si="226"/>
        <v>0.27463698197017911</v>
      </c>
      <c r="AZ529" s="12">
        <f t="shared" si="227"/>
        <v>0.12519935120377643</v>
      </c>
    </row>
    <row r="530" spans="1:52" x14ac:dyDescent="0.55000000000000004">
      <c r="A530" s="12" t="s">
        <v>461</v>
      </c>
      <c r="B530" s="12" t="s">
        <v>462</v>
      </c>
      <c r="C530" s="12" t="s">
        <v>322</v>
      </c>
      <c r="D530" s="12" t="s">
        <v>9</v>
      </c>
      <c r="E530" s="12">
        <v>1652</v>
      </c>
      <c r="F530" s="12">
        <v>67.095625999999996</v>
      </c>
      <c r="G530" s="12">
        <v>38.343286999999997</v>
      </c>
      <c r="H530" s="14">
        <f t="shared" si="158"/>
        <v>63343.110123999992</v>
      </c>
      <c r="I530" s="12">
        <v>63.817306000000002</v>
      </c>
      <c r="J530" s="12">
        <v>10.505817</v>
      </c>
      <c r="K530" s="12">
        <v>19.802009999999999</v>
      </c>
      <c r="L530" s="12">
        <v>65.198097000000004</v>
      </c>
      <c r="M530" s="12">
        <v>39.138328999999999</v>
      </c>
      <c r="N530" s="12">
        <v>15.582236999999999</v>
      </c>
      <c r="O530" s="12">
        <v>17.627092999999999</v>
      </c>
      <c r="P530" s="12">
        <v>42.004846000000001</v>
      </c>
      <c r="Q530" s="12">
        <v>410.74144200000001</v>
      </c>
      <c r="R530" s="15">
        <v>2261.8354450000002</v>
      </c>
      <c r="S530" s="15">
        <v>360.64020599999998</v>
      </c>
      <c r="T530" s="15">
        <v>2289.470184079551</v>
      </c>
      <c r="AP530" s="12">
        <f t="shared" si="228"/>
        <v>1.7003784000051954</v>
      </c>
      <c r="AQ530" s="12">
        <f t="shared" si="229"/>
        <v>1.0954941343448203</v>
      </c>
      <c r="AU530" s="12">
        <f t="shared" si="230"/>
        <v>0.9788216057901199</v>
      </c>
      <c r="AV530" s="12">
        <f t="shared" si="231"/>
        <v>0.16113686569716903</v>
      </c>
      <c r="AW530" s="12">
        <f t="shared" si="232"/>
        <v>0.30372067454668189</v>
      </c>
      <c r="AX530" s="12">
        <f t="shared" si="225"/>
        <v>0.93175746912630031</v>
      </c>
      <c r="AY530" s="12">
        <f t="shared" si="226"/>
        <v>0.37096284081127207</v>
      </c>
      <c r="AZ530" s="12">
        <f t="shared" si="227"/>
        <v>0.41964427152048117</v>
      </c>
    </row>
    <row r="531" spans="1:52" x14ac:dyDescent="0.55000000000000004">
      <c r="A531" s="12" t="s">
        <v>463</v>
      </c>
      <c r="B531" s="12" t="s">
        <v>464</v>
      </c>
      <c r="C531" s="12" t="s">
        <v>322</v>
      </c>
      <c r="D531" s="12" t="s">
        <v>9</v>
      </c>
      <c r="E531" s="12">
        <v>1758</v>
      </c>
      <c r="F531" s="12">
        <v>67.908242000000001</v>
      </c>
      <c r="G531" s="12">
        <v>37.288347000000002</v>
      </c>
      <c r="H531" s="14">
        <f t="shared" si="158"/>
        <v>65552.914025999999</v>
      </c>
      <c r="I531" s="12">
        <v>67.568734000000006</v>
      </c>
      <c r="J531" s="12">
        <v>27.506087999999998</v>
      </c>
      <c r="K531" s="12">
        <v>17.262298999999999</v>
      </c>
      <c r="L531" s="12">
        <v>68.522593000000001</v>
      </c>
      <c r="M531" s="12">
        <v>37.150157999999998</v>
      </c>
      <c r="N531" s="12">
        <v>13.984434</v>
      </c>
      <c r="O531" s="12">
        <v>13.913335999999999</v>
      </c>
      <c r="P531" s="12">
        <v>37.730950999999997</v>
      </c>
      <c r="Q531" s="12">
        <v>527.10608100000002</v>
      </c>
      <c r="R531" s="15">
        <v>1974.9877710000001</v>
      </c>
      <c r="S531" s="15">
        <v>376.95248700000002</v>
      </c>
      <c r="T531" s="15">
        <v>1986.2657595978421</v>
      </c>
      <c r="AP531" s="12">
        <f t="shared" si="228"/>
        <v>1.8376409391384392</v>
      </c>
      <c r="AQ531" s="12">
        <f t="shared" si="229"/>
        <v>1.0118697672492696</v>
      </c>
      <c r="AU531" s="12">
        <f t="shared" si="230"/>
        <v>0.98607964237430423</v>
      </c>
      <c r="AV531" s="12">
        <f t="shared" si="231"/>
        <v>0.40141633285827344</v>
      </c>
      <c r="AW531" s="12">
        <f t="shared" si="232"/>
        <v>0.25192127507492307</v>
      </c>
      <c r="AX531" s="12">
        <f t="shared" si="225"/>
        <v>0.98460698751006837</v>
      </c>
      <c r="AY531" s="12">
        <f t="shared" si="226"/>
        <v>0.37063560894608782</v>
      </c>
      <c r="AZ531" s="12">
        <f t="shared" si="227"/>
        <v>0.36875126736137659</v>
      </c>
    </row>
    <row r="532" spans="1:52" x14ac:dyDescent="0.55000000000000004">
      <c r="A532" s="12" t="s">
        <v>465</v>
      </c>
      <c r="B532" s="12" t="s">
        <v>466</v>
      </c>
      <c r="C532" s="12" t="s">
        <v>322</v>
      </c>
      <c r="D532" s="12" t="s">
        <v>9</v>
      </c>
      <c r="E532" s="12">
        <v>1577</v>
      </c>
      <c r="F532" s="12">
        <v>72.741858999999991</v>
      </c>
      <c r="G532" s="12">
        <v>37.765064000000002</v>
      </c>
      <c r="H532" s="14">
        <f t="shared" si="158"/>
        <v>59555.505928000006</v>
      </c>
      <c r="I532" s="12">
        <v>87.543225000000007</v>
      </c>
      <c r="J532" s="12">
        <v>21.056034</v>
      </c>
      <c r="K532" s="12">
        <v>33.670270000000002</v>
      </c>
      <c r="L532" s="12">
        <v>88.539186000000001</v>
      </c>
      <c r="M532" s="12">
        <v>49.761519999999997</v>
      </c>
      <c r="N532" s="12">
        <v>13.945914</v>
      </c>
      <c r="O532" s="12">
        <v>21.379604</v>
      </c>
      <c r="P532" s="12">
        <v>51.652957999999998</v>
      </c>
      <c r="Q532" s="12">
        <v>733.27927399999999</v>
      </c>
      <c r="R532" s="15">
        <v>2268.1544490000001</v>
      </c>
      <c r="S532" s="15">
        <v>658.00358800000004</v>
      </c>
      <c r="T532" s="15">
        <v>2340.4557938921644</v>
      </c>
      <c r="AP532" s="12">
        <f t="shared" si="228"/>
        <v>2.3444733471125585</v>
      </c>
      <c r="AQ532" s="12">
        <f t="shared" si="229"/>
        <v>1.3677444846909301</v>
      </c>
      <c r="AU532" s="12">
        <f t="shared" si="230"/>
        <v>0.98875118413670537</v>
      </c>
      <c r="AV532" s="12">
        <f t="shared" si="231"/>
        <v>0.23781598805301871</v>
      </c>
      <c r="AW532" s="12">
        <f t="shared" si="232"/>
        <v>0.38028664505680004</v>
      </c>
      <c r="AX532" s="12">
        <f t="shared" si="225"/>
        <v>0.96338180671085671</v>
      </c>
      <c r="AY532" s="12">
        <f t="shared" si="226"/>
        <v>0.2699925529918345</v>
      </c>
      <c r="AZ532" s="12">
        <f t="shared" si="227"/>
        <v>0.41390860906746135</v>
      </c>
    </row>
    <row r="533" spans="1:52" x14ac:dyDescent="0.55000000000000004">
      <c r="A533" s="12" t="s">
        <v>467</v>
      </c>
      <c r="B533" s="12" t="s">
        <v>468</v>
      </c>
      <c r="C533" s="12" t="s">
        <v>322</v>
      </c>
      <c r="D533" s="12" t="s">
        <v>9</v>
      </c>
      <c r="E533" s="12">
        <v>1549</v>
      </c>
      <c r="F533" s="12">
        <v>71.771874000000011</v>
      </c>
      <c r="G533" s="12">
        <v>70.699590000000001</v>
      </c>
      <c r="H533" s="14">
        <f t="shared" si="158"/>
        <v>109513.66491000001</v>
      </c>
      <c r="I533" s="12">
        <v>37.670062000000001</v>
      </c>
      <c r="J533" s="12">
        <v>11.885839000000001</v>
      </c>
      <c r="K533" s="12">
        <v>29.506523999999999</v>
      </c>
      <c r="L533" s="12">
        <v>47.984155999999999</v>
      </c>
      <c r="M533" s="12">
        <v>36.586917</v>
      </c>
      <c r="N533" s="12">
        <v>10.848195</v>
      </c>
      <c r="O533" s="12">
        <v>15.766126</v>
      </c>
      <c r="P533" s="12">
        <v>39.463251999999997</v>
      </c>
      <c r="Q533" s="12">
        <v>520.71852200000001</v>
      </c>
      <c r="R533" s="15">
        <v>1729.9420520000001</v>
      </c>
      <c r="S533" s="15">
        <v>731.40899899999999</v>
      </c>
      <c r="T533" s="15">
        <v>1760.1508283191072</v>
      </c>
      <c r="AP533" s="12">
        <f t="shared" si="228"/>
        <v>0.67870486943417918</v>
      </c>
      <c r="AQ533" s="12">
        <f t="shared" si="229"/>
        <v>0.55818219030690275</v>
      </c>
      <c r="AU533" s="12">
        <f t="shared" si="230"/>
        <v>0.78505209094435258</v>
      </c>
      <c r="AV533" s="12">
        <f t="shared" si="231"/>
        <v>0.2477034086001221</v>
      </c>
      <c r="AW533" s="12">
        <f t="shared" si="232"/>
        <v>0.6149222255779595</v>
      </c>
      <c r="AX533" s="12">
        <f t="shared" si="225"/>
        <v>0.92711358405029576</v>
      </c>
      <c r="AY533" s="12">
        <f t="shared" si="226"/>
        <v>0.27489358961091198</v>
      </c>
      <c r="AZ533" s="12">
        <f t="shared" si="227"/>
        <v>0.39951410998769188</v>
      </c>
    </row>
    <row r="534" spans="1:52" x14ac:dyDescent="0.55000000000000004">
      <c r="A534" s="12" t="s">
        <v>274</v>
      </c>
      <c r="B534" s="12" t="s">
        <v>275</v>
      </c>
      <c r="C534" s="12" t="s">
        <v>8</v>
      </c>
      <c r="D534" s="12" t="s">
        <v>9</v>
      </c>
      <c r="E534" s="12">
        <v>1511</v>
      </c>
      <c r="F534" s="12">
        <v>68.684501000000012</v>
      </c>
      <c r="G534" s="12">
        <v>37.888511999999999</v>
      </c>
      <c r="H534" s="14">
        <f t="shared" si="158"/>
        <v>57249.541632</v>
      </c>
      <c r="I534" s="12">
        <v>54.039352999999998</v>
      </c>
      <c r="J534" s="12">
        <v>16.837878</v>
      </c>
      <c r="K534" s="12">
        <v>22.293771</v>
      </c>
      <c r="L534" s="12">
        <v>59.299379999999999</v>
      </c>
      <c r="M534" s="12">
        <v>39.053846</v>
      </c>
      <c r="N534" s="12">
        <v>14.374758</v>
      </c>
      <c r="O534" s="12">
        <v>13.130774000000001</v>
      </c>
      <c r="P534" s="12">
        <v>41.664324000000001</v>
      </c>
      <c r="Q534" s="12">
        <v>355.04026499999998</v>
      </c>
      <c r="R534" s="15">
        <v>42.040723</v>
      </c>
      <c r="S534" s="15">
        <v>1864.948206</v>
      </c>
      <c r="T534" s="15">
        <v>1865.7374077757474</v>
      </c>
      <c r="AP534" s="12">
        <f t="shared" si="228"/>
        <v>1.5651018440629181</v>
      </c>
      <c r="AQ534" s="12">
        <f t="shared" si="229"/>
        <v>1.0996558534681964</v>
      </c>
      <c r="AU534" s="12">
        <f t="shared" si="230"/>
        <v>0.91129709956495331</v>
      </c>
      <c r="AV534" s="12">
        <f t="shared" si="231"/>
        <v>0.28394694851784286</v>
      </c>
      <c r="AW534" s="12">
        <f t="shared" si="232"/>
        <v>0.37595285144633889</v>
      </c>
      <c r="AX534" s="12">
        <f t="shared" si="225"/>
        <v>0.93734500528557718</v>
      </c>
      <c r="AY534" s="12">
        <f t="shared" si="226"/>
        <v>0.3450135900440866</v>
      </c>
      <c r="AZ534" s="12">
        <f t="shared" si="227"/>
        <v>0.31515629534754963</v>
      </c>
    </row>
    <row r="535" spans="1:52" x14ac:dyDescent="0.55000000000000004">
      <c r="A535" s="12" t="s">
        <v>469</v>
      </c>
      <c r="B535" s="12" t="s">
        <v>470</v>
      </c>
      <c r="C535" s="12" t="s">
        <v>322</v>
      </c>
      <c r="D535" s="12" t="s">
        <v>9</v>
      </c>
      <c r="E535" s="12">
        <v>1593</v>
      </c>
      <c r="F535" s="12">
        <v>70.228331999999995</v>
      </c>
      <c r="G535" s="12">
        <v>67.194785999999993</v>
      </c>
      <c r="H535" s="14">
        <f t="shared" si="158"/>
        <v>107041.29409799998</v>
      </c>
      <c r="I535" s="12">
        <v>71.990300000000005</v>
      </c>
      <c r="J535" s="12">
        <v>18.558883000000002</v>
      </c>
      <c r="K535" s="12">
        <v>36.295355000000001</v>
      </c>
      <c r="L535" s="12">
        <v>76.839956999999998</v>
      </c>
      <c r="M535" s="12">
        <v>49.903542999999999</v>
      </c>
      <c r="N535" s="12">
        <v>22.416920999999999</v>
      </c>
      <c r="O535" s="12">
        <v>23.826385999999999</v>
      </c>
      <c r="P535" s="12">
        <v>57.266553999999999</v>
      </c>
      <c r="Q535" s="12">
        <v>531.15239399999996</v>
      </c>
      <c r="R535" s="15">
        <v>2399.2513199999999</v>
      </c>
      <c r="S535" s="15">
        <v>3203.7916260000002</v>
      </c>
      <c r="T535" s="15">
        <v>3203.8902995482517</v>
      </c>
      <c r="AP535" s="12">
        <f t="shared" si="228"/>
        <v>1.143540467559492</v>
      </c>
      <c r="AQ535" s="12">
        <f t="shared" si="229"/>
        <v>0.85224698833031487</v>
      </c>
      <c r="AU535" s="12">
        <f t="shared" si="230"/>
        <v>0.93688626088117155</v>
      </c>
      <c r="AV535" s="12">
        <f t="shared" si="231"/>
        <v>0.24152646259289293</v>
      </c>
      <c r="AW535" s="12">
        <f t="shared" si="232"/>
        <v>0.47235001706208662</v>
      </c>
      <c r="AX535" s="12">
        <f t="shared" si="225"/>
        <v>0.87142563179198806</v>
      </c>
      <c r="AY535" s="12">
        <f t="shared" si="226"/>
        <v>0.39144875034736681</v>
      </c>
      <c r="AZ535" s="12">
        <f t="shared" si="227"/>
        <v>0.41606110959636228</v>
      </c>
    </row>
    <row r="536" spans="1:52" x14ac:dyDescent="0.55000000000000004">
      <c r="A536" s="12" t="s">
        <v>276</v>
      </c>
      <c r="B536" s="12" t="s">
        <v>277</v>
      </c>
      <c r="C536" s="12" t="s">
        <v>8</v>
      </c>
      <c r="D536" s="12" t="s">
        <v>9</v>
      </c>
      <c r="E536" s="12">
        <v>1734</v>
      </c>
      <c r="F536" s="12">
        <v>69.785300000000007</v>
      </c>
      <c r="G536" s="12">
        <v>38.572800000000001</v>
      </c>
      <c r="H536" s="14">
        <f t="shared" si="158"/>
        <v>66885.235199999996</v>
      </c>
      <c r="I536" s="12">
        <v>48.480499999999999</v>
      </c>
      <c r="J536" s="12">
        <v>15.849</v>
      </c>
      <c r="K536" s="12">
        <v>23.871099999999998</v>
      </c>
      <c r="L536" s="12">
        <v>53.941899999999997</v>
      </c>
      <c r="M536" s="12">
        <v>44.4773</v>
      </c>
      <c r="N536" s="12">
        <v>19.331299999999999</v>
      </c>
      <c r="O536" s="12">
        <v>13.238</v>
      </c>
      <c r="P536" s="12">
        <v>47.116599999999998</v>
      </c>
      <c r="Q536" s="12">
        <v>484.55029999999999</v>
      </c>
      <c r="R536" s="15">
        <v>174.18299999999999</v>
      </c>
      <c r="S536" s="15">
        <v>1233.1868999999999</v>
      </c>
      <c r="T536" s="15">
        <v>1240.2678908886458</v>
      </c>
      <c r="AP536" s="12">
        <f t="shared" si="228"/>
        <v>1.398443981251037</v>
      </c>
      <c r="AQ536" s="12">
        <f t="shared" si="229"/>
        <v>1.221498050439688</v>
      </c>
      <c r="AU536" s="12">
        <f t="shared" si="230"/>
        <v>0.89875402979872798</v>
      </c>
      <c r="AV536" s="12">
        <f t="shared" si="231"/>
        <v>0.29381612438568167</v>
      </c>
      <c r="AW536" s="12">
        <f t="shared" si="232"/>
        <v>0.44253354071695655</v>
      </c>
      <c r="AX536" s="12">
        <f t="shared" si="225"/>
        <v>0.94398364907484833</v>
      </c>
      <c r="AY536" s="12">
        <f t="shared" si="226"/>
        <v>0.41028639587746146</v>
      </c>
      <c r="AZ536" s="12">
        <f t="shared" si="227"/>
        <v>0.28096254823140887</v>
      </c>
    </row>
    <row r="537" spans="1:52" x14ac:dyDescent="0.55000000000000004">
      <c r="A537" s="12" t="s">
        <v>471</v>
      </c>
      <c r="B537" s="12" t="s">
        <v>472</v>
      </c>
      <c r="C537" s="12" t="s">
        <v>322</v>
      </c>
      <c r="D537" s="12" t="s">
        <v>9</v>
      </c>
      <c r="E537" s="12">
        <v>1900</v>
      </c>
      <c r="F537" s="12">
        <v>68.055990000000008</v>
      </c>
      <c r="G537" s="12">
        <v>36.890298999999999</v>
      </c>
      <c r="H537" s="14">
        <f t="shared" si="158"/>
        <v>70091.568100000004</v>
      </c>
      <c r="I537" s="12">
        <v>39.428023000000003</v>
      </c>
      <c r="J537" s="12">
        <v>13.68117</v>
      </c>
      <c r="K537" s="12">
        <v>18.511500000000002</v>
      </c>
      <c r="L537" s="12">
        <v>43.709198999999998</v>
      </c>
      <c r="M537" s="12">
        <v>39.045164</v>
      </c>
      <c r="N537" s="12">
        <v>18.168187</v>
      </c>
      <c r="O537" s="12">
        <v>6.3560410000000003</v>
      </c>
      <c r="P537" s="12">
        <v>43.266813999999997</v>
      </c>
      <c r="Q537" s="12">
        <v>430.62804799999998</v>
      </c>
      <c r="R537" s="15">
        <v>81.786567000000005</v>
      </c>
      <c r="S537" s="15">
        <v>1009.733329</v>
      </c>
      <c r="T537" s="15">
        <v>1012.7649074940899</v>
      </c>
      <c r="AP537" s="12">
        <f t="shared" si="228"/>
        <v>1.1848426330185071</v>
      </c>
      <c r="AQ537" s="12">
        <f t="shared" si="229"/>
        <v>1.1728507269621209</v>
      </c>
      <c r="AU537" s="12">
        <f t="shared" si="230"/>
        <v>0.90205320394912758</v>
      </c>
      <c r="AV537" s="12">
        <f t="shared" si="231"/>
        <v>0.31300436322340291</v>
      </c>
      <c r="AW537" s="12">
        <f t="shared" si="232"/>
        <v>0.42351496763873442</v>
      </c>
      <c r="AX537" s="12">
        <f t="shared" si="225"/>
        <v>0.90242752794324077</v>
      </c>
      <c r="AY537" s="12">
        <f t="shared" si="226"/>
        <v>0.41991044221559742</v>
      </c>
      <c r="AZ537" s="12">
        <f t="shared" si="227"/>
        <v>0.14690337495152753</v>
      </c>
    </row>
    <row r="538" spans="1:52" x14ac:dyDescent="0.55000000000000004">
      <c r="A538" s="12" t="s">
        <v>507</v>
      </c>
      <c r="B538" s="12" t="s">
        <v>508</v>
      </c>
      <c r="C538" s="12" t="s">
        <v>485</v>
      </c>
      <c r="D538" s="12" t="s">
        <v>9</v>
      </c>
      <c r="E538" s="12">
        <v>1936</v>
      </c>
      <c r="F538" s="12">
        <v>66.708569999999995</v>
      </c>
      <c r="G538" s="12">
        <v>25.430385999999999</v>
      </c>
      <c r="H538" s="14">
        <f t="shared" si="158"/>
        <v>49233.227295999997</v>
      </c>
      <c r="I538" s="12">
        <v>70.209001000000001</v>
      </c>
      <c r="J538" s="12">
        <v>10.090522</v>
      </c>
      <c r="K538" s="12">
        <v>29.559902999999998</v>
      </c>
      <c r="L538" s="12">
        <v>73.264494999999997</v>
      </c>
      <c r="M538" s="12">
        <v>32.762945999999999</v>
      </c>
      <c r="N538" s="12">
        <v>11.873317</v>
      </c>
      <c r="O538" s="12">
        <v>13.251319000000001</v>
      </c>
      <c r="P538" s="12">
        <v>33.842654000000003</v>
      </c>
      <c r="Q538" s="12">
        <v>619.87501499999996</v>
      </c>
      <c r="R538" s="15">
        <v>48.193767000000001</v>
      </c>
      <c r="S538" s="15">
        <v>1482.732503</v>
      </c>
      <c r="T538" s="15">
        <v>1493.3443654736493</v>
      </c>
      <c r="AP538" s="12">
        <f t="shared" si="228"/>
        <v>2.8809824200073093</v>
      </c>
      <c r="AQ538" s="12">
        <f t="shared" si="229"/>
        <v>1.3307959226415205</v>
      </c>
      <c r="AU538" s="12">
        <f t="shared" si="230"/>
        <v>0.95829502407680556</v>
      </c>
      <c r="AV538" s="12">
        <f t="shared" si="231"/>
        <v>0.13772731252702963</v>
      </c>
      <c r="AW538" s="12">
        <f t="shared" si="232"/>
        <v>0.40346832391324067</v>
      </c>
      <c r="AX538" s="12">
        <f t="shared" si="225"/>
        <v>0.96809623736956318</v>
      </c>
      <c r="AY538" s="12">
        <f t="shared" si="226"/>
        <v>0.35083882605660888</v>
      </c>
      <c r="AZ538" s="12">
        <f t="shared" si="227"/>
        <v>0.39155673192770279</v>
      </c>
    </row>
    <row r="539" spans="1:52" x14ac:dyDescent="0.55000000000000004">
      <c r="A539" s="12" t="s">
        <v>509</v>
      </c>
      <c r="B539" s="12" t="s">
        <v>510</v>
      </c>
      <c r="C539" s="12" t="s">
        <v>485</v>
      </c>
      <c r="D539" s="12" t="s">
        <v>9</v>
      </c>
      <c r="E539" s="12">
        <v>2078</v>
      </c>
      <c r="F539" s="12">
        <v>70.075969000000001</v>
      </c>
      <c r="G539" s="12">
        <v>29.308947</v>
      </c>
      <c r="H539" s="14">
        <f t="shared" si="158"/>
        <v>60903.991865999997</v>
      </c>
      <c r="I539" s="12">
        <v>43.523648000000001</v>
      </c>
      <c r="J539" s="12">
        <v>11.867164000000001</v>
      </c>
      <c r="K539" s="12">
        <v>15.580346</v>
      </c>
      <c r="L539" s="12">
        <v>43.639009000000001</v>
      </c>
      <c r="M539" s="12">
        <v>37.407451000000002</v>
      </c>
      <c r="N539" s="12">
        <v>13.262095</v>
      </c>
      <c r="O539" s="12">
        <v>5.7571630000000003</v>
      </c>
      <c r="P539" s="12">
        <v>39.631599999999999</v>
      </c>
      <c r="Q539" s="12">
        <v>547.42839400000003</v>
      </c>
      <c r="R539" s="15">
        <v>3.0329449999999998</v>
      </c>
      <c r="S539" s="15">
        <v>1191.5852359999999</v>
      </c>
      <c r="T539" s="15">
        <v>1197.1255961276547</v>
      </c>
      <c r="AP539" s="12">
        <f t="shared" si="228"/>
        <v>1.4889313150690813</v>
      </c>
      <c r="AQ539" s="12">
        <f t="shared" si="229"/>
        <v>1.3522014284580064</v>
      </c>
      <c r="AU539" s="12">
        <f t="shared" si="230"/>
        <v>0.99735647067512467</v>
      </c>
      <c r="AV539" s="12">
        <f t="shared" si="231"/>
        <v>0.27193935590975499</v>
      </c>
      <c r="AW539" s="12">
        <f t="shared" si="232"/>
        <v>0.35702795175756624</v>
      </c>
      <c r="AX539" s="12">
        <f t="shared" si="225"/>
        <v>0.94387940431372952</v>
      </c>
      <c r="AY539" s="12">
        <f t="shared" si="226"/>
        <v>0.33463435743194825</v>
      </c>
      <c r="AZ539" s="12">
        <f t="shared" si="227"/>
        <v>0.14526698392192089</v>
      </c>
    </row>
    <row r="540" spans="1:52" x14ac:dyDescent="0.55000000000000004">
      <c r="A540" s="12" t="s">
        <v>278</v>
      </c>
      <c r="B540" s="12" t="s">
        <v>279</v>
      </c>
      <c r="C540" s="12" t="s">
        <v>8</v>
      </c>
      <c r="D540" s="12" t="s">
        <v>9</v>
      </c>
      <c r="E540" s="12">
        <v>1455</v>
      </c>
      <c r="F540" s="12">
        <v>70.085397</v>
      </c>
      <c r="G540" s="12">
        <v>29.706233999999998</v>
      </c>
      <c r="H540" s="14">
        <f t="shared" si="158"/>
        <v>43222.570469999999</v>
      </c>
      <c r="I540" s="12">
        <v>46.127147000000001</v>
      </c>
      <c r="J540" s="12">
        <v>27.401083</v>
      </c>
      <c r="K540" s="12">
        <v>17.708020000000001</v>
      </c>
      <c r="L540" s="12">
        <v>48.783729000000001</v>
      </c>
      <c r="M540" s="12">
        <v>38.701037999999997</v>
      </c>
      <c r="N540" s="12">
        <v>18.181957000000001</v>
      </c>
      <c r="O540" s="12">
        <v>11.247396999999999</v>
      </c>
      <c r="P540" s="12">
        <v>42.616073</v>
      </c>
      <c r="Q540" s="12">
        <v>325.06661200000002</v>
      </c>
      <c r="R540" s="15">
        <v>67.576899999999995</v>
      </c>
      <c r="S540" s="15">
        <v>1295.184782</v>
      </c>
      <c r="T540" s="15">
        <v>1317.3270888941772</v>
      </c>
      <c r="AP540" s="12">
        <f t="shared" si="228"/>
        <v>1.6422051007879357</v>
      </c>
      <c r="AQ540" s="12">
        <f t="shared" si="229"/>
        <v>1.4345834951680514</v>
      </c>
      <c r="AU540" s="12">
        <f t="shared" si="230"/>
        <v>0.94554368732246774</v>
      </c>
      <c r="AV540" s="12">
        <f t="shared" si="231"/>
        <v>0.56168488062894906</v>
      </c>
      <c r="AW540" s="12">
        <f t="shared" si="232"/>
        <v>0.36299029129159027</v>
      </c>
      <c r="AX540" s="12">
        <f t="shared" si="225"/>
        <v>0.90813243162972801</v>
      </c>
      <c r="AY540" s="12">
        <f t="shared" si="226"/>
        <v>0.42664552878910267</v>
      </c>
      <c r="AZ540" s="12">
        <f t="shared" si="227"/>
        <v>0.26392382517272295</v>
      </c>
    </row>
    <row r="541" spans="1:52" x14ac:dyDescent="0.55000000000000004">
      <c r="A541" s="12" t="s">
        <v>511</v>
      </c>
      <c r="B541" s="12" t="s">
        <v>512</v>
      </c>
      <c r="C541" s="12" t="s">
        <v>485</v>
      </c>
      <c r="D541" s="12" t="s">
        <v>9</v>
      </c>
      <c r="E541" s="12">
        <v>1992</v>
      </c>
      <c r="F541" s="12">
        <v>70.452871000000002</v>
      </c>
      <c r="G541" s="12">
        <v>28.836047000000001</v>
      </c>
      <c r="H541" s="14">
        <f t="shared" si="158"/>
        <v>57441.405623999999</v>
      </c>
      <c r="I541" s="12">
        <v>39.665149</v>
      </c>
      <c r="J541" s="12">
        <v>8.4820650000000004</v>
      </c>
      <c r="K541" s="12">
        <v>23.251301999999999</v>
      </c>
      <c r="L541" s="12">
        <v>44.226945999999998</v>
      </c>
      <c r="M541" s="12">
        <v>28.388245999999999</v>
      </c>
      <c r="N541" s="12">
        <v>9.2050070000000002</v>
      </c>
      <c r="O541" s="12">
        <v>9.3654349999999997</v>
      </c>
      <c r="P541" s="12">
        <v>29.365397000000002</v>
      </c>
      <c r="Q541" s="12">
        <v>309.91200300000003</v>
      </c>
      <c r="R541" s="15">
        <v>237.90940699999999</v>
      </c>
      <c r="S541" s="15">
        <v>1097.4408100000001</v>
      </c>
      <c r="T541" s="15">
        <v>1097.4536559987116</v>
      </c>
      <c r="AP541" s="12">
        <f t="shared" si="228"/>
        <v>1.5337381715323184</v>
      </c>
      <c r="AQ541" s="12">
        <f t="shared" si="229"/>
        <v>1.0183572318355565</v>
      </c>
      <c r="AU541" s="12">
        <f t="shared" si="230"/>
        <v>0.89685480430866737</v>
      </c>
      <c r="AV541" s="12">
        <f t="shared" si="231"/>
        <v>0.19178500364913284</v>
      </c>
      <c r="AW541" s="12">
        <f t="shared" si="232"/>
        <v>0.52572705336696768</v>
      </c>
      <c r="AX541" s="12">
        <f t="shared" si="225"/>
        <v>0.9667244069610228</v>
      </c>
      <c r="AY541" s="12">
        <f t="shared" si="226"/>
        <v>0.31346441527761398</v>
      </c>
      <c r="AZ541" s="12">
        <f t="shared" si="227"/>
        <v>0.31892757996767418</v>
      </c>
    </row>
    <row r="542" spans="1:52" x14ac:dyDescent="0.55000000000000004">
      <c r="A542" s="12" t="s">
        <v>280</v>
      </c>
      <c r="B542" s="12" t="s">
        <v>281</v>
      </c>
      <c r="C542" s="12" t="s">
        <v>8</v>
      </c>
      <c r="D542" s="12" t="s">
        <v>9</v>
      </c>
      <c r="E542" s="12">
        <v>1544</v>
      </c>
      <c r="F542" s="12">
        <v>68.123310000000004</v>
      </c>
      <c r="G542" s="12">
        <v>31.161175</v>
      </c>
      <c r="H542" s="14">
        <f t="shared" si="158"/>
        <v>48112.854200000002</v>
      </c>
      <c r="I542" s="12">
        <v>47.253607000000002</v>
      </c>
      <c r="J542" s="12">
        <v>16.419080999999998</v>
      </c>
      <c r="K542" s="12">
        <v>31.372631999999999</v>
      </c>
      <c r="L542" s="12">
        <v>53.544276000000004</v>
      </c>
      <c r="M542" s="12">
        <v>41.297471000000002</v>
      </c>
      <c r="N542" s="12">
        <v>19.109891999999999</v>
      </c>
      <c r="O542" s="12">
        <v>12.213539000000001</v>
      </c>
      <c r="P542" s="12">
        <v>44.567754000000001</v>
      </c>
      <c r="Q542" s="12">
        <v>415.343841</v>
      </c>
      <c r="R542" s="15">
        <v>629.41013899999996</v>
      </c>
      <c r="S542" s="15">
        <v>1430.6758259999999</v>
      </c>
      <c r="T542" s="15">
        <v>1434.2134193445947</v>
      </c>
      <c r="AP542" s="12">
        <f t="shared" si="228"/>
        <v>1.7183009305650381</v>
      </c>
      <c r="AQ542" s="12">
        <f t="shared" si="229"/>
        <v>1.4302334234829079</v>
      </c>
      <c r="AU542" s="12">
        <f t="shared" si="230"/>
        <v>0.88251463144258402</v>
      </c>
      <c r="AV542" s="12">
        <f t="shared" si="231"/>
        <v>0.30664493437169638</v>
      </c>
      <c r="AW542" s="12">
        <f t="shared" si="232"/>
        <v>0.58591943609434549</v>
      </c>
      <c r="AX542" s="12">
        <f t="shared" si="225"/>
        <v>0.92662221659184352</v>
      </c>
      <c r="AY542" s="12">
        <f t="shared" si="226"/>
        <v>0.42878292677705943</v>
      </c>
      <c r="AZ542" s="12">
        <f t="shared" si="227"/>
        <v>0.27404430117793238</v>
      </c>
    </row>
    <row r="543" spans="1:52" x14ac:dyDescent="0.55000000000000004">
      <c r="A543" s="12" t="s">
        <v>282</v>
      </c>
      <c r="B543" s="12" t="s">
        <v>283</v>
      </c>
      <c r="C543" s="12" t="s">
        <v>8</v>
      </c>
      <c r="D543" s="12" t="s">
        <v>9</v>
      </c>
      <c r="E543" s="12">
        <v>1567</v>
      </c>
      <c r="F543" s="12">
        <v>68.623930999999999</v>
      </c>
      <c r="G543" s="12">
        <v>35.408862999999997</v>
      </c>
      <c r="H543" s="14">
        <f t="shared" si="158"/>
        <v>55485.688320999994</v>
      </c>
      <c r="I543" s="12">
        <v>88.107840999999993</v>
      </c>
      <c r="J543" s="12">
        <v>12.740982000000001</v>
      </c>
      <c r="K543" s="12">
        <v>25.756737999999999</v>
      </c>
      <c r="L543" s="12">
        <v>92.362703999999994</v>
      </c>
      <c r="M543" s="12">
        <v>39.323222000000001</v>
      </c>
      <c r="N543" s="12">
        <v>18.570961</v>
      </c>
      <c r="O543" s="12">
        <v>10.932205</v>
      </c>
      <c r="P543" s="12">
        <v>42.020693999999999</v>
      </c>
      <c r="Q543" s="12">
        <v>469.03864800000002</v>
      </c>
      <c r="R543" s="15">
        <v>542.94669499999998</v>
      </c>
      <c r="S543" s="15">
        <v>1443.364298</v>
      </c>
      <c r="T543" s="15">
        <v>1443.8140029294477</v>
      </c>
      <c r="AP543" s="12">
        <f t="shared" si="228"/>
        <v>2.608462858578656</v>
      </c>
      <c r="AQ543" s="12">
        <f t="shared" si="229"/>
        <v>1.1867281363990705</v>
      </c>
      <c r="AU543" s="12">
        <f t="shared" si="230"/>
        <v>0.95393310486016092</v>
      </c>
      <c r="AV543" s="12">
        <f t="shared" si="231"/>
        <v>0.13794509524104018</v>
      </c>
      <c r="AW543" s="12">
        <f t="shared" si="232"/>
        <v>0.27886513586696204</v>
      </c>
      <c r="AX543" s="12">
        <f t="shared" si="225"/>
        <v>0.93580610543938192</v>
      </c>
      <c r="AY543" s="12">
        <f t="shared" si="226"/>
        <v>0.44194798400997376</v>
      </c>
      <c r="AZ543" s="12">
        <f t="shared" si="227"/>
        <v>0.26016240950232761</v>
      </c>
    </row>
    <row r="544" spans="1:52" x14ac:dyDescent="0.55000000000000004">
      <c r="A544" s="12" t="s">
        <v>284</v>
      </c>
      <c r="B544" s="12" t="s">
        <v>285</v>
      </c>
      <c r="C544" s="12" t="s">
        <v>8</v>
      </c>
      <c r="D544" s="12" t="s">
        <v>9</v>
      </c>
      <c r="E544" s="12">
        <v>1302</v>
      </c>
      <c r="F544" s="12">
        <v>68.596154999999996</v>
      </c>
      <c r="G544" s="12">
        <v>35.461002000000001</v>
      </c>
      <c r="H544" s="14">
        <f t="shared" si="158"/>
        <v>46170.224604000003</v>
      </c>
      <c r="I544" s="12">
        <v>47.768396000000003</v>
      </c>
      <c r="J544" s="12">
        <v>10.514112000000001</v>
      </c>
      <c r="K544" s="12">
        <v>18.620035999999999</v>
      </c>
      <c r="L544" s="12">
        <v>49.276721999999999</v>
      </c>
      <c r="M544" s="12">
        <v>43.317231</v>
      </c>
      <c r="N544" s="12">
        <v>15.054974</v>
      </c>
      <c r="O544" s="12">
        <v>13.495257000000001</v>
      </c>
      <c r="P544" s="12">
        <v>45.552536000000003</v>
      </c>
      <c r="Q544" s="12">
        <v>374.72244499999999</v>
      </c>
      <c r="R544" s="15">
        <v>69.458704999999995</v>
      </c>
      <c r="S544" s="15">
        <v>2233.6286460000001</v>
      </c>
      <c r="T544" s="15">
        <v>2237.4768499972938</v>
      </c>
      <c r="AP544" s="12">
        <f t="shared" si="228"/>
        <v>1.3896032041057385</v>
      </c>
      <c r="AQ544" s="12">
        <f t="shared" si="229"/>
        <v>1.284581185833384</v>
      </c>
      <c r="AU544" s="12">
        <f t="shared" si="230"/>
        <v>0.96939069932452093</v>
      </c>
      <c r="AV544" s="12">
        <f t="shared" si="231"/>
        <v>0.21336873828579753</v>
      </c>
      <c r="AW544" s="12">
        <f t="shared" si="232"/>
        <v>0.37786677449851469</v>
      </c>
      <c r="AX544" s="12">
        <f t="shared" si="225"/>
        <v>0.95092907670387428</v>
      </c>
      <c r="AY544" s="12">
        <f t="shared" si="226"/>
        <v>0.33049694532923479</v>
      </c>
      <c r="AZ544" s="12">
        <f t="shared" si="227"/>
        <v>0.29625698556058438</v>
      </c>
    </row>
    <row r="545" spans="1:52" x14ac:dyDescent="0.55000000000000004">
      <c r="A545" s="12" t="s">
        <v>286</v>
      </c>
      <c r="B545" s="12" t="s">
        <v>287</v>
      </c>
      <c r="C545" s="12" t="s">
        <v>8</v>
      </c>
      <c r="D545" s="12" t="s">
        <v>9</v>
      </c>
      <c r="E545" s="12">
        <v>1824</v>
      </c>
      <c r="F545" s="12">
        <v>72.771411000000001</v>
      </c>
      <c r="G545" s="12">
        <v>93.558318999999997</v>
      </c>
      <c r="H545" s="14">
        <f t="shared" si="158"/>
        <v>170650.37385599999</v>
      </c>
      <c r="I545" s="12">
        <v>45.335687999999998</v>
      </c>
      <c r="J545" s="12">
        <v>21.056457000000002</v>
      </c>
      <c r="K545" s="12">
        <v>28.407442</v>
      </c>
      <c r="L545" s="12">
        <v>49.800274000000002</v>
      </c>
      <c r="M545" s="12">
        <v>42.844679999999997</v>
      </c>
      <c r="N545" s="12">
        <v>14.751453</v>
      </c>
      <c r="O545" s="12">
        <v>26.242363000000001</v>
      </c>
      <c r="P545" s="12">
        <v>45.302973999999999</v>
      </c>
      <c r="Q545" s="12">
        <v>428.263037</v>
      </c>
      <c r="R545" s="15">
        <v>3064.7217719999999</v>
      </c>
      <c r="S545" s="15">
        <v>1603.3412069999999</v>
      </c>
      <c r="T545" s="15">
        <v>3080.5399342235805</v>
      </c>
      <c r="AP545" s="12">
        <f t="shared" si="228"/>
        <v>0.53229124392455152</v>
      </c>
      <c r="AQ545" s="12">
        <f t="shared" si="229"/>
        <v>0.48422176118833432</v>
      </c>
      <c r="AU545" s="12">
        <f t="shared" si="230"/>
        <v>0.91035017196893331</v>
      </c>
      <c r="AV545" s="12">
        <f t="shared" si="231"/>
        <v>0.42281809533819031</v>
      </c>
      <c r="AW545" s="12">
        <f t="shared" si="232"/>
        <v>0.5704274237527287</v>
      </c>
      <c r="AX545" s="12">
        <f t="shared" si="225"/>
        <v>0.94573658674152383</v>
      </c>
      <c r="AY545" s="12">
        <f t="shared" si="226"/>
        <v>0.32561776187143915</v>
      </c>
      <c r="AZ545" s="12">
        <f t="shared" si="227"/>
        <v>0.57926358212156226</v>
      </c>
    </row>
    <row r="546" spans="1:52" x14ac:dyDescent="0.55000000000000004">
      <c r="A546" s="12" t="s">
        <v>288</v>
      </c>
      <c r="B546" s="12" t="s">
        <v>289</v>
      </c>
      <c r="C546" s="12" t="s">
        <v>8</v>
      </c>
      <c r="D546" s="12" t="s">
        <v>9</v>
      </c>
      <c r="E546" s="12">
        <v>1319</v>
      </c>
      <c r="F546" s="12">
        <v>67.303941999999992</v>
      </c>
      <c r="G546" s="12">
        <v>33.093425000000003</v>
      </c>
      <c r="H546" s="14">
        <f t="shared" si="158"/>
        <v>43650.227575000004</v>
      </c>
      <c r="I546" s="12">
        <v>67.308138999999997</v>
      </c>
      <c r="J546" s="12">
        <v>15.696980999999999</v>
      </c>
      <c r="K546" s="12">
        <v>20.514755000000001</v>
      </c>
      <c r="L546" s="12">
        <v>71.107425000000006</v>
      </c>
      <c r="M546" s="12">
        <v>50.704880000000003</v>
      </c>
      <c r="N546" s="12">
        <v>17.022922999999999</v>
      </c>
      <c r="O546" s="12">
        <v>14.120566999999999</v>
      </c>
      <c r="P546" s="12">
        <v>50.892226000000001</v>
      </c>
      <c r="Q546" s="12">
        <v>623.92478900000003</v>
      </c>
      <c r="R546" s="15">
        <v>244.46805000000001</v>
      </c>
      <c r="S546" s="15">
        <v>2705.9005299999999</v>
      </c>
      <c r="T546" s="15">
        <v>2706.0407750638456</v>
      </c>
      <c r="AP546" s="12">
        <f t="shared" si="228"/>
        <v>2.1486873903199806</v>
      </c>
      <c r="AQ546" s="12">
        <f t="shared" si="229"/>
        <v>1.5378349626851857</v>
      </c>
      <c r="AU546" s="12">
        <f t="shared" si="230"/>
        <v>0.94656977101898976</v>
      </c>
      <c r="AV546" s="12">
        <f t="shared" si="231"/>
        <v>0.22075023810804564</v>
      </c>
      <c r="AW546" s="12">
        <f t="shared" si="232"/>
        <v>0.28850369704710865</v>
      </c>
      <c r="AX546" s="12">
        <f t="shared" si="225"/>
        <v>0.99631876978617528</v>
      </c>
      <c r="AY546" s="12">
        <f t="shared" si="226"/>
        <v>0.33448965270255615</v>
      </c>
      <c r="AZ546" s="12">
        <f t="shared" si="227"/>
        <v>0.2774601959835673</v>
      </c>
    </row>
    <row r="547" spans="1:52" x14ac:dyDescent="0.55000000000000004">
      <c r="A547" s="12" t="s">
        <v>290</v>
      </c>
      <c r="B547" s="12" t="s">
        <v>291</v>
      </c>
      <c r="C547" s="12" t="s">
        <v>8</v>
      </c>
      <c r="D547" s="12" t="s">
        <v>9</v>
      </c>
      <c r="E547" s="12">
        <v>1308</v>
      </c>
      <c r="F547" s="12">
        <v>69.590066000000007</v>
      </c>
      <c r="G547" s="12">
        <v>35.069651</v>
      </c>
      <c r="H547" s="14">
        <f t="shared" si="158"/>
        <v>45871.103508</v>
      </c>
      <c r="I547" s="12">
        <v>117.25927900000001</v>
      </c>
      <c r="J547" s="12">
        <v>25.679680000000001</v>
      </c>
      <c r="K547" s="12">
        <v>38.318992000000001</v>
      </c>
      <c r="L547" s="12">
        <v>124.356025</v>
      </c>
      <c r="M547" s="12">
        <v>45.979782</v>
      </c>
      <c r="N547" s="12">
        <v>7.9166720000000002</v>
      </c>
      <c r="O547" s="12">
        <v>11.038961</v>
      </c>
      <c r="P547" s="12">
        <v>46.803325999999998</v>
      </c>
      <c r="Q547" s="12">
        <v>776.80042700000001</v>
      </c>
      <c r="R547" s="15">
        <v>812.65178300000002</v>
      </c>
      <c r="S547" s="15">
        <v>2348.593844</v>
      </c>
      <c r="T547" s="15">
        <v>2350.7841422353763</v>
      </c>
      <c r="AP547" s="12">
        <f t="shared" si="228"/>
        <v>3.5459726987303068</v>
      </c>
      <c r="AQ547" s="12">
        <f t="shared" si="229"/>
        <v>1.3345820293449739</v>
      </c>
      <c r="AU547" s="12">
        <f t="shared" si="230"/>
        <v>0.94293202922817776</v>
      </c>
      <c r="AV547" s="12">
        <f t="shared" si="231"/>
        <v>0.20650129336314826</v>
      </c>
      <c r="AW547" s="12">
        <f t="shared" si="232"/>
        <v>0.30813940860525252</v>
      </c>
      <c r="AX547" s="12">
        <f t="shared" si="225"/>
        <v>0.98240415649092971</v>
      </c>
      <c r="AY547" s="12">
        <f t="shared" si="226"/>
        <v>0.16914763707177563</v>
      </c>
      <c r="AZ547" s="12">
        <f t="shared" si="227"/>
        <v>0.23585847296407952</v>
      </c>
    </row>
    <row r="548" spans="1:52" x14ac:dyDescent="0.55000000000000004">
      <c r="A548" s="12" t="s">
        <v>473</v>
      </c>
      <c r="B548" s="12" t="s">
        <v>474</v>
      </c>
      <c r="C548" s="12" t="s">
        <v>322</v>
      </c>
      <c r="D548" s="12" t="s">
        <v>9</v>
      </c>
      <c r="E548" s="12">
        <v>1920</v>
      </c>
      <c r="F548" s="12">
        <v>67.862614999999991</v>
      </c>
      <c r="G548" s="12">
        <v>46.391336000000003</v>
      </c>
      <c r="H548" s="14">
        <f t="shared" si="158"/>
        <v>89071.365120000002</v>
      </c>
      <c r="I548" s="12">
        <v>57.428553000000001</v>
      </c>
      <c r="J548" s="12">
        <v>23.716611</v>
      </c>
      <c r="K548" s="12">
        <v>13.211052</v>
      </c>
      <c r="L548" s="12">
        <v>61.662646000000002</v>
      </c>
      <c r="M548" s="12">
        <v>42.400663000000002</v>
      </c>
      <c r="N548" s="12">
        <v>16.942644000000001</v>
      </c>
      <c r="O548" s="12">
        <v>14.849486000000001</v>
      </c>
      <c r="P548" s="12">
        <v>43.382382999999997</v>
      </c>
      <c r="Q548" s="12">
        <v>271.28039200000001</v>
      </c>
      <c r="R548" s="15">
        <v>136.61477400000001</v>
      </c>
      <c r="S548" s="15">
        <v>2175.4611300000001</v>
      </c>
      <c r="T548" s="15">
        <v>2178.6365157630003</v>
      </c>
      <c r="AP548" s="12">
        <f t="shared" si="228"/>
        <v>1.3291845270418596</v>
      </c>
      <c r="AQ548" s="12">
        <f t="shared" si="229"/>
        <v>0.93513976402835208</v>
      </c>
      <c r="AU548" s="12">
        <f t="shared" si="230"/>
        <v>0.93133455544544741</v>
      </c>
      <c r="AV548" s="12">
        <f t="shared" si="231"/>
        <v>0.38461876903563302</v>
      </c>
      <c r="AW548" s="12">
        <f t="shared" si="232"/>
        <v>0.21424724459602335</v>
      </c>
      <c r="AX548" s="12">
        <f t="shared" si="225"/>
        <v>0.97737053771343096</v>
      </c>
      <c r="AY548" s="12">
        <f t="shared" si="226"/>
        <v>0.39054203177358887</v>
      </c>
      <c r="AZ548" s="12">
        <f t="shared" si="227"/>
        <v>0.34229299944173197</v>
      </c>
    </row>
    <row r="549" spans="1:52" x14ac:dyDescent="0.55000000000000004">
      <c r="A549" s="12" t="s">
        <v>475</v>
      </c>
      <c r="B549" s="12" t="s">
        <v>476</v>
      </c>
      <c r="C549" s="12" t="s">
        <v>322</v>
      </c>
      <c r="D549" s="12" t="s">
        <v>9</v>
      </c>
      <c r="E549" s="12">
        <v>2314</v>
      </c>
      <c r="F549" s="12">
        <v>68.875420000000005</v>
      </c>
      <c r="G549" s="12">
        <v>38.184604999999998</v>
      </c>
      <c r="H549" s="14">
        <f t="shared" si="158"/>
        <v>88359.175969999997</v>
      </c>
      <c r="I549" s="12">
        <v>58.586969000000003</v>
      </c>
      <c r="J549" s="12">
        <v>20.629489</v>
      </c>
      <c r="K549" s="12">
        <v>18.481442000000001</v>
      </c>
      <c r="L549" s="12">
        <v>62.222625000000001</v>
      </c>
      <c r="M549" s="12">
        <v>35.547671999999999</v>
      </c>
      <c r="N549" s="12">
        <v>14.769664000000001</v>
      </c>
      <c r="O549" s="12">
        <v>8.3069009999999999</v>
      </c>
      <c r="P549" s="12">
        <v>37.040829000000002</v>
      </c>
      <c r="Q549" s="12">
        <v>231.47491299999999</v>
      </c>
      <c r="R549" s="15">
        <v>239.08096499999999</v>
      </c>
      <c r="S549" s="15">
        <v>1624.0431699999999</v>
      </c>
      <c r="T549" s="15">
        <v>1624.508098275722</v>
      </c>
      <c r="AP549" s="12">
        <f t="shared" si="228"/>
        <v>1.6295212429197579</v>
      </c>
      <c r="AQ549" s="12">
        <f t="shared" si="229"/>
        <v>0.97004614817935142</v>
      </c>
      <c r="AU549" s="12">
        <f t="shared" si="230"/>
        <v>0.9415701925143789</v>
      </c>
      <c r="AV549" s="12">
        <f t="shared" si="231"/>
        <v>0.33154321277831011</v>
      </c>
      <c r="AW549" s="12">
        <f t="shared" si="232"/>
        <v>0.29702125231778637</v>
      </c>
      <c r="AX549" s="12">
        <f t="shared" si="225"/>
        <v>0.95968888817256215</v>
      </c>
      <c r="AY549" s="12">
        <f t="shared" si="226"/>
        <v>0.39874010379195346</v>
      </c>
      <c r="AZ549" s="12">
        <f t="shared" si="227"/>
        <v>0.22426336624377385</v>
      </c>
    </row>
    <row r="550" spans="1:52" x14ac:dyDescent="0.55000000000000004">
      <c r="A550" s="12" t="s">
        <v>477</v>
      </c>
      <c r="B550" s="12" t="s">
        <v>478</v>
      </c>
      <c r="C550" s="12" t="s">
        <v>322</v>
      </c>
      <c r="D550" s="12" t="s">
        <v>9</v>
      </c>
      <c r="E550" s="12">
        <v>1990</v>
      </c>
      <c r="F550" s="12">
        <v>66.982638999999992</v>
      </c>
      <c r="G550" s="12">
        <v>58.220908999999999</v>
      </c>
      <c r="H550" s="14">
        <f t="shared" ref="H550:H565" si="233">E550*G550</f>
        <v>115859.60891</v>
      </c>
      <c r="I550" s="12">
        <v>78.498152000000005</v>
      </c>
      <c r="J550" s="12">
        <v>28.10314</v>
      </c>
      <c r="K550" s="12">
        <v>23.066562999999999</v>
      </c>
      <c r="L550" s="12">
        <v>78.831367</v>
      </c>
      <c r="M550" s="12">
        <v>57.894050999999997</v>
      </c>
      <c r="N550" s="12">
        <v>15.748029000000001</v>
      </c>
      <c r="O550" s="12">
        <v>13.994465999999999</v>
      </c>
      <c r="P550" s="12">
        <v>58.893267999999999</v>
      </c>
      <c r="Q550" s="12">
        <v>509.14200699999998</v>
      </c>
      <c r="R550" s="15">
        <v>823.21310600000004</v>
      </c>
      <c r="S550" s="15">
        <v>2531.528945</v>
      </c>
      <c r="T550" s="15">
        <v>2535.552822821327</v>
      </c>
      <c r="AP550" s="12">
        <f t="shared" si="228"/>
        <v>1.3540044007213972</v>
      </c>
      <c r="AQ550" s="12">
        <f t="shared" si="229"/>
        <v>1.0115484112417414</v>
      </c>
      <c r="AU550" s="12">
        <f t="shared" si="230"/>
        <v>0.99577306581528646</v>
      </c>
      <c r="AV550" s="12">
        <f t="shared" si="231"/>
        <v>0.35649692590006715</v>
      </c>
      <c r="AW550" s="12">
        <f t="shared" si="232"/>
        <v>0.29260640627987589</v>
      </c>
      <c r="AX550" s="12">
        <f t="shared" si="225"/>
        <v>0.98303342582381403</v>
      </c>
      <c r="AY550" s="12">
        <f t="shared" si="226"/>
        <v>0.26739947594689434</v>
      </c>
      <c r="AZ550" s="12">
        <f t="shared" si="227"/>
        <v>0.23762420519778252</v>
      </c>
    </row>
    <row r="551" spans="1:52" x14ac:dyDescent="0.55000000000000004">
      <c r="A551" s="12" t="s">
        <v>479</v>
      </c>
      <c r="B551" s="12" t="s">
        <v>480</v>
      </c>
      <c r="C551" s="12" t="s">
        <v>322</v>
      </c>
      <c r="D551" s="12" t="s">
        <v>9</v>
      </c>
      <c r="E551" s="12">
        <v>2125</v>
      </c>
      <c r="F551" s="12">
        <v>70.165559999999999</v>
      </c>
      <c r="G551" s="12">
        <v>45.650931999999997</v>
      </c>
      <c r="H551" s="14">
        <f t="shared" si="233"/>
        <v>97008.230499999991</v>
      </c>
      <c r="I551" s="12">
        <v>53.749817</v>
      </c>
      <c r="J551" s="12">
        <v>22.235679999999999</v>
      </c>
      <c r="K551" s="12">
        <v>34.625447999999999</v>
      </c>
      <c r="L551" s="12">
        <v>65.701825999999997</v>
      </c>
      <c r="M551" s="12">
        <v>42.050778000000001</v>
      </c>
      <c r="N551" s="12">
        <v>14.181158</v>
      </c>
      <c r="O551" s="12">
        <v>21.060825000000001</v>
      </c>
      <c r="P551" s="12">
        <v>45.493057999999998</v>
      </c>
      <c r="Q551" s="12">
        <v>464.392763</v>
      </c>
      <c r="R551" s="15">
        <v>569.93195000000003</v>
      </c>
      <c r="S551" s="15">
        <v>2417.0408910000001</v>
      </c>
      <c r="T551" s="15">
        <v>2422.9816308691529</v>
      </c>
      <c r="AP551" s="12">
        <f t="shared" si="228"/>
        <v>1.4392220075594513</v>
      </c>
      <c r="AQ551" s="12">
        <f t="shared" si="229"/>
        <v>0.99654171354048149</v>
      </c>
      <c r="AU551" s="12">
        <f t="shared" si="230"/>
        <v>0.81808711069917606</v>
      </c>
      <c r="AV551" s="12">
        <f t="shared" si="231"/>
        <v>0.33843321188668335</v>
      </c>
      <c r="AW551" s="12">
        <f t="shared" si="232"/>
        <v>0.5270089144858775</v>
      </c>
      <c r="AX551" s="12">
        <f t="shared" si="225"/>
        <v>0.92433395002815599</v>
      </c>
      <c r="AY551" s="12">
        <f t="shared" si="226"/>
        <v>0.31172136197131439</v>
      </c>
      <c r="AZ551" s="12">
        <f t="shared" si="227"/>
        <v>0.46294590704366373</v>
      </c>
    </row>
    <row r="552" spans="1:52" x14ac:dyDescent="0.55000000000000004">
      <c r="A552" s="12" t="s">
        <v>481</v>
      </c>
      <c r="B552" s="12" t="s">
        <v>482</v>
      </c>
      <c r="C552" s="12" t="s">
        <v>322</v>
      </c>
      <c r="D552" s="12" t="s">
        <v>9</v>
      </c>
      <c r="E552" s="12">
        <v>2312</v>
      </c>
      <c r="F552" s="12">
        <v>67.966582000000002</v>
      </c>
      <c r="G552" s="12">
        <v>71.572357999999994</v>
      </c>
      <c r="H552" s="14">
        <f t="shared" si="233"/>
        <v>165475.291696</v>
      </c>
      <c r="I552" s="12">
        <v>64.055869999999999</v>
      </c>
      <c r="J552" s="12">
        <v>16.64733</v>
      </c>
      <c r="K552" s="12">
        <v>32.987437999999997</v>
      </c>
      <c r="L552" s="12">
        <v>67.086590999999999</v>
      </c>
      <c r="M552" s="12">
        <v>38.812905000000001</v>
      </c>
      <c r="N552" s="12">
        <v>5.0378080000000001</v>
      </c>
      <c r="O552" s="12">
        <v>11.681334</v>
      </c>
      <c r="P552" s="12">
        <v>38.975593000000003</v>
      </c>
      <c r="Q552" s="12">
        <v>439.27969200000001</v>
      </c>
      <c r="R552" s="15">
        <v>53.932572999999998</v>
      </c>
      <c r="S552" s="15">
        <v>2214.2873800000002</v>
      </c>
      <c r="T552" s="15">
        <v>2216.0973269040046</v>
      </c>
      <c r="AP552" s="12">
        <f t="shared" si="228"/>
        <v>0.93732542666821184</v>
      </c>
      <c r="AQ552" s="12">
        <f t="shared" si="229"/>
        <v>0.5445620919741111</v>
      </c>
      <c r="AU552" s="12">
        <f t="shared" si="230"/>
        <v>0.9548237441368872</v>
      </c>
      <c r="AV552" s="12">
        <f t="shared" si="231"/>
        <v>0.24814690613806864</v>
      </c>
      <c r="AW552" s="12">
        <f t="shared" si="232"/>
        <v>0.49171432783043034</v>
      </c>
      <c r="AX552" s="12">
        <f t="shared" si="225"/>
        <v>0.99582590058347531</v>
      </c>
      <c r="AY552" s="12">
        <f t="shared" si="226"/>
        <v>0.12925545481758288</v>
      </c>
      <c r="AZ552" s="12">
        <f t="shared" si="227"/>
        <v>0.29970894862330894</v>
      </c>
    </row>
    <row r="553" spans="1:52" x14ac:dyDescent="0.55000000000000004">
      <c r="A553" s="12" t="s">
        <v>292</v>
      </c>
      <c r="B553" s="12" t="s">
        <v>293</v>
      </c>
      <c r="C553" s="12" t="s">
        <v>8</v>
      </c>
      <c r="D553" s="12" t="s">
        <v>9</v>
      </c>
      <c r="E553" s="12">
        <v>1676</v>
      </c>
      <c r="F553" s="12">
        <v>68.988405</v>
      </c>
      <c r="G553" s="12">
        <v>36.599062000000004</v>
      </c>
      <c r="H553" s="14">
        <f t="shared" si="233"/>
        <v>61340.027912000005</v>
      </c>
      <c r="I553" s="12">
        <v>45.498404999999998</v>
      </c>
      <c r="J553" s="12">
        <v>9.7996890000000008</v>
      </c>
      <c r="K553" s="12">
        <v>16.742728</v>
      </c>
      <c r="L553" s="12">
        <v>48.278371999999997</v>
      </c>
      <c r="M553" s="12">
        <v>41.145606999999998</v>
      </c>
      <c r="N553" s="12">
        <v>12.973267</v>
      </c>
      <c r="O553" s="12">
        <v>8.2302330000000001</v>
      </c>
      <c r="P553" s="12">
        <v>42.110202999999998</v>
      </c>
      <c r="Q553" s="12">
        <v>294.55692399999998</v>
      </c>
      <c r="R553" s="15">
        <v>22.210508999999998</v>
      </c>
      <c r="S553" s="15">
        <v>1196.0584799999999</v>
      </c>
      <c r="T553" s="15">
        <v>1229.9334064059406</v>
      </c>
      <c r="AP553" s="12">
        <f t="shared" si="228"/>
        <v>1.3191150090130723</v>
      </c>
      <c r="AQ553" s="12">
        <f t="shared" si="229"/>
        <v>1.1505814821155798</v>
      </c>
      <c r="AU553" s="12">
        <f t="shared" si="230"/>
        <v>0.94241796305807501</v>
      </c>
      <c r="AV553" s="12">
        <f t="shared" si="231"/>
        <v>0.2029830044807642</v>
      </c>
      <c r="AW553" s="12">
        <f t="shared" si="232"/>
        <v>0.34679562102881184</v>
      </c>
      <c r="AX553" s="12">
        <f t="shared" si="225"/>
        <v>0.97709353241541008</v>
      </c>
      <c r="AY553" s="12">
        <f t="shared" si="226"/>
        <v>0.30807894704283428</v>
      </c>
      <c r="AZ553" s="12">
        <f t="shared" si="227"/>
        <v>0.19544510388610573</v>
      </c>
    </row>
    <row r="554" spans="1:52" x14ac:dyDescent="0.55000000000000004">
      <c r="A554" s="12" t="s">
        <v>294</v>
      </c>
      <c r="B554" s="12" t="s">
        <v>295</v>
      </c>
      <c r="C554" s="12" t="s">
        <v>8</v>
      </c>
      <c r="D554" s="12" t="s">
        <v>9</v>
      </c>
      <c r="E554" s="12">
        <v>1728</v>
      </c>
      <c r="F554" s="12">
        <v>70.220745999999991</v>
      </c>
      <c r="G554" s="12">
        <v>37.094403</v>
      </c>
      <c r="H554" s="14">
        <f t="shared" si="233"/>
        <v>64099.128383999996</v>
      </c>
      <c r="I554" s="12">
        <v>63.732382000000001</v>
      </c>
      <c r="J554" s="12">
        <v>28.202966</v>
      </c>
      <c r="K554" s="12">
        <v>28.683084999999998</v>
      </c>
      <c r="L554" s="12">
        <v>74.634860000000003</v>
      </c>
      <c r="M554" s="12">
        <v>48.141497000000001</v>
      </c>
      <c r="N554" s="12">
        <v>12.367991</v>
      </c>
      <c r="O554" s="12">
        <v>18.541215999999999</v>
      </c>
      <c r="P554" s="12">
        <v>51.962490000000003</v>
      </c>
      <c r="Q554" s="12">
        <v>531.67065500000001</v>
      </c>
      <c r="R554" s="15">
        <v>58.355564999999999</v>
      </c>
      <c r="S554" s="15">
        <v>1587.7417949999999</v>
      </c>
      <c r="T554" s="15">
        <v>1633.8947214417915</v>
      </c>
      <c r="AP554" s="12">
        <f t="shared" si="228"/>
        <v>2.012024832964693</v>
      </c>
      <c r="AQ554" s="12">
        <f t="shared" si="229"/>
        <v>1.4008175303427852</v>
      </c>
      <c r="AU554" s="12">
        <f t="shared" si="230"/>
        <v>0.85392244321219335</v>
      </c>
      <c r="AV554" s="12">
        <f t="shared" si="231"/>
        <v>0.3778792644616738</v>
      </c>
      <c r="AW554" s="12">
        <f t="shared" si="232"/>
        <v>0.38431216994310696</v>
      </c>
      <c r="AX554" s="12">
        <f t="shared" si="225"/>
        <v>0.92646632214891933</v>
      </c>
      <c r="AY554" s="12">
        <f t="shared" si="226"/>
        <v>0.23801767390284798</v>
      </c>
      <c r="AZ554" s="12">
        <f t="shared" si="227"/>
        <v>0.35681923633759655</v>
      </c>
    </row>
    <row r="555" spans="1:52" x14ac:dyDescent="0.55000000000000004">
      <c r="A555" s="12" t="s">
        <v>296</v>
      </c>
      <c r="B555" s="12" t="s">
        <v>297</v>
      </c>
      <c r="C555" s="12" t="s">
        <v>8</v>
      </c>
      <c r="D555" s="12" t="s">
        <v>9</v>
      </c>
      <c r="E555" s="12">
        <v>1842</v>
      </c>
      <c r="F555" s="12">
        <v>69.778357999999997</v>
      </c>
      <c r="G555" s="12">
        <v>50.238664</v>
      </c>
      <c r="H555" s="14">
        <f t="shared" si="233"/>
        <v>92539.619088000007</v>
      </c>
      <c r="I555" s="12">
        <v>42.084254000000001</v>
      </c>
      <c r="J555" s="12">
        <v>17.257403</v>
      </c>
      <c r="K555" s="12">
        <v>23.228382</v>
      </c>
      <c r="L555" s="12">
        <v>46.169296000000003</v>
      </c>
      <c r="M555" s="12">
        <v>43.142060000000001</v>
      </c>
      <c r="N555" s="12">
        <v>10.624655000000001</v>
      </c>
      <c r="O555" s="12">
        <v>6.0696640000000004</v>
      </c>
      <c r="P555" s="12">
        <v>44.027042000000002</v>
      </c>
      <c r="Q555" s="12">
        <v>457.71254499999998</v>
      </c>
      <c r="R555" s="15">
        <v>27.900759999999998</v>
      </c>
      <c r="S555" s="15">
        <v>1586.5623129999999</v>
      </c>
      <c r="T555" s="15">
        <v>1620.005434584916</v>
      </c>
      <c r="AP555" s="12">
        <f t="shared" si="228"/>
        <v>0.91899927912095758</v>
      </c>
      <c r="AQ555" s="12">
        <f t="shared" si="229"/>
        <v>0.87635773913096104</v>
      </c>
      <c r="AU555" s="12">
        <f t="shared" si="230"/>
        <v>0.91152037492622795</v>
      </c>
      <c r="AV555" s="12">
        <f t="shared" si="231"/>
        <v>0.3737852749584919</v>
      </c>
      <c r="AW555" s="12">
        <f t="shared" si="232"/>
        <v>0.50311319453517334</v>
      </c>
      <c r="AX555" s="12">
        <f t="shared" si="225"/>
        <v>0.97989912654136513</v>
      </c>
      <c r="AY555" s="12">
        <f t="shared" si="226"/>
        <v>0.24132111805285489</v>
      </c>
      <c r="AZ555" s="12">
        <f t="shared" si="227"/>
        <v>0.13786218024822108</v>
      </c>
    </row>
    <row r="556" spans="1:52" x14ac:dyDescent="0.55000000000000004">
      <c r="A556" s="12" t="s">
        <v>298</v>
      </c>
      <c r="B556" s="12" t="s">
        <v>299</v>
      </c>
      <c r="C556" s="12" t="s">
        <v>8</v>
      </c>
      <c r="D556" s="12" t="s">
        <v>9</v>
      </c>
      <c r="E556" s="12">
        <v>1822</v>
      </c>
      <c r="F556" s="12">
        <v>65.812421000000001</v>
      </c>
      <c r="G556" s="12">
        <v>36.569597000000002</v>
      </c>
      <c r="H556" s="14">
        <f t="shared" si="233"/>
        <v>66629.805734000009</v>
      </c>
      <c r="I556" s="12">
        <v>38.364660000000001</v>
      </c>
      <c r="J556" s="12">
        <v>16.357568000000001</v>
      </c>
      <c r="K556" s="12">
        <v>22.884598</v>
      </c>
      <c r="L556" s="12">
        <v>44.091811</v>
      </c>
      <c r="M556" s="12">
        <v>41.748215000000002</v>
      </c>
      <c r="N556" s="12">
        <v>18.971357000000001</v>
      </c>
      <c r="O556" s="12">
        <v>16.954681999999998</v>
      </c>
      <c r="P556" s="12">
        <v>45.213498999999999</v>
      </c>
      <c r="Q556" s="12">
        <v>426.10793699999999</v>
      </c>
      <c r="R556" s="15">
        <v>130.85615300000001</v>
      </c>
      <c r="S556" s="15">
        <v>1064.634266</v>
      </c>
      <c r="T556" s="15">
        <v>1115.437626931488</v>
      </c>
      <c r="AP556" s="12">
        <f t="shared" si="228"/>
        <v>1.2056958407280234</v>
      </c>
      <c r="AQ556" s="12">
        <f t="shared" si="229"/>
        <v>1.2363685331287626</v>
      </c>
      <c r="AU556" s="12">
        <f t="shared" si="230"/>
        <v>0.87010851062570327</v>
      </c>
      <c r="AV556" s="12">
        <f t="shared" si="231"/>
        <v>0.37098879880438573</v>
      </c>
      <c r="AW556" s="12">
        <f t="shared" si="232"/>
        <v>0.51902150265499414</v>
      </c>
      <c r="AX556" s="12">
        <f t="shared" si="225"/>
        <v>0.92335731415080269</v>
      </c>
      <c r="AY556" s="12">
        <f t="shared" si="226"/>
        <v>0.41959497538555912</v>
      </c>
      <c r="AZ556" s="12">
        <f t="shared" si="227"/>
        <v>0.37499159266572135</v>
      </c>
    </row>
    <row r="557" spans="1:52" x14ac:dyDescent="0.55000000000000004">
      <c r="A557" s="12" t="s">
        <v>300</v>
      </c>
      <c r="B557" s="12" t="s">
        <v>301</v>
      </c>
      <c r="C557" s="12" t="s">
        <v>8</v>
      </c>
      <c r="D557" s="12" t="s">
        <v>9</v>
      </c>
      <c r="E557" s="12">
        <v>1692</v>
      </c>
      <c r="F557" s="12">
        <v>68.95620000000001</v>
      </c>
      <c r="G557" s="12">
        <v>42.287500000000001</v>
      </c>
      <c r="H557" s="14">
        <f t="shared" si="233"/>
        <v>71550.45</v>
      </c>
      <c r="I557" s="12">
        <v>56.820599999999999</v>
      </c>
      <c r="J557" s="12">
        <v>15.8988</v>
      </c>
      <c r="K557" s="12">
        <v>17.9528</v>
      </c>
      <c r="L557" s="12">
        <v>59.040100000000002</v>
      </c>
      <c r="M557" s="12">
        <v>40.242899999999999</v>
      </c>
      <c r="N557" s="12">
        <v>19.561199999999999</v>
      </c>
      <c r="O557" s="12">
        <v>13.682600000000001</v>
      </c>
      <c r="P557" s="12">
        <v>42.750999999999998</v>
      </c>
      <c r="Q557" s="12">
        <v>360.56420000000003</v>
      </c>
      <c r="R557" s="15">
        <v>46.823799999999999</v>
      </c>
      <c r="S557" s="15">
        <v>2300.4139</v>
      </c>
      <c r="T557" s="15">
        <v>2311.4910098593873</v>
      </c>
      <c r="AP557" s="12">
        <f t="shared" si="228"/>
        <v>1.3961596216375998</v>
      </c>
      <c r="AQ557" s="12">
        <f t="shared" si="229"/>
        <v>1.0109606857818503</v>
      </c>
      <c r="AU557" s="12">
        <f t="shared" si="230"/>
        <v>0.96240690649236704</v>
      </c>
      <c r="AV557" s="12">
        <f t="shared" si="231"/>
        <v>0.2692881617747937</v>
      </c>
      <c r="AW557" s="12">
        <f t="shared" si="232"/>
        <v>0.3040780757485167</v>
      </c>
      <c r="AX557" s="12">
        <f t="shared" si="225"/>
        <v>0.94133236649435104</v>
      </c>
      <c r="AY557" s="12">
        <f t="shared" si="226"/>
        <v>0.45756122663797338</v>
      </c>
      <c r="AZ557" s="12">
        <f t="shared" si="227"/>
        <v>0.32005333208579922</v>
      </c>
    </row>
    <row r="558" spans="1:52" x14ac:dyDescent="0.55000000000000004">
      <c r="A558" s="12" t="s">
        <v>302</v>
      </c>
      <c r="B558" s="12" t="s">
        <v>303</v>
      </c>
      <c r="C558" s="12" t="s">
        <v>8</v>
      </c>
      <c r="D558" s="12" t="s">
        <v>9</v>
      </c>
      <c r="E558" s="12">
        <v>1840</v>
      </c>
      <c r="F558" s="12">
        <v>70.420100000000005</v>
      </c>
      <c r="G558" s="12">
        <v>40.929499999999997</v>
      </c>
      <c r="H558" s="14">
        <f t="shared" si="233"/>
        <v>75310.28</v>
      </c>
      <c r="I558" s="12">
        <v>51.371099999999998</v>
      </c>
      <c r="J558" s="12">
        <v>21.6707</v>
      </c>
      <c r="K558" s="12">
        <v>21.127600000000001</v>
      </c>
      <c r="L558" s="12">
        <v>56.173099999999998</v>
      </c>
      <c r="M558" s="12">
        <v>42.900100000000002</v>
      </c>
      <c r="N558" s="12">
        <v>12.9274</v>
      </c>
      <c r="O558" s="12">
        <v>19.572099999999999</v>
      </c>
      <c r="P558" s="12">
        <v>48.703600000000002</v>
      </c>
      <c r="Q558" s="12">
        <v>309.67610000000002</v>
      </c>
      <c r="R558" s="15">
        <v>337.48989999999998</v>
      </c>
      <c r="S558" s="15">
        <v>1612.5706</v>
      </c>
      <c r="T558" s="15">
        <v>1629.8968664025249</v>
      </c>
      <c r="AP558" s="12">
        <f t="shared" si="228"/>
        <v>1.3724355293858952</v>
      </c>
      <c r="AQ558" s="12">
        <f t="shared" si="229"/>
        <v>1.1899387972000637</v>
      </c>
      <c r="AU558" s="12">
        <f t="shared" si="230"/>
        <v>0.91451424258230363</v>
      </c>
      <c r="AV558" s="12">
        <f t="shared" si="231"/>
        <v>0.38578429889039417</v>
      </c>
      <c r="AW558" s="12">
        <f t="shared" si="232"/>
        <v>0.37611597009956727</v>
      </c>
      <c r="AX558" s="12">
        <f t="shared" si="225"/>
        <v>0.88084043068684859</v>
      </c>
      <c r="AY558" s="12">
        <f t="shared" si="226"/>
        <v>0.26543007087771747</v>
      </c>
      <c r="AZ558" s="12">
        <f t="shared" si="227"/>
        <v>0.4018614640396192</v>
      </c>
    </row>
    <row r="559" spans="1:52" x14ac:dyDescent="0.55000000000000004">
      <c r="A559" s="12" t="s">
        <v>304</v>
      </c>
      <c r="B559" s="12" t="s">
        <v>305</v>
      </c>
      <c r="C559" s="12" t="s">
        <v>8</v>
      </c>
      <c r="D559" s="12" t="s">
        <v>9</v>
      </c>
      <c r="E559" s="12">
        <v>1737</v>
      </c>
      <c r="F559" s="12">
        <v>67.511099999999999</v>
      </c>
      <c r="G559" s="12">
        <v>39.432899999999997</v>
      </c>
      <c r="H559" s="14">
        <f t="shared" si="233"/>
        <v>68494.9473</v>
      </c>
      <c r="I559" s="12">
        <v>87.013400000000004</v>
      </c>
      <c r="J559" s="12">
        <v>29.027100000000001</v>
      </c>
      <c r="K559" s="12">
        <v>53.567100000000003</v>
      </c>
      <c r="L559" s="12">
        <v>95.0535</v>
      </c>
      <c r="M559" s="12">
        <v>56.270600000000002</v>
      </c>
      <c r="N559" s="12">
        <v>16.917000000000002</v>
      </c>
      <c r="O559" s="12">
        <v>19.121300000000002</v>
      </c>
      <c r="P559" s="12">
        <v>58.840200000000003</v>
      </c>
      <c r="Q559" s="12">
        <v>704.62559999999996</v>
      </c>
      <c r="R559" s="15">
        <v>185.76079999999999</v>
      </c>
      <c r="S559" s="15">
        <v>3575.5909000000001</v>
      </c>
      <c r="T559" s="15">
        <v>3623.3448464247867</v>
      </c>
      <c r="AP559" s="12">
        <f t="shared" ref="AP559:AP565" si="234">L559/G559</f>
        <v>2.4105125415579378</v>
      </c>
      <c r="AQ559" s="12">
        <f t="shared" ref="AQ559:AQ565" si="235">P559/G559</f>
        <v>1.4921600998151292</v>
      </c>
      <c r="AU559" s="12">
        <f t="shared" ref="AU559:AU565" si="236">I559/$L559</f>
        <v>0.91541500312981638</v>
      </c>
      <c r="AV559" s="12">
        <f t="shared" ref="AV559:AV565" si="237">J559/$L559</f>
        <v>0.30537644589625845</v>
      </c>
      <c r="AW559" s="12">
        <f t="shared" ref="AW559:AW565" si="238">K559/$L559</f>
        <v>0.56354684467168492</v>
      </c>
      <c r="AX559" s="12">
        <f t="shared" si="225"/>
        <v>0.95632917631143333</v>
      </c>
      <c r="AY559" s="12">
        <f t="shared" si="226"/>
        <v>0.28750752036872751</v>
      </c>
      <c r="AZ559" s="12">
        <f t="shared" si="227"/>
        <v>0.3249700035010078</v>
      </c>
    </row>
    <row r="560" spans="1:52" x14ac:dyDescent="0.55000000000000004">
      <c r="A560" s="12" t="s">
        <v>306</v>
      </c>
      <c r="B560" s="12" t="s">
        <v>307</v>
      </c>
      <c r="C560" s="12" t="s">
        <v>8</v>
      </c>
      <c r="D560" s="12" t="s">
        <v>9</v>
      </c>
      <c r="E560" s="12">
        <v>1916</v>
      </c>
      <c r="F560" s="12">
        <v>70.100300000000004</v>
      </c>
      <c r="G560" s="12">
        <v>35.207799999999999</v>
      </c>
      <c r="H560" s="14">
        <f t="shared" si="233"/>
        <v>67458.144799999995</v>
      </c>
      <c r="I560" s="12">
        <v>42.888300000000001</v>
      </c>
      <c r="J560" s="12">
        <v>18.3748</v>
      </c>
      <c r="K560" s="12">
        <v>15.0649</v>
      </c>
      <c r="L560" s="12">
        <v>45.419400000000003</v>
      </c>
      <c r="M560" s="12">
        <v>34.5002</v>
      </c>
      <c r="N560" s="12">
        <v>14.718999999999999</v>
      </c>
      <c r="O560" s="12">
        <v>11.300700000000001</v>
      </c>
      <c r="P560" s="12">
        <v>38.241500000000002</v>
      </c>
      <c r="Q560" s="12">
        <v>333.39949999999999</v>
      </c>
      <c r="R560" s="15">
        <v>56.835999999999999</v>
      </c>
      <c r="S560" s="15">
        <v>1149.44</v>
      </c>
      <c r="T560" s="15">
        <v>1190.9608681168411</v>
      </c>
      <c r="AP560" s="12">
        <f t="shared" si="234"/>
        <v>1.29003800294253</v>
      </c>
      <c r="AQ560" s="12">
        <f t="shared" si="235"/>
        <v>1.086165565584899</v>
      </c>
      <c r="AU560" s="12">
        <f t="shared" si="236"/>
        <v>0.94427271166065596</v>
      </c>
      <c r="AV560" s="12">
        <f t="shared" si="237"/>
        <v>0.40455840455840453</v>
      </c>
      <c r="AW560" s="12">
        <f t="shared" si="238"/>
        <v>0.33168425826849318</v>
      </c>
      <c r="AX560" s="12">
        <f t="shared" si="225"/>
        <v>0.90216649451512099</v>
      </c>
      <c r="AY560" s="12">
        <f t="shared" si="226"/>
        <v>0.38489598995855284</v>
      </c>
      <c r="AZ560" s="12">
        <f t="shared" si="227"/>
        <v>0.29550880587843048</v>
      </c>
    </row>
    <row r="561" spans="1:61" x14ac:dyDescent="0.55000000000000004">
      <c r="A561" s="12" t="s">
        <v>308</v>
      </c>
      <c r="B561" s="12" t="s">
        <v>309</v>
      </c>
      <c r="C561" s="12" t="s">
        <v>8</v>
      </c>
      <c r="D561" s="12" t="s">
        <v>9</v>
      </c>
      <c r="E561" s="12">
        <v>1565</v>
      </c>
      <c r="F561" s="12">
        <v>69.021600000000007</v>
      </c>
      <c r="G561" s="12">
        <v>44.179099999999998</v>
      </c>
      <c r="H561" s="14">
        <f t="shared" si="233"/>
        <v>69140.291499999992</v>
      </c>
      <c r="I561" s="12">
        <v>46.372</v>
      </c>
      <c r="J561" s="12">
        <v>16.298999999999999</v>
      </c>
      <c r="K561" s="12">
        <v>20.563400000000001</v>
      </c>
      <c r="L561" s="12">
        <v>49.719499999999996</v>
      </c>
      <c r="M561" s="12">
        <v>42.369399999999999</v>
      </c>
      <c r="N561" s="12">
        <v>11.513</v>
      </c>
      <c r="O561" s="12">
        <v>14.4154</v>
      </c>
      <c r="P561" s="12">
        <v>43.758000000000003</v>
      </c>
      <c r="Q561" s="12">
        <v>455.12939999999998</v>
      </c>
      <c r="R561" s="15">
        <v>354.47719999999998</v>
      </c>
      <c r="S561" s="15">
        <v>1784.7804000000001</v>
      </c>
      <c r="T561" s="15">
        <v>1833.6389296323309</v>
      </c>
      <c r="AP561" s="12">
        <f t="shared" si="234"/>
        <v>1.125407715412944</v>
      </c>
      <c r="AQ561" s="12">
        <f t="shared" si="235"/>
        <v>0.99046834362854841</v>
      </c>
      <c r="AU561" s="12">
        <f t="shared" si="236"/>
        <v>0.93267229155562714</v>
      </c>
      <c r="AV561" s="12">
        <f t="shared" si="237"/>
        <v>0.32781906495439417</v>
      </c>
      <c r="AW561" s="12">
        <f t="shared" si="238"/>
        <v>0.4135882299701325</v>
      </c>
      <c r="AX561" s="12">
        <f t="shared" si="225"/>
        <v>0.96826637414872696</v>
      </c>
      <c r="AY561" s="12">
        <f t="shared" si="226"/>
        <v>0.26310617487088073</v>
      </c>
      <c r="AZ561" s="12">
        <f t="shared" si="227"/>
        <v>0.32943461766991178</v>
      </c>
    </row>
    <row r="562" spans="1:61" x14ac:dyDescent="0.55000000000000004">
      <c r="A562" s="12" t="s">
        <v>310</v>
      </c>
      <c r="B562" s="12" t="s">
        <v>311</v>
      </c>
      <c r="C562" s="12" t="s">
        <v>8</v>
      </c>
      <c r="D562" s="12" t="s">
        <v>9</v>
      </c>
      <c r="E562" s="12">
        <v>1416</v>
      </c>
      <c r="F562" s="12">
        <v>69.836699999999993</v>
      </c>
      <c r="G562" s="12">
        <v>36.639299999999999</v>
      </c>
      <c r="H562" s="14">
        <f t="shared" si="233"/>
        <v>51881.248800000001</v>
      </c>
      <c r="I562" s="12">
        <v>114.2603</v>
      </c>
      <c r="J562" s="12">
        <v>17.476500000000001</v>
      </c>
      <c r="K562" s="12">
        <v>26.346499999999999</v>
      </c>
      <c r="L562" s="12">
        <v>118.4312</v>
      </c>
      <c r="M562" s="12">
        <v>44.3872</v>
      </c>
      <c r="N562" s="12">
        <v>11.6121</v>
      </c>
      <c r="O562" s="12">
        <v>10.1227</v>
      </c>
      <c r="P562" s="12">
        <v>45.359099999999998</v>
      </c>
      <c r="Q562" s="12">
        <v>533.64750000000004</v>
      </c>
      <c r="R562" s="15">
        <v>378.14909999999998</v>
      </c>
      <c r="S562" s="15">
        <v>1662.8258000000001</v>
      </c>
      <c r="T562" s="15">
        <v>1665.5224877383914</v>
      </c>
      <c r="AP562" s="12">
        <f t="shared" si="234"/>
        <v>3.2323543299135085</v>
      </c>
      <c r="AQ562" s="12">
        <f t="shared" si="235"/>
        <v>1.2379903546192204</v>
      </c>
      <c r="AU562" s="12">
        <f t="shared" si="236"/>
        <v>0.964782084450719</v>
      </c>
      <c r="AV562" s="12">
        <f t="shared" si="237"/>
        <v>0.14756668850775809</v>
      </c>
      <c r="AW562" s="12">
        <f t="shared" si="238"/>
        <v>0.22246249299171161</v>
      </c>
      <c r="AX562" s="12">
        <f t="shared" si="225"/>
        <v>0.97857320802220504</v>
      </c>
      <c r="AY562" s="12">
        <f t="shared" si="226"/>
        <v>0.25600375668829412</v>
      </c>
      <c r="AZ562" s="12">
        <f t="shared" si="227"/>
        <v>0.2231680081835839</v>
      </c>
    </row>
    <row r="563" spans="1:61" x14ac:dyDescent="0.55000000000000004">
      <c r="A563" s="12" t="s">
        <v>312</v>
      </c>
      <c r="B563" s="12" t="s">
        <v>313</v>
      </c>
      <c r="C563" s="12" t="s">
        <v>8</v>
      </c>
      <c r="D563" s="12" t="s">
        <v>9</v>
      </c>
      <c r="E563" s="12">
        <v>1500</v>
      </c>
      <c r="F563" s="12">
        <v>69.376499999999993</v>
      </c>
      <c r="G563" s="12">
        <v>55.165799999999997</v>
      </c>
      <c r="H563" s="14">
        <f t="shared" si="233"/>
        <v>82748.7</v>
      </c>
      <c r="I563" s="12">
        <v>62.222200000000001</v>
      </c>
      <c r="J563" s="12">
        <v>15.333500000000001</v>
      </c>
      <c r="K563" s="12">
        <v>19.156199999999998</v>
      </c>
      <c r="L563" s="12">
        <v>64.616200000000006</v>
      </c>
      <c r="M563" s="12">
        <v>37.555500000000002</v>
      </c>
      <c r="N563" s="12">
        <v>14.366400000000001</v>
      </c>
      <c r="O563" s="12">
        <v>10.1073</v>
      </c>
      <c r="P563" s="12">
        <v>38.122799999999998</v>
      </c>
      <c r="Q563" s="12">
        <v>765.77670000000001</v>
      </c>
      <c r="R563" s="15">
        <v>370.57659999999998</v>
      </c>
      <c r="S563" s="15">
        <v>1434.2079000000001</v>
      </c>
      <c r="T563" s="15">
        <v>1550.4685143541776</v>
      </c>
      <c r="AP563" s="12">
        <f t="shared" si="234"/>
        <v>1.1713090356706513</v>
      </c>
      <c r="AQ563" s="12">
        <f t="shared" si="235"/>
        <v>0.69105859064855402</v>
      </c>
      <c r="AU563" s="12">
        <f t="shared" si="236"/>
        <v>0.96295046752981439</v>
      </c>
      <c r="AV563" s="12">
        <f t="shared" si="237"/>
        <v>0.23730117215187521</v>
      </c>
      <c r="AW563" s="12">
        <f t="shared" si="238"/>
        <v>0.29646125894125619</v>
      </c>
      <c r="AX563" s="12">
        <f t="shared" si="225"/>
        <v>0.98511914130126865</v>
      </c>
      <c r="AY563" s="12">
        <f t="shared" si="226"/>
        <v>0.37684535238754763</v>
      </c>
      <c r="AZ563" s="12">
        <f t="shared" si="227"/>
        <v>0.26512480720198939</v>
      </c>
    </row>
    <row r="564" spans="1:61" x14ac:dyDescent="0.55000000000000004">
      <c r="A564" s="12" t="s">
        <v>314</v>
      </c>
      <c r="B564" s="12" t="s">
        <v>315</v>
      </c>
      <c r="C564" s="12" t="s">
        <v>8</v>
      </c>
      <c r="D564" s="12" t="s">
        <v>9</v>
      </c>
      <c r="E564" s="12">
        <v>1513</v>
      </c>
      <c r="F564" s="12">
        <v>68.827300000000008</v>
      </c>
      <c r="G564" s="12">
        <v>35.951999999999998</v>
      </c>
      <c r="H564" s="14">
        <f t="shared" si="233"/>
        <v>54395.375999999997</v>
      </c>
      <c r="I564" s="12">
        <v>85.367800000000003</v>
      </c>
      <c r="J564" s="12">
        <v>21.5992</v>
      </c>
      <c r="K564" s="12">
        <v>22.676200000000001</v>
      </c>
      <c r="L564" s="12">
        <v>88.176100000000005</v>
      </c>
      <c r="M564" s="12">
        <v>37.328899999999997</v>
      </c>
      <c r="N564" s="12">
        <v>13.1114</v>
      </c>
      <c r="O564" s="12">
        <v>5.8489000000000004</v>
      </c>
      <c r="P564" s="12">
        <v>38.714300000000001</v>
      </c>
      <c r="Q564" s="12">
        <v>553.14049999999997</v>
      </c>
      <c r="R564" s="15">
        <v>136.24780000000001</v>
      </c>
      <c r="S564" s="15">
        <v>1732.809</v>
      </c>
      <c r="T564" s="15">
        <v>1736.29230713322</v>
      </c>
      <c r="AP564" s="12">
        <f t="shared" si="234"/>
        <v>2.4526062527814867</v>
      </c>
      <c r="AQ564" s="12">
        <f t="shared" si="235"/>
        <v>1.0768329995549624</v>
      </c>
      <c r="AU564" s="12">
        <f t="shared" si="236"/>
        <v>0.96815123372433121</v>
      </c>
      <c r="AV564" s="12">
        <f t="shared" si="237"/>
        <v>0.24495526565588632</v>
      </c>
      <c r="AW564" s="12">
        <f t="shared" si="238"/>
        <v>0.25716945975156535</v>
      </c>
      <c r="AX564" s="12">
        <f t="shared" si="225"/>
        <v>0.96421477335248207</v>
      </c>
      <c r="AY564" s="12">
        <f t="shared" si="226"/>
        <v>0.33867072373774032</v>
      </c>
      <c r="AZ564" s="12">
        <f t="shared" si="227"/>
        <v>0.15107854203743837</v>
      </c>
    </row>
    <row r="565" spans="1:61" x14ac:dyDescent="0.55000000000000004">
      <c r="A565" s="12" t="s">
        <v>316</v>
      </c>
      <c r="B565" s="12" t="s">
        <v>317</v>
      </c>
      <c r="C565" s="12" t="s">
        <v>8</v>
      </c>
      <c r="D565" s="12" t="s">
        <v>9</v>
      </c>
      <c r="E565" s="12">
        <v>1350</v>
      </c>
      <c r="F565" s="12">
        <v>68.961799999999997</v>
      </c>
      <c r="G565" s="12">
        <v>33.076700000000002</v>
      </c>
      <c r="H565" s="14">
        <f t="shared" si="233"/>
        <v>44653.545000000006</v>
      </c>
      <c r="I565" s="12">
        <v>40.225000000000001</v>
      </c>
      <c r="J565" s="12">
        <v>47.343200000000003</v>
      </c>
      <c r="K565" s="12">
        <v>24.056999999999999</v>
      </c>
      <c r="L565" s="12">
        <v>54.100900000000003</v>
      </c>
      <c r="M565" s="12">
        <v>38.856499999999997</v>
      </c>
      <c r="N565" s="12">
        <v>17.566299999999998</v>
      </c>
      <c r="O565" s="12">
        <v>19.500699999999998</v>
      </c>
      <c r="P565" s="12">
        <v>40.4754</v>
      </c>
      <c r="Q565" s="12">
        <v>317.19909999999999</v>
      </c>
      <c r="R565" s="15">
        <v>325.39510000000001</v>
      </c>
      <c r="S565" s="15">
        <v>1671.1314</v>
      </c>
      <c r="T565" s="15">
        <v>1677.474929776791</v>
      </c>
      <c r="AP565" s="12">
        <f t="shared" si="234"/>
        <v>1.6356196355742865</v>
      </c>
      <c r="AQ565" s="12">
        <f t="shared" si="235"/>
        <v>1.2236831364676646</v>
      </c>
      <c r="AU565" s="12">
        <f t="shared" si="236"/>
        <v>0.74351813001262457</v>
      </c>
      <c r="AV565" s="12">
        <f t="shared" si="237"/>
        <v>0.87509080255596483</v>
      </c>
      <c r="AW565" s="12">
        <f t="shared" si="238"/>
        <v>0.44466912750065152</v>
      </c>
      <c r="AX565" s="12">
        <f t="shared" si="225"/>
        <v>0.96000286593832296</v>
      </c>
      <c r="AY565" s="12">
        <f t="shared" si="226"/>
        <v>0.43399941692978938</v>
      </c>
      <c r="AZ565" s="12">
        <f t="shared" si="227"/>
        <v>0.48179140910281304</v>
      </c>
    </row>
    <row r="567" spans="1:61" x14ac:dyDescent="0.55000000000000004">
      <c r="AO567" s="4" t="s">
        <v>318</v>
      </c>
      <c r="AP567" s="13">
        <f t="shared" ref="AP567:BI567" si="239">AVERAGE(AP2:AP565)</f>
        <v>1.4229206508158767</v>
      </c>
      <c r="AQ567" s="13">
        <f t="shared" si="239"/>
        <v>1.0111403408642894</v>
      </c>
      <c r="AR567" s="13">
        <f t="shared" si="239"/>
        <v>1.4601490155270289</v>
      </c>
      <c r="AS567" s="13">
        <f t="shared" si="239"/>
        <v>1.0777589947106614</v>
      </c>
      <c r="AT567" s="13">
        <f t="shared" si="239"/>
        <v>1.1474473517748824</v>
      </c>
      <c r="AU567" s="10">
        <f t="shared" si="239"/>
        <v>0.86853142445902431</v>
      </c>
      <c r="AV567" s="13">
        <f t="shared" si="239"/>
        <v>0.36015252050215696</v>
      </c>
      <c r="AW567" s="13">
        <f t="shared" si="239"/>
        <v>0.48921462697065432</v>
      </c>
      <c r="AX567" s="10">
        <f t="shared" si="239"/>
        <v>0.92716752361562327</v>
      </c>
      <c r="AY567" s="13">
        <f t="shared" si="239"/>
        <v>0.35816697256404934</v>
      </c>
      <c r="AZ567" s="13">
        <f t="shared" si="239"/>
        <v>0.32181330827665222</v>
      </c>
      <c r="BA567" s="13">
        <f t="shared" si="239"/>
        <v>0.62364231098760203</v>
      </c>
      <c r="BB567" s="13">
        <f t="shared" si="239"/>
        <v>0.24848482080052753</v>
      </c>
      <c r="BC567" s="10">
        <f t="shared" si="239"/>
        <v>0.87099455990329511</v>
      </c>
      <c r="BD567" s="10">
        <f t="shared" si="239"/>
        <v>0.73299016204356793</v>
      </c>
      <c r="BE567" s="13">
        <f t="shared" si="239"/>
        <v>0.57505318371293401</v>
      </c>
      <c r="BF567" s="13">
        <f t="shared" si="239"/>
        <v>0.51766582334663525</v>
      </c>
      <c r="BG567" s="10">
        <f t="shared" si="239"/>
        <v>0.78979552175931067</v>
      </c>
      <c r="BH567" s="13">
        <f t="shared" si="239"/>
        <v>0.41218168508707798</v>
      </c>
      <c r="BI567" s="13">
        <f t="shared" si="239"/>
        <v>0.63486909611208608</v>
      </c>
    </row>
    <row r="568" spans="1:61" x14ac:dyDescent="0.55000000000000004">
      <c r="AO568" s="4" t="s">
        <v>319</v>
      </c>
      <c r="AP568" s="13">
        <f>_xlfn.STDEV.S(AP2:AP565)</f>
        <v>0.85009253975881804</v>
      </c>
      <c r="AQ568" s="13">
        <f>_xlfn.STDEV.S(AQ2:AQ565)</f>
        <v>0.24763373129327848</v>
      </c>
      <c r="AR568" s="13">
        <f t="shared" ref="AR568:BI568" si="240">_xlfn.STDEV.S(AR2:AR565)</f>
        <v>0.50152754021165258</v>
      </c>
      <c r="AS568" s="13">
        <f t="shared" si="240"/>
        <v>0.37843229551365909</v>
      </c>
      <c r="AT568" s="13">
        <f t="shared" si="240"/>
        <v>0.30073975850745643</v>
      </c>
      <c r="AU568" s="13">
        <f t="shared" si="240"/>
        <v>0.10775458206802296</v>
      </c>
      <c r="AV568" s="13">
        <f t="shared" si="240"/>
        <v>0.17237025684385238</v>
      </c>
      <c r="AW568" s="13">
        <f t="shared" si="240"/>
        <v>0.14314064006490324</v>
      </c>
      <c r="AX568" s="13">
        <f t="shared" si="240"/>
        <v>4.4778154666493923E-2</v>
      </c>
      <c r="AY568" s="13">
        <f t="shared" si="240"/>
        <v>9.0893733680692659E-2</v>
      </c>
      <c r="AZ568" s="13">
        <f t="shared" si="240"/>
        <v>0.11780671189139669</v>
      </c>
      <c r="BA568" s="13">
        <f t="shared" si="240"/>
        <v>0.16417555000595355</v>
      </c>
      <c r="BB568" s="13">
        <f t="shared" si="240"/>
        <v>0.10324977728094517</v>
      </c>
      <c r="BC568" s="13">
        <f t="shared" si="240"/>
        <v>9.0676109067247976E-2</v>
      </c>
      <c r="BD568" s="13">
        <f t="shared" si="240"/>
        <v>0.15855199969634354</v>
      </c>
      <c r="BE568" s="13">
        <f t="shared" si="240"/>
        <v>0.15428102129629545</v>
      </c>
      <c r="BF568" s="13">
        <f t="shared" si="240"/>
        <v>0.22349864360046309</v>
      </c>
      <c r="BG568" s="13">
        <f t="shared" si="240"/>
        <v>9.370290380500694E-2</v>
      </c>
      <c r="BH568" s="13">
        <f t="shared" si="240"/>
        <v>9.0765715264018804E-2</v>
      </c>
      <c r="BI568" s="13">
        <f t="shared" si="240"/>
        <v>0.12851576851069083</v>
      </c>
    </row>
    <row r="654" spans="41:49" x14ac:dyDescent="0.55000000000000004">
      <c r="AO654" s="1" t="s">
        <v>318</v>
      </c>
      <c r="AP654" s="13">
        <f>AVERAGE(AP2:AP565)</f>
        <v>1.4229206508158767</v>
      </c>
      <c r="AQ654" s="13"/>
      <c r="AR654" s="13"/>
      <c r="AS654" s="13"/>
      <c r="AT654" s="13"/>
      <c r="AU654" s="13">
        <f>AVERAGE(AU2:AU565)</f>
        <v>0.86853142445902431</v>
      </c>
      <c r="AV654" s="13">
        <f>AVERAGE(AV2:AV565)</f>
        <v>0.36015252050215696</v>
      </c>
      <c r="AW654" s="13">
        <f>AVERAGE(AW2:AW565)</f>
        <v>0.48921462697065432</v>
      </c>
    </row>
    <row r="655" spans="41:49" x14ac:dyDescent="0.55000000000000004">
      <c r="AO655" s="1" t="s">
        <v>319</v>
      </c>
      <c r="AP655" s="13">
        <f>_xlfn.STDEV.S(AP2:AP565)</f>
        <v>0.85009253975881804</v>
      </c>
      <c r="AQ655" s="13"/>
      <c r="AR655" s="13"/>
      <c r="AS655" s="13"/>
      <c r="AT655" s="13"/>
      <c r="AU655" s="13">
        <f>_xlfn.STDEV.S(AU2:AU565)</f>
        <v>0.10775458206802296</v>
      </c>
      <c r="AV655" s="13">
        <f>_xlfn.STDEV.S(AV2:AV565)</f>
        <v>0.17237025684385238</v>
      </c>
      <c r="AW655" s="13">
        <f>_xlfn.STDEV.S(AW2:AW565)</f>
        <v>0.14314064006490324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A7BE-3646-4901-829B-DCEC8BA4904C}">
  <dimension ref="A1:A564"/>
  <sheetViews>
    <sheetView topLeftCell="A485" workbookViewId="0">
      <selection activeCell="G280" sqref="G280"/>
    </sheetView>
  </sheetViews>
  <sheetFormatPr defaultRowHeight="14.4" x14ac:dyDescent="0.55000000000000004"/>
  <sheetData>
    <row r="1" spans="1:1" x14ac:dyDescent="0.55000000000000004">
      <c r="A1" s="2" t="s">
        <v>7</v>
      </c>
    </row>
    <row r="2" spans="1:1" x14ac:dyDescent="0.55000000000000004">
      <c r="A2" s="2" t="s">
        <v>484</v>
      </c>
    </row>
    <row r="3" spans="1:1" x14ac:dyDescent="0.55000000000000004">
      <c r="A3" s="2" t="s">
        <v>11</v>
      </c>
    </row>
    <row r="4" spans="1:1" x14ac:dyDescent="0.55000000000000004">
      <c r="A4" s="2" t="s">
        <v>321</v>
      </c>
    </row>
    <row r="5" spans="1:1" x14ac:dyDescent="0.55000000000000004">
      <c r="A5" s="2" t="s">
        <v>324</v>
      </c>
    </row>
    <row r="6" spans="1:1" x14ac:dyDescent="0.55000000000000004">
      <c r="A6" s="2" t="s">
        <v>326</v>
      </c>
    </row>
    <row r="7" spans="1:1" x14ac:dyDescent="0.55000000000000004">
      <c r="A7" s="2" t="s">
        <v>514</v>
      </c>
    </row>
    <row r="8" spans="1:1" x14ac:dyDescent="0.55000000000000004">
      <c r="A8" s="2" t="s">
        <v>517</v>
      </c>
    </row>
    <row r="9" spans="1:1" x14ac:dyDescent="0.55000000000000004">
      <c r="A9" s="2" t="s">
        <v>519</v>
      </c>
    </row>
    <row r="10" spans="1:1" x14ac:dyDescent="0.55000000000000004">
      <c r="A10" s="2" t="s">
        <v>521</v>
      </c>
    </row>
    <row r="11" spans="1:1" x14ac:dyDescent="0.55000000000000004">
      <c r="A11" s="2" t="s">
        <v>484</v>
      </c>
    </row>
    <row r="12" spans="1:1" x14ac:dyDescent="0.55000000000000004">
      <c r="A12" s="2" t="s">
        <v>11</v>
      </c>
    </row>
    <row r="13" spans="1:1" x14ac:dyDescent="0.55000000000000004">
      <c r="A13" s="2" t="s">
        <v>328</v>
      </c>
    </row>
    <row r="14" spans="1:1" x14ac:dyDescent="0.55000000000000004">
      <c r="A14" s="2" t="s">
        <v>330</v>
      </c>
    </row>
    <row r="15" spans="1:1" x14ac:dyDescent="0.55000000000000004">
      <c r="A15" s="2" t="s">
        <v>332</v>
      </c>
    </row>
    <row r="16" spans="1:1" x14ac:dyDescent="0.55000000000000004">
      <c r="A16" s="2" t="s">
        <v>334</v>
      </c>
    </row>
    <row r="17" spans="1:1" x14ac:dyDescent="0.55000000000000004">
      <c r="A17" s="2" t="s">
        <v>336</v>
      </c>
    </row>
    <row r="18" spans="1:1" x14ac:dyDescent="0.55000000000000004">
      <c r="A18" s="2" t="s">
        <v>338</v>
      </c>
    </row>
    <row r="19" spans="1:1" x14ac:dyDescent="0.55000000000000004">
      <c r="A19" s="2" t="s">
        <v>340</v>
      </c>
    </row>
    <row r="20" spans="1:1" x14ac:dyDescent="0.55000000000000004">
      <c r="A20" s="2" t="s">
        <v>342</v>
      </c>
    </row>
    <row r="21" spans="1:1" x14ac:dyDescent="0.55000000000000004">
      <c r="A21" s="2" t="s">
        <v>344</v>
      </c>
    </row>
    <row r="22" spans="1:1" x14ac:dyDescent="0.55000000000000004">
      <c r="A22" s="2" t="s">
        <v>346</v>
      </c>
    </row>
    <row r="23" spans="1:1" x14ac:dyDescent="0.55000000000000004">
      <c r="A23" s="2" t="s">
        <v>14</v>
      </c>
    </row>
    <row r="24" spans="1:1" x14ac:dyDescent="0.55000000000000004">
      <c r="A24" s="2" t="s">
        <v>16</v>
      </c>
    </row>
    <row r="25" spans="1:1" x14ac:dyDescent="0.55000000000000004">
      <c r="A25" s="2" t="s">
        <v>348</v>
      </c>
    </row>
    <row r="26" spans="1:1" x14ac:dyDescent="0.55000000000000004">
      <c r="A26" s="2" t="s">
        <v>18</v>
      </c>
    </row>
    <row r="27" spans="1:1" x14ac:dyDescent="0.55000000000000004">
      <c r="A27" s="2" t="s">
        <v>346</v>
      </c>
    </row>
    <row r="28" spans="1:1" x14ac:dyDescent="0.55000000000000004">
      <c r="A28" s="2" t="s">
        <v>523</v>
      </c>
    </row>
    <row r="29" spans="1:1" x14ac:dyDescent="0.55000000000000004">
      <c r="A29" s="2" t="s">
        <v>20</v>
      </c>
    </row>
    <row r="30" spans="1:1" x14ac:dyDescent="0.55000000000000004">
      <c r="A30" s="2" t="s">
        <v>488</v>
      </c>
    </row>
    <row r="31" spans="1:1" x14ac:dyDescent="0.55000000000000004">
      <c r="A31" s="2" t="s">
        <v>22</v>
      </c>
    </row>
    <row r="32" spans="1:1" x14ac:dyDescent="0.55000000000000004">
      <c r="A32" s="2" t="s">
        <v>24</v>
      </c>
    </row>
    <row r="33" spans="1:1" x14ac:dyDescent="0.55000000000000004">
      <c r="A33" s="2" t="s">
        <v>26</v>
      </c>
    </row>
    <row r="34" spans="1:1" x14ac:dyDescent="0.55000000000000004">
      <c r="A34" s="2" t="s">
        <v>28</v>
      </c>
    </row>
    <row r="35" spans="1:1" x14ac:dyDescent="0.55000000000000004">
      <c r="A35" s="2" t="s">
        <v>30</v>
      </c>
    </row>
    <row r="36" spans="1:1" x14ac:dyDescent="0.55000000000000004">
      <c r="A36" s="2" t="s">
        <v>32</v>
      </c>
    </row>
    <row r="37" spans="1:1" x14ac:dyDescent="0.55000000000000004">
      <c r="A37" s="2" t="s">
        <v>34</v>
      </c>
    </row>
    <row r="38" spans="1:1" x14ac:dyDescent="0.55000000000000004">
      <c r="A38" s="2" t="s">
        <v>36</v>
      </c>
    </row>
    <row r="39" spans="1:1" x14ac:dyDescent="0.55000000000000004">
      <c r="A39" s="2" t="s">
        <v>38</v>
      </c>
    </row>
    <row r="40" spans="1:1" x14ac:dyDescent="0.55000000000000004">
      <c r="A40" s="2" t="s">
        <v>24</v>
      </c>
    </row>
    <row r="41" spans="1:1" x14ac:dyDescent="0.55000000000000004">
      <c r="A41" s="2" t="s">
        <v>351</v>
      </c>
    </row>
    <row r="42" spans="1:1" x14ac:dyDescent="0.55000000000000004">
      <c r="A42" s="2" t="s">
        <v>353</v>
      </c>
    </row>
    <row r="43" spans="1:1" x14ac:dyDescent="0.55000000000000004">
      <c r="A43" s="2" t="s">
        <v>355</v>
      </c>
    </row>
    <row r="44" spans="1:1" x14ac:dyDescent="0.55000000000000004">
      <c r="A44" s="2" t="s">
        <v>357</v>
      </c>
    </row>
    <row r="45" spans="1:1" x14ac:dyDescent="0.55000000000000004">
      <c r="A45" s="2" t="s">
        <v>41</v>
      </c>
    </row>
    <row r="46" spans="1:1" x14ac:dyDescent="0.55000000000000004">
      <c r="A46" s="2" t="s">
        <v>43</v>
      </c>
    </row>
    <row r="47" spans="1:1" x14ac:dyDescent="0.55000000000000004">
      <c r="A47" s="2" t="s">
        <v>45</v>
      </c>
    </row>
    <row r="48" spans="1:1" x14ac:dyDescent="0.55000000000000004">
      <c r="A48" s="2" t="s">
        <v>47</v>
      </c>
    </row>
    <row r="49" spans="1:1" x14ac:dyDescent="0.55000000000000004">
      <c r="A49" s="2" t="s">
        <v>36</v>
      </c>
    </row>
    <row r="50" spans="1:1" x14ac:dyDescent="0.55000000000000004">
      <c r="A50" s="2" t="s">
        <v>50</v>
      </c>
    </row>
    <row r="51" spans="1:1" x14ac:dyDescent="0.55000000000000004">
      <c r="A51" s="2" t="s">
        <v>45</v>
      </c>
    </row>
    <row r="52" spans="1:1" x14ac:dyDescent="0.55000000000000004">
      <c r="A52" s="2" t="s">
        <v>54</v>
      </c>
    </row>
    <row r="53" spans="1:1" x14ac:dyDescent="0.55000000000000004">
      <c r="A53" s="2" t="s">
        <v>56</v>
      </c>
    </row>
    <row r="54" spans="1:1" x14ac:dyDescent="0.55000000000000004">
      <c r="A54" s="2" t="s">
        <v>58</v>
      </c>
    </row>
    <row r="55" spans="1:1" x14ac:dyDescent="0.55000000000000004">
      <c r="A55" s="2" t="s">
        <v>359</v>
      </c>
    </row>
    <row r="56" spans="1:1" x14ac:dyDescent="0.55000000000000004">
      <c r="A56" s="2" t="s">
        <v>361</v>
      </c>
    </row>
    <row r="57" spans="1:1" x14ac:dyDescent="0.55000000000000004">
      <c r="A57" s="2" t="s">
        <v>363</v>
      </c>
    </row>
    <row r="58" spans="1:1" x14ac:dyDescent="0.55000000000000004">
      <c r="A58" s="2" t="s">
        <v>60</v>
      </c>
    </row>
    <row r="59" spans="1:1" x14ac:dyDescent="0.55000000000000004">
      <c r="A59" s="2" t="s">
        <v>62</v>
      </c>
    </row>
    <row r="60" spans="1:1" x14ac:dyDescent="0.55000000000000004">
      <c r="A60" s="2" t="s">
        <v>64</v>
      </c>
    </row>
    <row r="61" spans="1:1" x14ac:dyDescent="0.55000000000000004">
      <c r="A61" s="2" t="s">
        <v>365</v>
      </c>
    </row>
    <row r="62" spans="1:1" x14ac:dyDescent="0.55000000000000004">
      <c r="A62" s="2" t="s">
        <v>490</v>
      </c>
    </row>
    <row r="63" spans="1:1" x14ac:dyDescent="0.55000000000000004">
      <c r="A63" s="2" t="s">
        <v>66</v>
      </c>
    </row>
    <row r="64" spans="1:1" x14ac:dyDescent="0.55000000000000004">
      <c r="A64" s="2" t="s">
        <v>367</v>
      </c>
    </row>
    <row r="65" spans="1:1" x14ac:dyDescent="0.55000000000000004">
      <c r="A65" s="2" t="s">
        <v>56</v>
      </c>
    </row>
    <row r="66" spans="1:1" x14ac:dyDescent="0.55000000000000004">
      <c r="A66" s="2" t="s">
        <v>490</v>
      </c>
    </row>
    <row r="67" spans="1:1" x14ac:dyDescent="0.55000000000000004">
      <c r="A67" s="2" t="s">
        <v>493</v>
      </c>
    </row>
    <row r="68" spans="1:1" x14ac:dyDescent="0.55000000000000004">
      <c r="A68" s="2" t="s">
        <v>369</v>
      </c>
    </row>
    <row r="69" spans="1:1" x14ac:dyDescent="0.55000000000000004">
      <c r="A69" s="2" t="s">
        <v>371</v>
      </c>
    </row>
    <row r="70" spans="1:1" x14ac:dyDescent="0.55000000000000004">
      <c r="A70" s="2" t="s">
        <v>373</v>
      </c>
    </row>
    <row r="71" spans="1:1" x14ac:dyDescent="0.55000000000000004">
      <c r="A71" s="2" t="s">
        <v>375</v>
      </c>
    </row>
    <row r="72" spans="1:1" x14ac:dyDescent="0.55000000000000004">
      <c r="A72" s="2" t="s">
        <v>377</v>
      </c>
    </row>
    <row r="73" spans="1:1" x14ac:dyDescent="0.55000000000000004">
      <c r="A73" s="2" t="s">
        <v>379</v>
      </c>
    </row>
    <row r="74" spans="1:1" x14ac:dyDescent="0.55000000000000004">
      <c r="A74" s="2" t="s">
        <v>69</v>
      </c>
    </row>
    <row r="75" spans="1:1" x14ac:dyDescent="0.55000000000000004">
      <c r="A75" s="2" t="s">
        <v>381</v>
      </c>
    </row>
    <row r="76" spans="1:1" x14ac:dyDescent="0.55000000000000004">
      <c r="A76" s="2" t="s">
        <v>495</v>
      </c>
    </row>
    <row r="77" spans="1:1" x14ac:dyDescent="0.55000000000000004">
      <c r="A77" s="2" t="s">
        <v>525</v>
      </c>
    </row>
    <row r="78" spans="1:1" x14ac:dyDescent="0.55000000000000004">
      <c r="A78" s="2" t="s">
        <v>69</v>
      </c>
    </row>
    <row r="79" spans="1:1" x14ac:dyDescent="0.55000000000000004">
      <c r="A79" s="2" t="s">
        <v>72</v>
      </c>
    </row>
    <row r="80" spans="1:1" x14ac:dyDescent="0.55000000000000004">
      <c r="A80" s="2" t="s">
        <v>74</v>
      </c>
    </row>
    <row r="81" spans="1:1" x14ac:dyDescent="0.55000000000000004">
      <c r="A81" s="2" t="s">
        <v>76</v>
      </c>
    </row>
    <row r="82" spans="1:1" x14ac:dyDescent="0.55000000000000004">
      <c r="A82" s="2" t="s">
        <v>78</v>
      </c>
    </row>
    <row r="83" spans="1:1" x14ac:dyDescent="0.55000000000000004">
      <c r="A83" s="2" t="s">
        <v>80</v>
      </c>
    </row>
    <row r="84" spans="1:1" x14ac:dyDescent="0.55000000000000004">
      <c r="A84" s="2" t="s">
        <v>82</v>
      </c>
    </row>
    <row r="85" spans="1:1" x14ac:dyDescent="0.55000000000000004">
      <c r="A85" s="2" t="s">
        <v>84</v>
      </c>
    </row>
    <row r="86" spans="1:1" x14ac:dyDescent="0.55000000000000004">
      <c r="A86" s="2" t="s">
        <v>383</v>
      </c>
    </row>
    <row r="87" spans="1:1" x14ac:dyDescent="0.55000000000000004">
      <c r="A87" s="2" t="s">
        <v>527</v>
      </c>
    </row>
    <row r="88" spans="1:1" x14ac:dyDescent="0.55000000000000004">
      <c r="A88" s="2" t="s">
        <v>385</v>
      </c>
    </row>
    <row r="89" spans="1:1" x14ac:dyDescent="0.55000000000000004">
      <c r="A89" s="2" t="s">
        <v>86</v>
      </c>
    </row>
    <row r="90" spans="1:1" x14ac:dyDescent="0.55000000000000004">
      <c r="A90" s="2" t="s">
        <v>88</v>
      </c>
    </row>
    <row r="91" spans="1:1" x14ac:dyDescent="0.55000000000000004">
      <c r="A91" s="2" t="s">
        <v>84</v>
      </c>
    </row>
    <row r="92" spans="1:1" x14ac:dyDescent="0.55000000000000004">
      <c r="A92" s="2" t="s">
        <v>91</v>
      </c>
    </row>
    <row r="93" spans="1:1" x14ac:dyDescent="0.55000000000000004">
      <c r="A93" s="2" t="s">
        <v>93</v>
      </c>
    </row>
    <row r="94" spans="1:1" x14ac:dyDescent="0.55000000000000004">
      <c r="A94" s="2" t="s">
        <v>95</v>
      </c>
    </row>
    <row r="95" spans="1:1" x14ac:dyDescent="0.55000000000000004">
      <c r="A95" s="2" t="s">
        <v>97</v>
      </c>
    </row>
    <row r="96" spans="1:1" x14ac:dyDescent="0.55000000000000004">
      <c r="A96" s="2" t="s">
        <v>84</v>
      </c>
    </row>
    <row r="97" spans="1:1" x14ac:dyDescent="0.55000000000000004">
      <c r="A97" s="2" t="s">
        <v>100</v>
      </c>
    </row>
    <row r="98" spans="1:1" x14ac:dyDescent="0.55000000000000004">
      <c r="A98" s="2" t="s">
        <v>102</v>
      </c>
    </row>
    <row r="99" spans="1:1" x14ac:dyDescent="0.55000000000000004">
      <c r="A99" s="2" t="s">
        <v>529</v>
      </c>
    </row>
    <row r="100" spans="1:1" x14ac:dyDescent="0.55000000000000004">
      <c r="A100" s="2" t="s">
        <v>531</v>
      </c>
    </row>
    <row r="101" spans="1:1" x14ac:dyDescent="0.55000000000000004">
      <c r="A101" s="2" t="s">
        <v>104</v>
      </c>
    </row>
    <row r="102" spans="1:1" x14ac:dyDescent="0.55000000000000004">
      <c r="A102" s="2" t="s">
        <v>533</v>
      </c>
    </row>
    <row r="103" spans="1:1" x14ac:dyDescent="0.55000000000000004">
      <c r="A103" s="2" t="s">
        <v>535</v>
      </c>
    </row>
    <row r="104" spans="1:1" x14ac:dyDescent="0.55000000000000004">
      <c r="A104" s="2" t="s">
        <v>497</v>
      </c>
    </row>
    <row r="105" spans="1:1" x14ac:dyDescent="0.55000000000000004">
      <c r="A105" s="2" t="s">
        <v>499</v>
      </c>
    </row>
    <row r="106" spans="1:1" x14ac:dyDescent="0.55000000000000004">
      <c r="A106" s="2" t="s">
        <v>537</v>
      </c>
    </row>
    <row r="107" spans="1:1" x14ac:dyDescent="0.55000000000000004">
      <c r="A107" s="2" t="s">
        <v>106</v>
      </c>
    </row>
    <row r="108" spans="1:1" x14ac:dyDescent="0.55000000000000004">
      <c r="A108" s="2" t="s">
        <v>108</v>
      </c>
    </row>
    <row r="109" spans="1:1" x14ac:dyDescent="0.55000000000000004">
      <c r="A109" s="2" t="s">
        <v>110</v>
      </c>
    </row>
    <row r="110" spans="1:1" x14ac:dyDescent="0.55000000000000004">
      <c r="A110" s="2" t="s">
        <v>112</v>
      </c>
    </row>
    <row r="111" spans="1:1" x14ac:dyDescent="0.55000000000000004">
      <c r="A111" s="2" t="s">
        <v>114</v>
      </c>
    </row>
    <row r="112" spans="1:1" x14ac:dyDescent="0.55000000000000004">
      <c r="A112" s="2" t="s">
        <v>116</v>
      </c>
    </row>
    <row r="113" spans="1:1" x14ac:dyDescent="0.55000000000000004">
      <c r="A113" s="2" t="s">
        <v>118</v>
      </c>
    </row>
    <row r="114" spans="1:1" x14ac:dyDescent="0.55000000000000004">
      <c r="A114" s="2" t="s">
        <v>120</v>
      </c>
    </row>
    <row r="115" spans="1:1" x14ac:dyDescent="0.55000000000000004">
      <c r="A115" s="2" t="s">
        <v>122</v>
      </c>
    </row>
    <row r="116" spans="1:1" x14ac:dyDescent="0.55000000000000004">
      <c r="A116" s="2" t="s">
        <v>124</v>
      </c>
    </row>
    <row r="117" spans="1:1" x14ac:dyDescent="0.55000000000000004">
      <c r="A117" s="2" t="s">
        <v>126</v>
      </c>
    </row>
    <row r="118" spans="1:1" x14ac:dyDescent="0.55000000000000004">
      <c r="A118" s="2" t="s">
        <v>128</v>
      </c>
    </row>
    <row r="119" spans="1:1" x14ac:dyDescent="0.55000000000000004">
      <c r="A119" s="2" t="s">
        <v>130</v>
      </c>
    </row>
    <row r="120" spans="1:1" x14ac:dyDescent="0.55000000000000004">
      <c r="A120" s="2" t="s">
        <v>130</v>
      </c>
    </row>
    <row r="121" spans="1:1" x14ac:dyDescent="0.55000000000000004">
      <c r="A121" s="2" t="s">
        <v>387</v>
      </c>
    </row>
    <row r="122" spans="1:1" x14ac:dyDescent="0.55000000000000004">
      <c r="A122" s="2" t="s">
        <v>133</v>
      </c>
    </row>
    <row r="123" spans="1:1" x14ac:dyDescent="0.55000000000000004">
      <c r="A123" s="2" t="s">
        <v>136</v>
      </c>
    </row>
    <row r="124" spans="1:1" x14ac:dyDescent="0.55000000000000004">
      <c r="A124" s="2" t="s">
        <v>138</v>
      </c>
    </row>
    <row r="125" spans="1:1" x14ac:dyDescent="0.55000000000000004">
      <c r="A125" s="2" t="s">
        <v>140</v>
      </c>
    </row>
    <row r="126" spans="1:1" x14ac:dyDescent="0.55000000000000004">
      <c r="A126" s="2" t="s">
        <v>142</v>
      </c>
    </row>
    <row r="127" spans="1:1" x14ac:dyDescent="0.55000000000000004">
      <c r="A127" s="2" t="s">
        <v>501</v>
      </c>
    </row>
    <row r="128" spans="1:1" x14ac:dyDescent="0.55000000000000004">
      <c r="A128" s="2" t="s">
        <v>144</v>
      </c>
    </row>
    <row r="129" spans="1:1" x14ac:dyDescent="0.55000000000000004">
      <c r="A129" s="2" t="s">
        <v>146</v>
      </c>
    </row>
    <row r="130" spans="1:1" x14ac:dyDescent="0.55000000000000004">
      <c r="A130" s="2" t="s">
        <v>148</v>
      </c>
    </row>
    <row r="131" spans="1:1" x14ac:dyDescent="0.55000000000000004">
      <c r="A131" s="2" t="s">
        <v>150</v>
      </c>
    </row>
    <row r="132" spans="1:1" x14ac:dyDescent="0.55000000000000004">
      <c r="A132" s="2" t="s">
        <v>389</v>
      </c>
    </row>
    <row r="133" spans="1:1" x14ac:dyDescent="0.55000000000000004">
      <c r="A133" s="2" t="s">
        <v>391</v>
      </c>
    </row>
    <row r="134" spans="1:1" x14ac:dyDescent="0.55000000000000004">
      <c r="A134" s="2" t="s">
        <v>152</v>
      </c>
    </row>
    <row r="135" spans="1:1" x14ac:dyDescent="0.55000000000000004">
      <c r="A135" s="2" t="s">
        <v>154</v>
      </c>
    </row>
    <row r="136" spans="1:1" x14ac:dyDescent="0.55000000000000004">
      <c r="A136" s="2" t="s">
        <v>156</v>
      </c>
    </row>
    <row r="137" spans="1:1" x14ac:dyDescent="0.55000000000000004">
      <c r="A137" s="2" t="s">
        <v>158</v>
      </c>
    </row>
    <row r="138" spans="1:1" x14ac:dyDescent="0.55000000000000004">
      <c r="A138" s="2" t="s">
        <v>160</v>
      </c>
    </row>
    <row r="139" spans="1:1" x14ac:dyDescent="0.55000000000000004">
      <c r="A139" s="2" t="s">
        <v>162</v>
      </c>
    </row>
    <row r="140" spans="1:1" x14ac:dyDescent="0.55000000000000004">
      <c r="A140" s="2" t="s">
        <v>156</v>
      </c>
    </row>
    <row r="141" spans="1:1" x14ac:dyDescent="0.55000000000000004">
      <c r="A141" s="2" t="s">
        <v>393</v>
      </c>
    </row>
    <row r="142" spans="1:1" x14ac:dyDescent="0.55000000000000004">
      <c r="A142" s="2" t="s">
        <v>165</v>
      </c>
    </row>
    <row r="143" spans="1:1" x14ac:dyDescent="0.55000000000000004">
      <c r="A143" s="2" t="s">
        <v>167</v>
      </c>
    </row>
    <row r="144" spans="1:1" x14ac:dyDescent="0.55000000000000004">
      <c r="A144" s="2" t="s">
        <v>169</v>
      </c>
    </row>
    <row r="145" spans="1:1" x14ac:dyDescent="0.55000000000000004">
      <c r="A145" s="2" t="s">
        <v>172</v>
      </c>
    </row>
    <row r="146" spans="1:1" x14ac:dyDescent="0.55000000000000004">
      <c r="A146" s="2" t="s">
        <v>174</v>
      </c>
    </row>
    <row r="147" spans="1:1" x14ac:dyDescent="0.55000000000000004">
      <c r="A147" s="2" t="s">
        <v>176</v>
      </c>
    </row>
    <row r="148" spans="1:1" x14ac:dyDescent="0.55000000000000004">
      <c r="A148" s="2" t="s">
        <v>178</v>
      </c>
    </row>
    <row r="149" spans="1:1" x14ac:dyDescent="0.55000000000000004">
      <c r="A149" s="2" t="s">
        <v>180</v>
      </c>
    </row>
    <row r="150" spans="1:1" x14ac:dyDescent="0.55000000000000004">
      <c r="A150" s="2" t="s">
        <v>182</v>
      </c>
    </row>
    <row r="151" spans="1:1" x14ac:dyDescent="0.55000000000000004">
      <c r="A151" s="2" t="s">
        <v>539</v>
      </c>
    </row>
    <row r="152" spans="1:1" x14ac:dyDescent="0.55000000000000004">
      <c r="A152" s="2" t="s">
        <v>184</v>
      </c>
    </row>
    <row r="153" spans="1:1" x14ac:dyDescent="0.55000000000000004">
      <c r="A153" s="2" t="s">
        <v>186</v>
      </c>
    </row>
    <row r="154" spans="1:1" x14ac:dyDescent="0.55000000000000004">
      <c r="A154" s="2" t="s">
        <v>169</v>
      </c>
    </row>
    <row r="155" spans="1:1" x14ac:dyDescent="0.55000000000000004">
      <c r="A155" s="2" t="s">
        <v>189</v>
      </c>
    </row>
    <row r="156" spans="1:1" x14ac:dyDescent="0.55000000000000004">
      <c r="A156" s="2" t="s">
        <v>395</v>
      </c>
    </row>
    <row r="157" spans="1:1" x14ac:dyDescent="0.55000000000000004">
      <c r="A157" s="2" t="s">
        <v>397</v>
      </c>
    </row>
    <row r="158" spans="1:1" x14ac:dyDescent="0.55000000000000004">
      <c r="A158" s="2" t="s">
        <v>399</v>
      </c>
    </row>
    <row r="159" spans="1:1" x14ac:dyDescent="0.55000000000000004">
      <c r="A159" s="2" t="s">
        <v>401</v>
      </c>
    </row>
    <row r="160" spans="1:1" x14ac:dyDescent="0.55000000000000004">
      <c r="A160" s="2" t="s">
        <v>191</v>
      </c>
    </row>
    <row r="161" spans="1:1" x14ac:dyDescent="0.55000000000000004">
      <c r="A161" s="2" t="s">
        <v>403</v>
      </c>
    </row>
    <row r="162" spans="1:1" x14ac:dyDescent="0.55000000000000004">
      <c r="A162" s="2" t="s">
        <v>405</v>
      </c>
    </row>
    <row r="163" spans="1:1" x14ac:dyDescent="0.55000000000000004">
      <c r="A163" s="2" t="s">
        <v>407</v>
      </c>
    </row>
    <row r="164" spans="1:1" x14ac:dyDescent="0.55000000000000004">
      <c r="A164" s="2" t="s">
        <v>409</v>
      </c>
    </row>
    <row r="165" spans="1:1" x14ac:dyDescent="0.55000000000000004">
      <c r="A165" s="2" t="s">
        <v>411</v>
      </c>
    </row>
    <row r="166" spans="1:1" x14ac:dyDescent="0.55000000000000004">
      <c r="A166" s="2" t="s">
        <v>413</v>
      </c>
    </row>
    <row r="167" spans="1:1" x14ac:dyDescent="0.55000000000000004">
      <c r="A167" s="2" t="s">
        <v>415</v>
      </c>
    </row>
    <row r="168" spans="1:1" x14ac:dyDescent="0.55000000000000004">
      <c r="A168" s="2" t="s">
        <v>417</v>
      </c>
    </row>
    <row r="169" spans="1:1" x14ac:dyDescent="0.55000000000000004">
      <c r="A169" s="2" t="s">
        <v>193</v>
      </c>
    </row>
    <row r="170" spans="1:1" x14ac:dyDescent="0.55000000000000004">
      <c r="A170" s="2" t="s">
        <v>195</v>
      </c>
    </row>
    <row r="171" spans="1:1" x14ac:dyDescent="0.55000000000000004">
      <c r="A171" s="2" t="s">
        <v>541</v>
      </c>
    </row>
    <row r="172" spans="1:1" x14ac:dyDescent="0.55000000000000004">
      <c r="A172" s="2" t="s">
        <v>503</v>
      </c>
    </row>
    <row r="173" spans="1:1" x14ac:dyDescent="0.55000000000000004">
      <c r="A173" s="2" t="s">
        <v>197</v>
      </c>
    </row>
    <row r="174" spans="1:1" x14ac:dyDescent="0.55000000000000004">
      <c r="A174" s="2" t="s">
        <v>419</v>
      </c>
    </row>
    <row r="175" spans="1:1" x14ac:dyDescent="0.55000000000000004">
      <c r="A175" s="2" t="s">
        <v>421</v>
      </c>
    </row>
    <row r="176" spans="1:1" x14ac:dyDescent="0.55000000000000004">
      <c r="A176" s="2" t="s">
        <v>543</v>
      </c>
    </row>
    <row r="177" spans="1:1" x14ac:dyDescent="0.55000000000000004">
      <c r="A177" s="2" t="s">
        <v>423</v>
      </c>
    </row>
    <row r="178" spans="1:1" x14ac:dyDescent="0.55000000000000004">
      <c r="A178" s="2" t="s">
        <v>425</v>
      </c>
    </row>
    <row r="179" spans="1:1" x14ac:dyDescent="0.55000000000000004">
      <c r="A179" s="2" t="s">
        <v>427</v>
      </c>
    </row>
    <row r="180" spans="1:1" x14ac:dyDescent="0.55000000000000004">
      <c r="A180" s="2" t="s">
        <v>429</v>
      </c>
    </row>
    <row r="181" spans="1:1" x14ac:dyDescent="0.55000000000000004">
      <c r="A181" s="2" t="s">
        <v>431</v>
      </c>
    </row>
    <row r="182" spans="1:1" x14ac:dyDescent="0.55000000000000004">
      <c r="A182" s="2" t="s">
        <v>199</v>
      </c>
    </row>
    <row r="183" spans="1:1" x14ac:dyDescent="0.55000000000000004">
      <c r="A183" s="2" t="s">
        <v>201</v>
      </c>
    </row>
    <row r="184" spans="1:1" x14ac:dyDescent="0.55000000000000004">
      <c r="A184" s="2" t="s">
        <v>203</v>
      </c>
    </row>
    <row r="185" spans="1:1" x14ac:dyDescent="0.55000000000000004">
      <c r="A185" s="2" t="s">
        <v>205</v>
      </c>
    </row>
    <row r="186" spans="1:1" x14ac:dyDescent="0.55000000000000004">
      <c r="A186" s="2" t="s">
        <v>207</v>
      </c>
    </row>
    <row r="187" spans="1:1" x14ac:dyDescent="0.55000000000000004">
      <c r="A187" s="2" t="s">
        <v>545</v>
      </c>
    </row>
    <row r="188" spans="1:1" x14ac:dyDescent="0.55000000000000004">
      <c r="A188" s="2" t="s">
        <v>209</v>
      </c>
    </row>
    <row r="189" spans="1:1" x14ac:dyDescent="0.55000000000000004">
      <c r="A189" s="2" t="s">
        <v>211</v>
      </c>
    </row>
    <row r="190" spans="1:1" x14ac:dyDescent="0.55000000000000004">
      <c r="A190" s="2" t="s">
        <v>547</v>
      </c>
    </row>
    <row r="191" spans="1:1" x14ac:dyDescent="0.55000000000000004">
      <c r="A191" s="2" t="s">
        <v>213</v>
      </c>
    </row>
    <row r="192" spans="1:1" x14ac:dyDescent="0.55000000000000004">
      <c r="A192" s="2" t="s">
        <v>433</v>
      </c>
    </row>
    <row r="193" spans="1:1" x14ac:dyDescent="0.55000000000000004">
      <c r="A193" s="2" t="s">
        <v>215</v>
      </c>
    </row>
    <row r="194" spans="1:1" x14ac:dyDescent="0.55000000000000004">
      <c r="A194" s="2" t="s">
        <v>435</v>
      </c>
    </row>
    <row r="195" spans="1:1" x14ac:dyDescent="0.55000000000000004">
      <c r="A195" s="2" t="s">
        <v>217</v>
      </c>
    </row>
    <row r="196" spans="1:1" x14ac:dyDescent="0.55000000000000004">
      <c r="A196" s="2" t="s">
        <v>219</v>
      </c>
    </row>
    <row r="197" spans="1:1" x14ac:dyDescent="0.55000000000000004">
      <c r="A197" s="2" t="s">
        <v>221</v>
      </c>
    </row>
    <row r="198" spans="1:1" x14ac:dyDescent="0.55000000000000004">
      <c r="A198" s="2" t="s">
        <v>223</v>
      </c>
    </row>
    <row r="199" spans="1:1" x14ac:dyDescent="0.55000000000000004">
      <c r="A199" s="2" t="s">
        <v>225</v>
      </c>
    </row>
    <row r="200" spans="1:1" x14ac:dyDescent="0.55000000000000004">
      <c r="A200" s="2" t="s">
        <v>227</v>
      </c>
    </row>
    <row r="201" spans="1:1" x14ac:dyDescent="0.55000000000000004">
      <c r="A201" s="2" t="s">
        <v>229</v>
      </c>
    </row>
    <row r="202" spans="1:1" x14ac:dyDescent="0.55000000000000004">
      <c r="A202" s="2" t="s">
        <v>437</v>
      </c>
    </row>
    <row r="203" spans="1:1" x14ac:dyDescent="0.55000000000000004">
      <c r="A203" s="2" t="s">
        <v>231</v>
      </c>
    </row>
    <row r="204" spans="1:1" x14ac:dyDescent="0.55000000000000004">
      <c r="A204" s="2" t="s">
        <v>231</v>
      </c>
    </row>
    <row r="205" spans="1:1" x14ac:dyDescent="0.55000000000000004">
      <c r="A205" s="2" t="s">
        <v>439</v>
      </c>
    </row>
    <row r="206" spans="1:1" x14ac:dyDescent="0.55000000000000004">
      <c r="A206" s="2" t="s">
        <v>231</v>
      </c>
    </row>
    <row r="207" spans="1:1" x14ac:dyDescent="0.55000000000000004">
      <c r="A207" s="2" t="s">
        <v>229</v>
      </c>
    </row>
    <row r="208" spans="1:1" x14ac:dyDescent="0.55000000000000004">
      <c r="A208" s="2" t="s">
        <v>441</v>
      </c>
    </row>
    <row r="209" spans="1:1" x14ac:dyDescent="0.55000000000000004">
      <c r="A209" s="2" t="s">
        <v>443</v>
      </c>
    </row>
    <row r="210" spans="1:1" x14ac:dyDescent="0.55000000000000004">
      <c r="A210" s="2" t="s">
        <v>236</v>
      </c>
    </row>
    <row r="211" spans="1:1" x14ac:dyDescent="0.55000000000000004">
      <c r="A211" s="2" t="s">
        <v>238</v>
      </c>
    </row>
    <row r="212" spans="1:1" x14ac:dyDescent="0.55000000000000004">
      <c r="A212" s="2" t="s">
        <v>587</v>
      </c>
    </row>
    <row r="213" spans="1:1" x14ac:dyDescent="0.55000000000000004">
      <c r="A213" s="2" t="s">
        <v>589</v>
      </c>
    </row>
    <row r="214" spans="1:1" x14ac:dyDescent="0.55000000000000004">
      <c r="A214" s="2" t="s">
        <v>591</v>
      </c>
    </row>
    <row r="215" spans="1:1" x14ac:dyDescent="0.55000000000000004">
      <c r="A215" s="2" t="s">
        <v>593</v>
      </c>
    </row>
    <row r="216" spans="1:1" x14ac:dyDescent="0.55000000000000004">
      <c r="A216" s="2" t="s">
        <v>595</v>
      </c>
    </row>
    <row r="217" spans="1:1" x14ac:dyDescent="0.55000000000000004">
      <c r="A217" s="2" t="s">
        <v>597</v>
      </c>
    </row>
    <row r="218" spans="1:1" x14ac:dyDescent="0.55000000000000004">
      <c r="A218" s="2" t="s">
        <v>599</v>
      </c>
    </row>
    <row r="219" spans="1:1" x14ac:dyDescent="0.55000000000000004">
      <c r="A219" s="2" t="s">
        <v>601</v>
      </c>
    </row>
    <row r="220" spans="1:1" x14ac:dyDescent="0.55000000000000004">
      <c r="A220" s="2" t="s">
        <v>603</v>
      </c>
    </row>
    <row r="221" spans="1:1" x14ac:dyDescent="0.55000000000000004">
      <c r="A221" s="2" t="s">
        <v>605</v>
      </c>
    </row>
    <row r="222" spans="1:1" x14ac:dyDescent="0.55000000000000004">
      <c r="A222" s="2" t="s">
        <v>607</v>
      </c>
    </row>
    <row r="223" spans="1:1" x14ac:dyDescent="0.55000000000000004">
      <c r="A223" s="2" t="s">
        <v>605</v>
      </c>
    </row>
    <row r="224" spans="1:1" x14ac:dyDescent="0.55000000000000004">
      <c r="A224" s="2" t="s">
        <v>610</v>
      </c>
    </row>
    <row r="225" spans="1:1" x14ac:dyDescent="0.55000000000000004">
      <c r="A225" s="2" t="s">
        <v>612</v>
      </c>
    </row>
    <row r="226" spans="1:1" x14ac:dyDescent="0.55000000000000004">
      <c r="A226" s="2" t="s">
        <v>614</v>
      </c>
    </row>
    <row r="227" spans="1:1" x14ac:dyDescent="0.55000000000000004">
      <c r="A227" s="2" t="s">
        <v>616</v>
      </c>
    </row>
    <row r="228" spans="1:1" x14ac:dyDescent="0.55000000000000004">
      <c r="A228" s="2" t="s">
        <v>618</v>
      </c>
    </row>
    <row r="229" spans="1:1" x14ac:dyDescent="0.55000000000000004">
      <c r="A229" s="2" t="s">
        <v>620</v>
      </c>
    </row>
    <row r="230" spans="1:1" x14ac:dyDescent="0.55000000000000004">
      <c r="A230" s="2" t="s">
        <v>622</v>
      </c>
    </row>
    <row r="231" spans="1:1" x14ac:dyDescent="0.55000000000000004">
      <c r="A231" s="2" t="s">
        <v>624</v>
      </c>
    </row>
    <row r="232" spans="1:1" x14ac:dyDescent="0.55000000000000004">
      <c r="A232" s="2" t="s">
        <v>626</v>
      </c>
    </row>
    <row r="233" spans="1:1" x14ac:dyDescent="0.55000000000000004">
      <c r="A233" s="2" t="s">
        <v>628</v>
      </c>
    </row>
    <row r="234" spans="1:1" x14ac:dyDescent="0.55000000000000004">
      <c r="A234" s="2" t="s">
        <v>630</v>
      </c>
    </row>
    <row r="235" spans="1:1" x14ac:dyDescent="0.55000000000000004">
      <c r="A235" s="2" t="s">
        <v>632</v>
      </c>
    </row>
    <row r="236" spans="1:1" x14ac:dyDescent="0.55000000000000004">
      <c r="A236" s="2" t="s">
        <v>634</v>
      </c>
    </row>
    <row r="237" spans="1:1" x14ac:dyDescent="0.55000000000000004">
      <c r="A237" s="2" t="s">
        <v>636</v>
      </c>
    </row>
    <row r="238" spans="1:1" x14ac:dyDescent="0.55000000000000004">
      <c r="A238" s="2" t="s">
        <v>638</v>
      </c>
    </row>
    <row r="239" spans="1:1" x14ac:dyDescent="0.55000000000000004">
      <c r="A239" s="2" t="s">
        <v>640</v>
      </c>
    </row>
    <row r="240" spans="1:1" x14ac:dyDescent="0.55000000000000004">
      <c r="A240" s="2" t="s">
        <v>642</v>
      </c>
    </row>
    <row r="241" spans="1:1" x14ac:dyDescent="0.55000000000000004">
      <c r="A241" s="2" t="s">
        <v>644</v>
      </c>
    </row>
    <row r="242" spans="1:1" x14ac:dyDescent="0.55000000000000004">
      <c r="A242" s="2" t="s">
        <v>646</v>
      </c>
    </row>
    <row r="243" spans="1:1" x14ac:dyDescent="0.55000000000000004">
      <c r="A243" s="2" t="s">
        <v>648</v>
      </c>
    </row>
    <row r="244" spans="1:1" x14ac:dyDescent="0.55000000000000004">
      <c r="A244" s="2" t="s">
        <v>650</v>
      </c>
    </row>
    <row r="245" spans="1:1" x14ac:dyDescent="0.55000000000000004">
      <c r="A245" s="2" t="s">
        <v>652</v>
      </c>
    </row>
    <row r="246" spans="1:1" x14ac:dyDescent="0.55000000000000004">
      <c r="A246" s="2" t="s">
        <v>654</v>
      </c>
    </row>
    <row r="247" spans="1:1" x14ac:dyDescent="0.55000000000000004">
      <c r="A247" s="2" t="s">
        <v>656</v>
      </c>
    </row>
    <row r="248" spans="1:1" x14ac:dyDescent="0.55000000000000004">
      <c r="A248" s="2" t="s">
        <v>658</v>
      </c>
    </row>
    <row r="249" spans="1:1" x14ac:dyDescent="0.55000000000000004">
      <c r="A249" s="2" t="s">
        <v>660</v>
      </c>
    </row>
    <row r="250" spans="1:1" x14ac:dyDescent="0.55000000000000004">
      <c r="A250" s="2" t="s">
        <v>662</v>
      </c>
    </row>
    <row r="251" spans="1:1" x14ac:dyDescent="0.55000000000000004">
      <c r="A251" s="2" t="s">
        <v>664</v>
      </c>
    </row>
    <row r="252" spans="1:1" x14ac:dyDescent="0.55000000000000004">
      <c r="A252" s="2" t="s">
        <v>666</v>
      </c>
    </row>
    <row r="253" spans="1:1" x14ac:dyDescent="0.55000000000000004">
      <c r="A253" s="2" t="s">
        <v>668</v>
      </c>
    </row>
    <row r="254" spans="1:1" x14ac:dyDescent="0.55000000000000004">
      <c r="A254" s="2" t="s">
        <v>670</v>
      </c>
    </row>
    <row r="255" spans="1:1" x14ac:dyDescent="0.55000000000000004">
      <c r="A255" s="2" t="s">
        <v>673</v>
      </c>
    </row>
    <row r="256" spans="1:1" x14ac:dyDescent="0.55000000000000004">
      <c r="A256" s="2" t="s">
        <v>679</v>
      </c>
    </row>
    <row r="257" spans="1:1" x14ac:dyDescent="0.55000000000000004">
      <c r="A257" s="2" t="s">
        <v>681</v>
      </c>
    </row>
    <row r="258" spans="1:1" x14ac:dyDescent="0.55000000000000004">
      <c r="A258" s="2" t="s">
        <v>683</v>
      </c>
    </row>
    <row r="259" spans="1:1" x14ac:dyDescent="0.55000000000000004">
      <c r="A259" s="2" t="s">
        <v>685</v>
      </c>
    </row>
    <row r="260" spans="1:1" x14ac:dyDescent="0.55000000000000004">
      <c r="A260" s="2" t="s">
        <v>687</v>
      </c>
    </row>
    <row r="261" spans="1:1" x14ac:dyDescent="0.55000000000000004">
      <c r="A261" s="2" t="s">
        <v>689</v>
      </c>
    </row>
    <row r="262" spans="1:1" x14ac:dyDescent="0.55000000000000004">
      <c r="A262" s="2" t="s">
        <v>691</v>
      </c>
    </row>
    <row r="263" spans="1:1" x14ac:dyDescent="0.55000000000000004">
      <c r="A263" s="2" t="s">
        <v>693</v>
      </c>
    </row>
    <row r="264" spans="1:1" x14ac:dyDescent="0.55000000000000004">
      <c r="A264" s="2" t="s">
        <v>695</v>
      </c>
    </row>
    <row r="265" spans="1:1" x14ac:dyDescent="0.55000000000000004">
      <c r="A265" s="2" t="s">
        <v>697</v>
      </c>
    </row>
    <row r="266" spans="1:1" x14ac:dyDescent="0.55000000000000004">
      <c r="A266" s="2" t="s">
        <v>699</v>
      </c>
    </row>
    <row r="267" spans="1:1" x14ac:dyDescent="0.55000000000000004">
      <c r="A267" s="2" t="s">
        <v>701</v>
      </c>
    </row>
    <row r="268" spans="1:1" x14ac:dyDescent="0.55000000000000004">
      <c r="A268" s="2" t="s">
        <v>703</v>
      </c>
    </row>
    <row r="269" spans="1:1" x14ac:dyDescent="0.55000000000000004">
      <c r="A269" s="2" t="s">
        <v>705</v>
      </c>
    </row>
    <row r="270" spans="1:1" x14ac:dyDescent="0.55000000000000004">
      <c r="A270" s="2" t="s">
        <v>707</v>
      </c>
    </row>
    <row r="271" spans="1:1" x14ac:dyDescent="0.55000000000000004">
      <c r="A271" s="2" t="s">
        <v>709</v>
      </c>
    </row>
    <row r="272" spans="1:1" x14ac:dyDescent="0.55000000000000004">
      <c r="A272" s="2" t="s">
        <v>723</v>
      </c>
    </row>
    <row r="273" spans="1:1" x14ac:dyDescent="0.55000000000000004">
      <c r="A273" s="2" t="s">
        <v>725</v>
      </c>
    </row>
    <row r="274" spans="1:1" x14ac:dyDescent="0.55000000000000004">
      <c r="A274" s="2" t="s">
        <v>727</v>
      </c>
    </row>
    <row r="275" spans="1:1" x14ac:dyDescent="0.55000000000000004">
      <c r="A275" s="2" t="s">
        <v>711</v>
      </c>
    </row>
    <row r="276" spans="1:1" x14ac:dyDescent="0.55000000000000004">
      <c r="A276" s="2" t="s">
        <v>729</v>
      </c>
    </row>
    <row r="277" spans="1:1" x14ac:dyDescent="0.55000000000000004">
      <c r="A277" s="2" t="s">
        <v>731</v>
      </c>
    </row>
    <row r="278" spans="1:1" x14ac:dyDescent="0.55000000000000004">
      <c r="A278" s="2" t="s">
        <v>733</v>
      </c>
    </row>
    <row r="279" spans="1:1" x14ac:dyDescent="0.55000000000000004">
      <c r="A279" s="2" t="s">
        <v>735</v>
      </c>
    </row>
    <row r="280" spans="1:1" x14ac:dyDescent="0.55000000000000004">
      <c r="A280" s="2" t="s">
        <v>737</v>
      </c>
    </row>
    <row r="281" spans="1:1" x14ac:dyDescent="0.55000000000000004">
      <c r="A281" s="2" t="s">
        <v>739</v>
      </c>
    </row>
    <row r="282" spans="1:1" x14ac:dyDescent="0.55000000000000004">
      <c r="A282" s="2" t="s">
        <v>741</v>
      </c>
    </row>
    <row r="283" spans="1:1" x14ac:dyDescent="0.55000000000000004">
      <c r="A283" s="2" t="s">
        <v>743</v>
      </c>
    </row>
    <row r="284" spans="1:1" x14ac:dyDescent="0.55000000000000004">
      <c r="A284" s="2" t="s">
        <v>745</v>
      </c>
    </row>
    <row r="285" spans="1:1" x14ac:dyDescent="0.55000000000000004">
      <c r="A285" s="2" t="s">
        <v>747</v>
      </c>
    </row>
    <row r="286" spans="1:1" x14ac:dyDescent="0.55000000000000004">
      <c r="A286" s="2" t="s">
        <v>713</v>
      </c>
    </row>
    <row r="287" spans="1:1" x14ac:dyDescent="0.55000000000000004">
      <c r="A287" s="2" t="s">
        <v>749</v>
      </c>
    </row>
    <row r="288" spans="1:1" x14ac:dyDescent="0.55000000000000004">
      <c r="A288" s="2" t="s">
        <v>751</v>
      </c>
    </row>
    <row r="289" spans="1:1" x14ac:dyDescent="0.55000000000000004">
      <c r="A289" s="2" t="s">
        <v>753</v>
      </c>
    </row>
    <row r="290" spans="1:1" x14ac:dyDescent="0.55000000000000004">
      <c r="A290" s="2" t="s">
        <v>755</v>
      </c>
    </row>
    <row r="291" spans="1:1" x14ac:dyDescent="0.55000000000000004">
      <c r="A291" s="2" t="s">
        <v>757</v>
      </c>
    </row>
    <row r="292" spans="1:1" x14ac:dyDescent="0.55000000000000004">
      <c r="A292" s="2" t="s">
        <v>759</v>
      </c>
    </row>
    <row r="293" spans="1:1" x14ac:dyDescent="0.55000000000000004">
      <c r="A293" s="2" t="s">
        <v>761</v>
      </c>
    </row>
    <row r="294" spans="1:1" x14ac:dyDescent="0.55000000000000004">
      <c r="A294" s="2" t="s">
        <v>763</v>
      </c>
    </row>
    <row r="295" spans="1:1" x14ac:dyDescent="0.55000000000000004">
      <c r="A295" s="2" t="s">
        <v>765</v>
      </c>
    </row>
    <row r="296" spans="1:1" x14ac:dyDescent="0.55000000000000004">
      <c r="A296" s="2" t="s">
        <v>767</v>
      </c>
    </row>
    <row r="297" spans="1:1" x14ac:dyDescent="0.55000000000000004">
      <c r="A297" s="2" t="s">
        <v>707</v>
      </c>
    </row>
    <row r="298" spans="1:1" x14ac:dyDescent="0.55000000000000004">
      <c r="A298" s="2" t="s">
        <v>770</v>
      </c>
    </row>
    <row r="299" spans="1:1" x14ac:dyDescent="0.55000000000000004">
      <c r="A299" s="2" t="s">
        <v>772</v>
      </c>
    </row>
    <row r="300" spans="1:1" x14ac:dyDescent="0.55000000000000004">
      <c r="A300" s="2" t="s">
        <v>774</v>
      </c>
    </row>
    <row r="301" spans="1:1" x14ac:dyDescent="0.55000000000000004">
      <c r="A301" s="2" t="s">
        <v>776</v>
      </c>
    </row>
    <row r="302" spans="1:1" x14ac:dyDescent="0.55000000000000004">
      <c r="A302" s="2" t="s">
        <v>778</v>
      </c>
    </row>
    <row r="303" spans="1:1" x14ac:dyDescent="0.55000000000000004">
      <c r="A303" s="2" t="s">
        <v>780</v>
      </c>
    </row>
    <row r="304" spans="1:1" x14ac:dyDescent="0.55000000000000004">
      <c r="A304" s="2" t="s">
        <v>782</v>
      </c>
    </row>
    <row r="305" spans="1:1" x14ac:dyDescent="0.55000000000000004">
      <c r="A305" s="2" t="s">
        <v>715</v>
      </c>
    </row>
    <row r="306" spans="1:1" x14ac:dyDescent="0.55000000000000004">
      <c r="A306" s="2" t="s">
        <v>717</v>
      </c>
    </row>
    <row r="307" spans="1:1" x14ac:dyDescent="0.55000000000000004">
      <c r="A307" s="2" t="s">
        <v>719</v>
      </c>
    </row>
    <row r="308" spans="1:1" x14ac:dyDescent="0.55000000000000004">
      <c r="A308" s="2" t="s">
        <v>784</v>
      </c>
    </row>
    <row r="309" spans="1:1" x14ac:dyDescent="0.55000000000000004">
      <c r="A309" s="2" t="s">
        <v>721</v>
      </c>
    </row>
    <row r="310" spans="1:1" x14ac:dyDescent="0.55000000000000004">
      <c r="A310" s="2" t="s">
        <v>786</v>
      </c>
    </row>
    <row r="311" spans="1:1" x14ac:dyDescent="0.55000000000000004">
      <c r="A311" s="2" t="s">
        <v>788</v>
      </c>
    </row>
    <row r="312" spans="1:1" x14ac:dyDescent="0.55000000000000004">
      <c r="A312" s="2" t="s">
        <v>790</v>
      </c>
    </row>
    <row r="313" spans="1:1" x14ac:dyDescent="0.55000000000000004">
      <c r="A313" s="2" t="s">
        <v>792</v>
      </c>
    </row>
    <row r="314" spans="1:1" x14ac:dyDescent="0.55000000000000004">
      <c r="A314" s="2" t="s">
        <v>794</v>
      </c>
    </row>
    <row r="315" spans="1:1" x14ac:dyDescent="0.55000000000000004">
      <c r="A315" s="2" t="s">
        <v>796</v>
      </c>
    </row>
    <row r="316" spans="1:1" x14ac:dyDescent="0.55000000000000004">
      <c r="A316" s="2" t="s">
        <v>798</v>
      </c>
    </row>
    <row r="317" spans="1:1" x14ac:dyDescent="0.55000000000000004">
      <c r="A317" s="2" t="s">
        <v>800</v>
      </c>
    </row>
    <row r="318" spans="1:1" x14ac:dyDescent="0.55000000000000004">
      <c r="A318" s="2" t="s">
        <v>802</v>
      </c>
    </row>
    <row r="319" spans="1:1" x14ac:dyDescent="0.55000000000000004">
      <c r="A319" s="2" t="s">
        <v>804</v>
      </c>
    </row>
    <row r="320" spans="1:1" x14ac:dyDescent="0.55000000000000004">
      <c r="A320" s="2" t="s">
        <v>806</v>
      </c>
    </row>
    <row r="321" spans="1:1" x14ac:dyDescent="0.55000000000000004">
      <c r="A321" s="2" t="s">
        <v>808</v>
      </c>
    </row>
    <row r="322" spans="1:1" x14ac:dyDescent="0.55000000000000004">
      <c r="A322" s="2" t="s">
        <v>810</v>
      </c>
    </row>
    <row r="323" spans="1:1" x14ac:dyDescent="0.55000000000000004">
      <c r="A323" s="2" t="s">
        <v>812</v>
      </c>
    </row>
    <row r="324" spans="1:1" x14ac:dyDescent="0.55000000000000004">
      <c r="A324" s="2" t="s">
        <v>814</v>
      </c>
    </row>
    <row r="325" spans="1:1" x14ac:dyDescent="0.55000000000000004">
      <c r="A325" s="2" t="s">
        <v>816</v>
      </c>
    </row>
    <row r="326" spans="1:1" x14ac:dyDescent="0.55000000000000004">
      <c r="A326" s="2" t="s">
        <v>818</v>
      </c>
    </row>
    <row r="327" spans="1:1" x14ac:dyDescent="0.55000000000000004">
      <c r="A327" s="2" t="s">
        <v>820</v>
      </c>
    </row>
    <row r="328" spans="1:1" x14ac:dyDescent="0.55000000000000004">
      <c r="A328" s="2" t="s">
        <v>822</v>
      </c>
    </row>
    <row r="329" spans="1:1" x14ac:dyDescent="0.55000000000000004">
      <c r="A329" s="2" t="s">
        <v>824</v>
      </c>
    </row>
    <row r="330" spans="1:1" x14ac:dyDescent="0.55000000000000004">
      <c r="A330" s="2" t="s">
        <v>826</v>
      </c>
    </row>
    <row r="331" spans="1:1" x14ac:dyDescent="0.55000000000000004">
      <c r="A331" s="2" t="s">
        <v>828</v>
      </c>
    </row>
    <row r="332" spans="1:1" x14ac:dyDescent="0.55000000000000004">
      <c r="A332" s="2" t="s">
        <v>830</v>
      </c>
    </row>
    <row r="333" spans="1:1" x14ac:dyDescent="0.55000000000000004">
      <c r="A333" s="2" t="s">
        <v>832</v>
      </c>
    </row>
    <row r="334" spans="1:1" x14ac:dyDescent="0.55000000000000004">
      <c r="A334" s="2" t="s">
        <v>834</v>
      </c>
    </row>
    <row r="335" spans="1:1" x14ac:dyDescent="0.55000000000000004">
      <c r="A335" s="2" t="s">
        <v>836</v>
      </c>
    </row>
    <row r="336" spans="1:1" x14ac:dyDescent="0.55000000000000004">
      <c r="A336" s="2" t="s">
        <v>838</v>
      </c>
    </row>
    <row r="337" spans="1:1" x14ac:dyDescent="0.55000000000000004">
      <c r="A337" s="2" t="s">
        <v>840</v>
      </c>
    </row>
    <row r="338" spans="1:1" x14ac:dyDescent="0.55000000000000004">
      <c r="A338" s="2" t="s">
        <v>842</v>
      </c>
    </row>
    <row r="339" spans="1:1" x14ac:dyDescent="0.55000000000000004">
      <c r="A339" s="2" t="s">
        <v>844</v>
      </c>
    </row>
    <row r="340" spans="1:1" x14ac:dyDescent="0.55000000000000004">
      <c r="A340" s="2" t="s">
        <v>846</v>
      </c>
    </row>
    <row r="341" spans="1:1" x14ac:dyDescent="0.55000000000000004">
      <c r="A341" s="2" t="s">
        <v>848</v>
      </c>
    </row>
    <row r="342" spans="1:1" x14ac:dyDescent="0.55000000000000004">
      <c r="A342" s="2" t="s">
        <v>850</v>
      </c>
    </row>
    <row r="343" spans="1:1" x14ac:dyDescent="0.55000000000000004">
      <c r="A343" s="2" t="s">
        <v>852</v>
      </c>
    </row>
    <row r="344" spans="1:1" x14ac:dyDescent="0.55000000000000004">
      <c r="A344" s="2" t="s">
        <v>854</v>
      </c>
    </row>
    <row r="345" spans="1:1" x14ac:dyDescent="0.55000000000000004">
      <c r="A345" s="2" t="s">
        <v>856</v>
      </c>
    </row>
    <row r="346" spans="1:1" x14ac:dyDescent="0.55000000000000004">
      <c r="A346" s="2" t="s">
        <v>858</v>
      </c>
    </row>
    <row r="347" spans="1:1" x14ac:dyDescent="0.55000000000000004">
      <c r="A347" s="2" t="s">
        <v>860</v>
      </c>
    </row>
    <row r="348" spans="1:1" x14ac:dyDescent="0.55000000000000004">
      <c r="A348" s="2" t="s">
        <v>862</v>
      </c>
    </row>
    <row r="349" spans="1:1" x14ac:dyDescent="0.55000000000000004">
      <c r="A349" s="2" t="s">
        <v>864</v>
      </c>
    </row>
    <row r="350" spans="1:1" x14ac:dyDescent="0.55000000000000004">
      <c r="A350" s="2" t="s">
        <v>866</v>
      </c>
    </row>
    <row r="351" spans="1:1" x14ac:dyDescent="0.55000000000000004">
      <c r="A351" s="2" t="s">
        <v>868</v>
      </c>
    </row>
    <row r="352" spans="1:1" x14ac:dyDescent="0.55000000000000004">
      <c r="A352" s="2" t="s">
        <v>870</v>
      </c>
    </row>
    <row r="353" spans="1:1" x14ac:dyDescent="0.55000000000000004">
      <c r="A353" s="2" t="s">
        <v>872</v>
      </c>
    </row>
    <row r="354" spans="1:1" x14ac:dyDescent="0.55000000000000004">
      <c r="A354" s="2" t="s">
        <v>874</v>
      </c>
    </row>
    <row r="355" spans="1:1" x14ac:dyDescent="0.55000000000000004">
      <c r="A355" s="2" t="s">
        <v>876</v>
      </c>
    </row>
    <row r="356" spans="1:1" x14ac:dyDescent="0.55000000000000004">
      <c r="A356" s="2" t="s">
        <v>878</v>
      </c>
    </row>
    <row r="357" spans="1:1" x14ac:dyDescent="0.55000000000000004">
      <c r="A357" s="2" t="s">
        <v>880</v>
      </c>
    </row>
    <row r="358" spans="1:1" x14ac:dyDescent="0.55000000000000004">
      <c r="A358" s="2" t="s">
        <v>880</v>
      </c>
    </row>
    <row r="359" spans="1:1" x14ac:dyDescent="0.55000000000000004">
      <c r="A359" s="2" t="s">
        <v>883</v>
      </c>
    </row>
    <row r="360" spans="1:1" x14ac:dyDescent="0.55000000000000004">
      <c r="A360" s="2" t="s">
        <v>885</v>
      </c>
    </row>
    <row r="361" spans="1:1" x14ac:dyDescent="0.55000000000000004">
      <c r="A361" s="2" t="s">
        <v>887</v>
      </c>
    </row>
    <row r="362" spans="1:1" x14ac:dyDescent="0.55000000000000004">
      <c r="A362" s="2" t="s">
        <v>889</v>
      </c>
    </row>
    <row r="363" spans="1:1" x14ac:dyDescent="0.55000000000000004">
      <c r="A363" s="2" t="s">
        <v>891</v>
      </c>
    </row>
    <row r="364" spans="1:1" x14ac:dyDescent="0.55000000000000004">
      <c r="A364" s="2" t="s">
        <v>893</v>
      </c>
    </row>
    <row r="365" spans="1:1" x14ac:dyDescent="0.55000000000000004">
      <c r="A365" s="2" t="s">
        <v>895</v>
      </c>
    </row>
    <row r="366" spans="1:1" x14ac:dyDescent="0.55000000000000004">
      <c r="A366" s="2" t="s">
        <v>897</v>
      </c>
    </row>
    <row r="367" spans="1:1" x14ac:dyDescent="0.55000000000000004">
      <c r="A367" s="2" t="s">
        <v>899</v>
      </c>
    </row>
    <row r="368" spans="1:1" x14ac:dyDescent="0.55000000000000004">
      <c r="A368" s="2" t="s">
        <v>901</v>
      </c>
    </row>
    <row r="369" spans="1:1" x14ac:dyDescent="0.55000000000000004">
      <c r="A369" s="2" t="s">
        <v>903</v>
      </c>
    </row>
    <row r="370" spans="1:1" x14ac:dyDescent="0.55000000000000004">
      <c r="A370" s="2" t="s">
        <v>905</v>
      </c>
    </row>
    <row r="371" spans="1:1" x14ac:dyDescent="0.55000000000000004">
      <c r="A371" s="2" t="s">
        <v>907</v>
      </c>
    </row>
    <row r="372" spans="1:1" x14ac:dyDescent="0.55000000000000004">
      <c r="A372" s="2" t="s">
        <v>909</v>
      </c>
    </row>
    <row r="373" spans="1:1" x14ac:dyDescent="0.55000000000000004">
      <c r="A373" s="2" t="s">
        <v>911</v>
      </c>
    </row>
    <row r="374" spans="1:1" x14ac:dyDescent="0.55000000000000004">
      <c r="A374" s="2" t="s">
        <v>913</v>
      </c>
    </row>
    <row r="375" spans="1:1" x14ac:dyDescent="0.55000000000000004">
      <c r="A375" s="2" t="s">
        <v>915</v>
      </c>
    </row>
    <row r="376" spans="1:1" x14ac:dyDescent="0.55000000000000004">
      <c r="A376" s="2" t="s">
        <v>917</v>
      </c>
    </row>
    <row r="377" spans="1:1" x14ac:dyDescent="0.55000000000000004">
      <c r="A377" s="2" t="s">
        <v>919</v>
      </c>
    </row>
    <row r="378" spans="1:1" x14ac:dyDescent="0.55000000000000004">
      <c r="A378" s="2" t="s">
        <v>921</v>
      </c>
    </row>
    <row r="379" spans="1:1" x14ac:dyDescent="0.55000000000000004">
      <c r="A379" s="2" t="s">
        <v>923</v>
      </c>
    </row>
    <row r="380" spans="1:1" x14ac:dyDescent="0.55000000000000004">
      <c r="A380" s="2" t="s">
        <v>925</v>
      </c>
    </row>
    <row r="381" spans="1:1" x14ac:dyDescent="0.55000000000000004">
      <c r="A381" s="2" t="s">
        <v>927</v>
      </c>
    </row>
    <row r="382" spans="1:1" x14ac:dyDescent="0.55000000000000004">
      <c r="A382" s="2" t="s">
        <v>929</v>
      </c>
    </row>
    <row r="383" spans="1:1" x14ac:dyDescent="0.55000000000000004">
      <c r="A383" s="2" t="s">
        <v>931</v>
      </c>
    </row>
    <row r="384" spans="1:1" x14ac:dyDescent="0.55000000000000004">
      <c r="A384" s="2" t="s">
        <v>933</v>
      </c>
    </row>
    <row r="385" spans="1:1" x14ac:dyDescent="0.55000000000000004">
      <c r="A385" s="2" t="s">
        <v>935</v>
      </c>
    </row>
    <row r="386" spans="1:1" x14ac:dyDescent="0.55000000000000004">
      <c r="A386" s="2" t="s">
        <v>937</v>
      </c>
    </row>
    <row r="387" spans="1:1" x14ac:dyDescent="0.55000000000000004">
      <c r="A387" s="2" t="s">
        <v>939</v>
      </c>
    </row>
    <row r="388" spans="1:1" x14ac:dyDescent="0.55000000000000004">
      <c r="A388" s="2" t="s">
        <v>941</v>
      </c>
    </row>
    <row r="389" spans="1:1" x14ac:dyDescent="0.55000000000000004">
      <c r="A389" s="2" t="s">
        <v>943</v>
      </c>
    </row>
    <row r="390" spans="1:1" x14ac:dyDescent="0.55000000000000004">
      <c r="A390" s="2" t="s">
        <v>945</v>
      </c>
    </row>
    <row r="391" spans="1:1" x14ac:dyDescent="0.55000000000000004">
      <c r="A391" s="2" t="s">
        <v>947</v>
      </c>
    </row>
    <row r="392" spans="1:1" x14ac:dyDescent="0.55000000000000004">
      <c r="A392" s="2" t="s">
        <v>949</v>
      </c>
    </row>
    <row r="393" spans="1:1" x14ac:dyDescent="0.55000000000000004">
      <c r="A393" s="2" t="s">
        <v>951</v>
      </c>
    </row>
    <row r="394" spans="1:1" x14ac:dyDescent="0.55000000000000004">
      <c r="A394" s="2" t="s">
        <v>953</v>
      </c>
    </row>
    <row r="395" spans="1:1" x14ac:dyDescent="0.55000000000000004">
      <c r="A395" s="2" t="s">
        <v>955</v>
      </c>
    </row>
    <row r="396" spans="1:1" x14ac:dyDescent="0.55000000000000004">
      <c r="A396" s="2" t="s">
        <v>957</v>
      </c>
    </row>
    <row r="397" spans="1:1" x14ac:dyDescent="0.55000000000000004">
      <c r="A397" s="2" t="s">
        <v>959</v>
      </c>
    </row>
    <row r="398" spans="1:1" x14ac:dyDescent="0.55000000000000004">
      <c r="A398" s="2" t="s">
        <v>961</v>
      </c>
    </row>
    <row r="399" spans="1:1" x14ac:dyDescent="0.55000000000000004">
      <c r="A399" s="2" t="s">
        <v>963</v>
      </c>
    </row>
    <row r="400" spans="1:1" x14ac:dyDescent="0.55000000000000004">
      <c r="A400" s="2" t="s">
        <v>965</v>
      </c>
    </row>
    <row r="401" spans="1:1" x14ac:dyDescent="0.55000000000000004">
      <c r="A401" s="2" t="s">
        <v>967</v>
      </c>
    </row>
    <row r="402" spans="1:1" x14ac:dyDescent="0.55000000000000004">
      <c r="A402" s="2" t="s">
        <v>969</v>
      </c>
    </row>
    <row r="403" spans="1:1" x14ac:dyDescent="0.55000000000000004">
      <c r="A403" s="2" t="s">
        <v>971</v>
      </c>
    </row>
    <row r="404" spans="1:1" x14ac:dyDescent="0.55000000000000004">
      <c r="A404" s="2" t="s">
        <v>973</v>
      </c>
    </row>
    <row r="405" spans="1:1" x14ac:dyDescent="0.55000000000000004">
      <c r="A405" s="2" t="s">
        <v>975</v>
      </c>
    </row>
    <row r="406" spans="1:1" x14ac:dyDescent="0.55000000000000004">
      <c r="A406" s="2" t="s">
        <v>977</v>
      </c>
    </row>
    <row r="407" spans="1:1" x14ac:dyDescent="0.55000000000000004">
      <c r="A407" s="2" t="s">
        <v>979</v>
      </c>
    </row>
    <row r="408" spans="1:1" x14ac:dyDescent="0.55000000000000004">
      <c r="A408" s="2" t="s">
        <v>981</v>
      </c>
    </row>
    <row r="409" spans="1:1" x14ac:dyDescent="0.55000000000000004">
      <c r="A409" s="2" t="s">
        <v>983</v>
      </c>
    </row>
    <row r="410" spans="1:1" x14ac:dyDescent="0.55000000000000004">
      <c r="A410" s="2" t="s">
        <v>985</v>
      </c>
    </row>
    <row r="411" spans="1:1" x14ac:dyDescent="0.55000000000000004">
      <c r="A411" s="2" t="s">
        <v>987</v>
      </c>
    </row>
    <row r="412" spans="1:1" x14ac:dyDescent="0.55000000000000004">
      <c r="A412" s="2" t="s">
        <v>989</v>
      </c>
    </row>
    <row r="413" spans="1:1" x14ac:dyDescent="0.55000000000000004">
      <c r="A413" s="2" t="s">
        <v>991</v>
      </c>
    </row>
    <row r="414" spans="1:1" x14ac:dyDescent="0.55000000000000004">
      <c r="A414" s="2" t="s">
        <v>993</v>
      </c>
    </row>
    <row r="415" spans="1:1" x14ac:dyDescent="0.55000000000000004">
      <c r="A415" s="2" t="s">
        <v>995</v>
      </c>
    </row>
    <row r="416" spans="1:1" x14ac:dyDescent="0.55000000000000004">
      <c r="A416" s="2" t="s">
        <v>997</v>
      </c>
    </row>
    <row r="417" spans="1:1" x14ac:dyDescent="0.55000000000000004">
      <c r="A417" s="2" t="s">
        <v>999</v>
      </c>
    </row>
    <row r="418" spans="1:1" x14ac:dyDescent="0.55000000000000004">
      <c r="A418" s="2" t="s">
        <v>1002</v>
      </c>
    </row>
    <row r="419" spans="1:1" x14ac:dyDescent="0.55000000000000004">
      <c r="A419" s="2" t="s">
        <v>1004</v>
      </c>
    </row>
    <row r="420" spans="1:1" x14ac:dyDescent="0.55000000000000004">
      <c r="A420" s="2" t="s">
        <v>1006</v>
      </c>
    </row>
    <row r="421" spans="1:1" x14ac:dyDescent="0.55000000000000004">
      <c r="A421" s="2" t="s">
        <v>1008</v>
      </c>
    </row>
    <row r="422" spans="1:1" x14ac:dyDescent="0.55000000000000004">
      <c r="A422" s="2" t="s">
        <v>1010</v>
      </c>
    </row>
    <row r="423" spans="1:1" x14ac:dyDescent="0.55000000000000004">
      <c r="A423" s="2" t="s">
        <v>1012</v>
      </c>
    </row>
    <row r="424" spans="1:1" x14ac:dyDescent="0.55000000000000004">
      <c r="A424" s="2" t="s">
        <v>1014</v>
      </c>
    </row>
    <row r="425" spans="1:1" x14ac:dyDescent="0.55000000000000004">
      <c r="A425" s="2" t="s">
        <v>1016</v>
      </c>
    </row>
    <row r="426" spans="1:1" x14ac:dyDescent="0.55000000000000004">
      <c r="A426" s="2" t="s">
        <v>1018</v>
      </c>
    </row>
    <row r="427" spans="1:1" x14ac:dyDescent="0.55000000000000004">
      <c r="A427" s="2" t="s">
        <v>999</v>
      </c>
    </row>
    <row r="428" spans="1:1" x14ac:dyDescent="0.55000000000000004">
      <c r="A428" s="2" t="s">
        <v>1000</v>
      </c>
    </row>
    <row r="429" spans="1:1" x14ac:dyDescent="0.55000000000000004">
      <c r="A429" s="2" t="s">
        <v>1022</v>
      </c>
    </row>
    <row r="430" spans="1:1" x14ac:dyDescent="0.55000000000000004">
      <c r="A430" s="2" t="s">
        <v>1024</v>
      </c>
    </row>
    <row r="431" spans="1:1" x14ac:dyDescent="0.55000000000000004">
      <c r="A431" s="2" t="s">
        <v>1026</v>
      </c>
    </row>
    <row r="432" spans="1:1" x14ac:dyDescent="0.55000000000000004">
      <c r="A432" s="2" t="s">
        <v>1028</v>
      </c>
    </row>
    <row r="433" spans="1:1" x14ac:dyDescent="0.55000000000000004">
      <c r="A433" s="2" t="s">
        <v>1030</v>
      </c>
    </row>
    <row r="434" spans="1:1" x14ac:dyDescent="0.55000000000000004">
      <c r="A434" s="2" t="s">
        <v>1032</v>
      </c>
    </row>
    <row r="435" spans="1:1" x14ac:dyDescent="0.55000000000000004">
      <c r="A435" s="2" t="s">
        <v>1034</v>
      </c>
    </row>
    <row r="436" spans="1:1" x14ac:dyDescent="0.55000000000000004">
      <c r="A436" s="2" t="s">
        <v>1036</v>
      </c>
    </row>
    <row r="437" spans="1:1" x14ac:dyDescent="0.55000000000000004">
      <c r="A437" s="2" t="s">
        <v>1038</v>
      </c>
    </row>
    <row r="438" spans="1:1" x14ac:dyDescent="0.55000000000000004">
      <c r="A438" s="2" t="s">
        <v>1040</v>
      </c>
    </row>
    <row r="439" spans="1:1" x14ac:dyDescent="0.55000000000000004">
      <c r="A439" s="2" t="s">
        <v>1042</v>
      </c>
    </row>
    <row r="440" spans="1:1" x14ac:dyDescent="0.55000000000000004">
      <c r="A440" s="2" t="s">
        <v>1044</v>
      </c>
    </row>
    <row r="441" spans="1:1" x14ac:dyDescent="0.55000000000000004">
      <c r="A441" s="2" t="s">
        <v>1046</v>
      </c>
    </row>
    <row r="442" spans="1:1" x14ac:dyDescent="0.55000000000000004">
      <c r="A442" s="2" t="s">
        <v>1048</v>
      </c>
    </row>
    <row r="443" spans="1:1" x14ac:dyDescent="0.55000000000000004">
      <c r="A443" s="2" t="s">
        <v>1050</v>
      </c>
    </row>
    <row r="444" spans="1:1" x14ac:dyDescent="0.55000000000000004">
      <c r="A444" s="2" t="s">
        <v>1052</v>
      </c>
    </row>
    <row r="445" spans="1:1" x14ac:dyDescent="0.55000000000000004">
      <c r="A445" s="2" t="s">
        <v>1054</v>
      </c>
    </row>
    <row r="446" spans="1:1" x14ac:dyDescent="0.55000000000000004">
      <c r="A446" s="2" t="s">
        <v>1056</v>
      </c>
    </row>
    <row r="447" spans="1:1" x14ac:dyDescent="0.55000000000000004">
      <c r="A447" s="2" t="s">
        <v>1058</v>
      </c>
    </row>
    <row r="448" spans="1:1" x14ac:dyDescent="0.55000000000000004">
      <c r="A448" s="2" t="s">
        <v>1060</v>
      </c>
    </row>
    <row r="449" spans="1:1" x14ac:dyDescent="0.55000000000000004">
      <c r="A449" s="2" t="s">
        <v>1062</v>
      </c>
    </row>
    <row r="450" spans="1:1" x14ac:dyDescent="0.55000000000000004">
      <c r="A450" s="2" t="s">
        <v>1064</v>
      </c>
    </row>
    <row r="451" spans="1:1" x14ac:dyDescent="0.55000000000000004">
      <c r="A451" s="2" t="s">
        <v>1066</v>
      </c>
    </row>
    <row r="452" spans="1:1" x14ac:dyDescent="0.55000000000000004">
      <c r="A452" s="2" t="s">
        <v>1068</v>
      </c>
    </row>
    <row r="453" spans="1:1" x14ac:dyDescent="0.55000000000000004">
      <c r="A453" s="2" t="s">
        <v>1070</v>
      </c>
    </row>
    <row r="454" spans="1:1" x14ac:dyDescent="0.55000000000000004">
      <c r="A454" s="2" t="s">
        <v>1072</v>
      </c>
    </row>
    <row r="455" spans="1:1" x14ac:dyDescent="0.55000000000000004">
      <c r="A455" s="2" t="s">
        <v>1074</v>
      </c>
    </row>
    <row r="456" spans="1:1" x14ac:dyDescent="0.55000000000000004">
      <c r="A456" s="2" t="s">
        <v>1076</v>
      </c>
    </row>
    <row r="457" spans="1:1" x14ac:dyDescent="0.55000000000000004">
      <c r="A457" s="2" t="s">
        <v>1140</v>
      </c>
    </row>
    <row r="458" spans="1:1" x14ac:dyDescent="0.55000000000000004">
      <c r="A458" s="2" t="s">
        <v>1142</v>
      </c>
    </row>
    <row r="459" spans="1:1" x14ac:dyDescent="0.55000000000000004">
      <c r="A459" s="2" t="s">
        <v>1144</v>
      </c>
    </row>
    <row r="460" spans="1:1" x14ac:dyDescent="0.55000000000000004">
      <c r="A460" s="2" t="s">
        <v>1146</v>
      </c>
    </row>
    <row r="461" spans="1:1" x14ac:dyDescent="0.55000000000000004">
      <c r="A461" s="2" t="s">
        <v>1148</v>
      </c>
    </row>
    <row r="462" spans="1:1" x14ac:dyDescent="0.55000000000000004">
      <c r="A462" s="2" t="s">
        <v>1150</v>
      </c>
    </row>
    <row r="463" spans="1:1" x14ac:dyDescent="0.55000000000000004">
      <c r="A463" s="2" t="s">
        <v>1152</v>
      </c>
    </row>
    <row r="464" spans="1:1" x14ac:dyDescent="0.55000000000000004">
      <c r="A464" s="2" t="s">
        <v>1154</v>
      </c>
    </row>
    <row r="465" spans="1:1" x14ac:dyDescent="0.55000000000000004">
      <c r="A465" s="2" t="s">
        <v>1156</v>
      </c>
    </row>
    <row r="466" spans="1:1" x14ac:dyDescent="0.55000000000000004">
      <c r="A466" s="2" t="s">
        <v>1158</v>
      </c>
    </row>
    <row r="467" spans="1:1" x14ac:dyDescent="0.55000000000000004">
      <c r="A467" s="2" t="s">
        <v>1160</v>
      </c>
    </row>
    <row r="468" spans="1:1" x14ac:dyDescent="0.55000000000000004">
      <c r="A468" s="2" t="s">
        <v>1162</v>
      </c>
    </row>
    <row r="469" spans="1:1" x14ac:dyDescent="0.55000000000000004">
      <c r="A469" s="2" t="s">
        <v>1164</v>
      </c>
    </row>
    <row r="470" spans="1:1" x14ac:dyDescent="0.55000000000000004">
      <c r="A470" s="2" t="s">
        <v>1166</v>
      </c>
    </row>
    <row r="471" spans="1:1" x14ac:dyDescent="0.55000000000000004">
      <c r="A471" s="2" t="s">
        <v>1168</v>
      </c>
    </row>
    <row r="472" spans="1:1" x14ac:dyDescent="0.55000000000000004">
      <c r="A472" s="2" t="s">
        <v>1170</v>
      </c>
    </row>
    <row r="473" spans="1:1" x14ac:dyDescent="0.55000000000000004">
      <c r="A473" s="2" t="s">
        <v>1172</v>
      </c>
    </row>
    <row r="474" spans="1:1" x14ac:dyDescent="0.55000000000000004">
      <c r="A474" s="2" t="s">
        <v>1174</v>
      </c>
    </row>
    <row r="475" spans="1:1" x14ac:dyDescent="0.55000000000000004">
      <c r="A475" s="2" t="s">
        <v>1176</v>
      </c>
    </row>
    <row r="476" spans="1:1" x14ac:dyDescent="0.55000000000000004">
      <c r="A476" s="2" t="s">
        <v>1213</v>
      </c>
    </row>
    <row r="477" spans="1:1" x14ac:dyDescent="0.55000000000000004">
      <c r="A477" s="2" t="s">
        <v>1178</v>
      </c>
    </row>
    <row r="478" spans="1:1" x14ac:dyDescent="0.55000000000000004">
      <c r="A478" s="2" t="s">
        <v>1180</v>
      </c>
    </row>
    <row r="479" spans="1:1" x14ac:dyDescent="0.55000000000000004">
      <c r="A479" s="2" t="s">
        <v>1182</v>
      </c>
    </row>
    <row r="480" spans="1:1" x14ac:dyDescent="0.55000000000000004">
      <c r="A480" s="2" t="s">
        <v>1184</v>
      </c>
    </row>
    <row r="481" spans="1:1" x14ac:dyDescent="0.55000000000000004">
      <c r="A481" s="2" t="s">
        <v>1186</v>
      </c>
    </row>
    <row r="482" spans="1:1" x14ac:dyDescent="0.55000000000000004">
      <c r="A482" s="2" t="s">
        <v>1188</v>
      </c>
    </row>
    <row r="483" spans="1:1" x14ac:dyDescent="0.55000000000000004">
      <c r="A483" s="2" t="s">
        <v>1190</v>
      </c>
    </row>
    <row r="484" spans="1:1" x14ac:dyDescent="0.55000000000000004">
      <c r="A484" s="2" t="s">
        <v>1192</v>
      </c>
    </row>
    <row r="485" spans="1:1" x14ac:dyDescent="0.55000000000000004">
      <c r="A485" s="2" t="s">
        <v>1194</v>
      </c>
    </row>
    <row r="486" spans="1:1" x14ac:dyDescent="0.55000000000000004">
      <c r="A486" s="2" t="s">
        <v>1140</v>
      </c>
    </row>
    <row r="487" spans="1:1" x14ac:dyDescent="0.55000000000000004">
      <c r="A487" s="2" t="s">
        <v>1197</v>
      </c>
    </row>
    <row r="488" spans="1:1" x14ac:dyDescent="0.55000000000000004">
      <c r="A488" s="2" t="s">
        <v>1199</v>
      </c>
    </row>
    <row r="489" spans="1:1" x14ac:dyDescent="0.55000000000000004">
      <c r="A489" s="2" t="s">
        <v>1201</v>
      </c>
    </row>
    <row r="490" spans="1:1" x14ac:dyDescent="0.55000000000000004">
      <c r="A490" s="2" t="s">
        <v>1203</v>
      </c>
    </row>
    <row r="491" spans="1:1" x14ac:dyDescent="0.55000000000000004">
      <c r="A491" s="2" t="s">
        <v>1205</v>
      </c>
    </row>
    <row r="492" spans="1:1" x14ac:dyDescent="0.55000000000000004">
      <c r="A492" s="2" t="s">
        <v>1207</v>
      </c>
    </row>
    <row r="493" spans="1:1" x14ac:dyDescent="0.55000000000000004">
      <c r="A493" s="2" t="s">
        <v>1209</v>
      </c>
    </row>
    <row r="494" spans="1:1" x14ac:dyDescent="0.55000000000000004">
      <c r="A494" s="2" t="s">
        <v>1211</v>
      </c>
    </row>
    <row r="495" spans="1:1" x14ac:dyDescent="0.55000000000000004">
      <c r="A495" s="2" t="s">
        <v>240</v>
      </c>
    </row>
    <row r="496" spans="1:1" x14ac:dyDescent="0.55000000000000004">
      <c r="A496" s="2" t="s">
        <v>242</v>
      </c>
    </row>
    <row r="497" spans="1:1" x14ac:dyDescent="0.55000000000000004">
      <c r="A497" s="2" t="s">
        <v>244</v>
      </c>
    </row>
    <row r="498" spans="1:1" x14ac:dyDescent="0.55000000000000004">
      <c r="A498" s="2" t="s">
        <v>246</v>
      </c>
    </row>
    <row r="499" spans="1:1" x14ac:dyDescent="0.55000000000000004">
      <c r="A499" s="2" t="s">
        <v>248</v>
      </c>
    </row>
    <row r="500" spans="1:1" x14ac:dyDescent="0.55000000000000004">
      <c r="A500" s="2" t="s">
        <v>250</v>
      </c>
    </row>
    <row r="501" spans="1:1" x14ac:dyDescent="0.55000000000000004">
      <c r="A501" s="2" t="s">
        <v>252</v>
      </c>
    </row>
    <row r="502" spans="1:1" x14ac:dyDescent="0.55000000000000004">
      <c r="A502" s="2" t="s">
        <v>505</v>
      </c>
    </row>
    <row r="503" spans="1:1" x14ac:dyDescent="0.55000000000000004">
      <c r="A503" s="2" t="s">
        <v>254</v>
      </c>
    </row>
    <row r="504" spans="1:1" x14ac:dyDescent="0.55000000000000004">
      <c r="A504" s="2" t="s">
        <v>445</v>
      </c>
    </row>
    <row r="505" spans="1:1" x14ac:dyDescent="0.55000000000000004">
      <c r="A505" s="2" t="s">
        <v>256</v>
      </c>
    </row>
    <row r="506" spans="1:1" x14ac:dyDescent="0.55000000000000004">
      <c r="A506" s="2" t="s">
        <v>258</v>
      </c>
    </row>
    <row r="507" spans="1:1" x14ac:dyDescent="0.55000000000000004">
      <c r="A507" s="2" t="s">
        <v>260</v>
      </c>
    </row>
    <row r="508" spans="1:1" x14ac:dyDescent="0.55000000000000004">
      <c r="A508" s="2" t="s">
        <v>447</v>
      </c>
    </row>
    <row r="509" spans="1:1" x14ac:dyDescent="0.55000000000000004">
      <c r="A509" s="2" t="s">
        <v>449</v>
      </c>
    </row>
    <row r="510" spans="1:1" x14ac:dyDescent="0.55000000000000004">
      <c r="A510" s="2" t="s">
        <v>451</v>
      </c>
    </row>
    <row r="511" spans="1:1" x14ac:dyDescent="0.55000000000000004">
      <c r="A511" s="2" t="s">
        <v>453</v>
      </c>
    </row>
    <row r="512" spans="1:1" x14ac:dyDescent="0.55000000000000004">
      <c r="A512" s="2" t="s">
        <v>455</v>
      </c>
    </row>
    <row r="513" spans="1:1" x14ac:dyDescent="0.55000000000000004">
      <c r="A513" s="2" t="s">
        <v>262</v>
      </c>
    </row>
    <row r="514" spans="1:1" x14ac:dyDescent="0.55000000000000004">
      <c r="A514" s="2" t="s">
        <v>264</v>
      </c>
    </row>
    <row r="515" spans="1:1" x14ac:dyDescent="0.55000000000000004">
      <c r="A515" s="2" t="s">
        <v>484</v>
      </c>
    </row>
    <row r="516" spans="1:1" x14ac:dyDescent="0.55000000000000004">
      <c r="A516" s="2" t="s">
        <v>455</v>
      </c>
    </row>
    <row r="517" spans="1:1" x14ac:dyDescent="0.55000000000000004">
      <c r="A517" s="2" t="s">
        <v>266</v>
      </c>
    </row>
    <row r="518" spans="1:1" x14ac:dyDescent="0.55000000000000004">
      <c r="A518" s="2" t="s">
        <v>268</v>
      </c>
    </row>
    <row r="519" spans="1:1" x14ac:dyDescent="0.55000000000000004">
      <c r="A519" s="2" t="s">
        <v>270</v>
      </c>
    </row>
    <row r="520" spans="1:1" x14ac:dyDescent="0.55000000000000004">
      <c r="A520" s="2" t="s">
        <v>272</v>
      </c>
    </row>
    <row r="521" spans="1:1" x14ac:dyDescent="0.55000000000000004">
      <c r="A521" s="2" t="s">
        <v>11</v>
      </c>
    </row>
    <row r="522" spans="1:1" x14ac:dyDescent="0.55000000000000004">
      <c r="A522" s="2" t="s">
        <v>549</v>
      </c>
    </row>
    <row r="523" spans="1:1" x14ac:dyDescent="0.55000000000000004">
      <c r="A523" s="2" t="s">
        <v>549</v>
      </c>
    </row>
    <row r="524" spans="1:1" x14ac:dyDescent="0.55000000000000004">
      <c r="A524" s="2" t="s">
        <v>675</v>
      </c>
    </row>
    <row r="525" spans="1:1" x14ac:dyDescent="0.55000000000000004">
      <c r="A525" s="2" t="s">
        <v>677</v>
      </c>
    </row>
    <row r="526" spans="1:1" x14ac:dyDescent="0.55000000000000004">
      <c r="A526" s="2" t="s">
        <v>552</v>
      </c>
    </row>
    <row r="527" spans="1:1" x14ac:dyDescent="0.55000000000000004">
      <c r="A527" s="2" t="s">
        <v>458</v>
      </c>
    </row>
    <row r="528" spans="1:1" x14ac:dyDescent="0.55000000000000004">
      <c r="A528" s="2" t="s">
        <v>460</v>
      </c>
    </row>
    <row r="529" spans="1:1" x14ac:dyDescent="0.55000000000000004">
      <c r="A529" s="2" t="s">
        <v>462</v>
      </c>
    </row>
    <row r="530" spans="1:1" x14ac:dyDescent="0.55000000000000004">
      <c r="A530" s="2" t="s">
        <v>464</v>
      </c>
    </row>
    <row r="531" spans="1:1" x14ac:dyDescent="0.55000000000000004">
      <c r="A531" s="2" t="s">
        <v>466</v>
      </c>
    </row>
    <row r="532" spans="1:1" x14ac:dyDescent="0.55000000000000004">
      <c r="A532" s="2" t="s">
        <v>468</v>
      </c>
    </row>
    <row r="533" spans="1:1" x14ac:dyDescent="0.55000000000000004">
      <c r="A533" s="2" t="s">
        <v>275</v>
      </c>
    </row>
    <row r="534" spans="1:1" x14ac:dyDescent="0.55000000000000004">
      <c r="A534" s="2" t="s">
        <v>470</v>
      </c>
    </row>
    <row r="535" spans="1:1" x14ac:dyDescent="0.55000000000000004">
      <c r="A535" s="2" t="s">
        <v>277</v>
      </c>
    </row>
    <row r="536" spans="1:1" x14ac:dyDescent="0.55000000000000004">
      <c r="A536" s="2" t="s">
        <v>472</v>
      </c>
    </row>
    <row r="537" spans="1:1" x14ac:dyDescent="0.55000000000000004">
      <c r="A537" s="2" t="s">
        <v>508</v>
      </c>
    </row>
    <row r="538" spans="1:1" x14ac:dyDescent="0.55000000000000004">
      <c r="A538" s="2" t="s">
        <v>510</v>
      </c>
    </row>
    <row r="539" spans="1:1" x14ac:dyDescent="0.55000000000000004">
      <c r="A539" s="2" t="s">
        <v>279</v>
      </c>
    </row>
    <row r="540" spans="1:1" x14ac:dyDescent="0.55000000000000004">
      <c r="A540" s="2" t="s">
        <v>512</v>
      </c>
    </row>
    <row r="541" spans="1:1" x14ac:dyDescent="0.55000000000000004">
      <c r="A541" s="2" t="s">
        <v>281</v>
      </c>
    </row>
    <row r="542" spans="1:1" x14ac:dyDescent="0.55000000000000004">
      <c r="A542" s="2" t="s">
        <v>283</v>
      </c>
    </row>
    <row r="543" spans="1:1" x14ac:dyDescent="0.55000000000000004">
      <c r="A543" s="2" t="s">
        <v>285</v>
      </c>
    </row>
    <row r="544" spans="1:1" x14ac:dyDescent="0.55000000000000004">
      <c r="A544" s="2" t="s">
        <v>287</v>
      </c>
    </row>
    <row r="545" spans="1:1" x14ac:dyDescent="0.55000000000000004">
      <c r="A545" s="2" t="s">
        <v>289</v>
      </c>
    </row>
    <row r="546" spans="1:1" x14ac:dyDescent="0.55000000000000004">
      <c r="A546" s="2" t="s">
        <v>291</v>
      </c>
    </row>
    <row r="547" spans="1:1" x14ac:dyDescent="0.55000000000000004">
      <c r="A547" s="2" t="s">
        <v>474</v>
      </c>
    </row>
    <row r="548" spans="1:1" x14ac:dyDescent="0.55000000000000004">
      <c r="A548" s="2" t="s">
        <v>476</v>
      </c>
    </row>
    <row r="549" spans="1:1" x14ac:dyDescent="0.55000000000000004">
      <c r="A549" s="2" t="s">
        <v>478</v>
      </c>
    </row>
    <row r="550" spans="1:1" x14ac:dyDescent="0.55000000000000004">
      <c r="A550" s="2" t="s">
        <v>480</v>
      </c>
    </row>
    <row r="551" spans="1:1" x14ac:dyDescent="0.55000000000000004">
      <c r="A551" s="2" t="s">
        <v>482</v>
      </c>
    </row>
    <row r="552" spans="1:1" x14ac:dyDescent="0.55000000000000004">
      <c r="A552" s="2" t="s">
        <v>293</v>
      </c>
    </row>
    <row r="553" spans="1:1" x14ac:dyDescent="0.55000000000000004">
      <c r="A553" s="2" t="s">
        <v>295</v>
      </c>
    </row>
    <row r="554" spans="1:1" x14ac:dyDescent="0.55000000000000004">
      <c r="A554" s="2" t="s">
        <v>297</v>
      </c>
    </row>
    <row r="555" spans="1:1" x14ac:dyDescent="0.55000000000000004">
      <c r="A555" s="2" t="s">
        <v>299</v>
      </c>
    </row>
    <row r="556" spans="1:1" x14ac:dyDescent="0.55000000000000004">
      <c r="A556" s="2" t="s">
        <v>301</v>
      </c>
    </row>
    <row r="557" spans="1:1" x14ac:dyDescent="0.55000000000000004">
      <c r="A557" s="2" t="s">
        <v>303</v>
      </c>
    </row>
    <row r="558" spans="1:1" x14ac:dyDescent="0.55000000000000004">
      <c r="A558" s="2" t="s">
        <v>305</v>
      </c>
    </row>
    <row r="559" spans="1:1" x14ac:dyDescent="0.55000000000000004">
      <c r="A559" s="2" t="s">
        <v>307</v>
      </c>
    </row>
    <row r="560" spans="1:1" x14ac:dyDescent="0.55000000000000004">
      <c r="A560" s="2" t="s">
        <v>309</v>
      </c>
    </row>
    <row r="561" spans="1:1" x14ac:dyDescent="0.55000000000000004">
      <c r="A561" s="2" t="s">
        <v>311</v>
      </c>
    </row>
    <row r="562" spans="1:1" x14ac:dyDescent="0.55000000000000004">
      <c r="A562" s="2" t="s">
        <v>313</v>
      </c>
    </row>
    <row r="563" spans="1:1" x14ac:dyDescent="0.55000000000000004">
      <c r="A563" s="2" t="s">
        <v>315</v>
      </c>
    </row>
    <row r="564" spans="1:1" x14ac:dyDescent="0.55000000000000004">
      <c r="A564" s="2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Avg Factors Summary</vt:lpstr>
      <vt:lpstr>Plots</vt:lpstr>
      <vt:lpstr>Car</vt:lpstr>
      <vt:lpstr>SUV</vt:lpstr>
      <vt:lpstr>Minivan</vt:lpstr>
      <vt:lpstr>Pickup</vt:lpstr>
      <vt:lpstr>All Data</vt:lpstr>
      <vt:lpstr>Year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Holzbauer</dc:creator>
  <cp:lastModifiedBy>Debbie Holzbauer</cp:lastModifiedBy>
  <dcterms:created xsi:type="dcterms:W3CDTF">2025-10-30T19:00:29Z</dcterms:created>
  <dcterms:modified xsi:type="dcterms:W3CDTF">2026-09-16T03:30:37Z</dcterms:modified>
</cp:coreProperties>
</file>