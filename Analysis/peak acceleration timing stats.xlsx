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zb\Documents\IIHS Research\Data (IIHS)\timing + rep plots\"/>
    </mc:Choice>
  </mc:AlternateContent>
  <xr:revisionPtr revIDLastSave="0" documentId="13_ncr:1_{56032B6A-D455-4B1B-90EC-EF6F128C6124}" xr6:coauthVersionLast="47" xr6:coauthVersionMax="47" xr10:uidLastSave="{00000000-0000-0000-0000-000000000000}"/>
  <bookViews>
    <workbookView xWindow="3900" yWindow="3700" windowWidth="19200" windowHeight="9980" activeTab="1" xr2:uid="{C6EBE546-09A2-4279-B390-CA453E0BBC60}"/>
  </bookViews>
  <sheets>
    <sheet name="All Timing &amp; Accel Data" sheetId="1" r:id="rId1"/>
    <sheet name="a Timing Stats - by loc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2" i="2" l="1"/>
  <c r="V51" i="2"/>
  <c r="V34" i="2"/>
  <c r="V33" i="2"/>
  <c r="N59" i="2" l="1"/>
  <c r="N61" i="2" s="1"/>
  <c r="V16" i="2"/>
  <c r="V17" i="2"/>
  <c r="N129" i="2" l="1"/>
  <c r="N163" i="2"/>
  <c r="R146" i="2"/>
  <c r="R163" i="2"/>
  <c r="N197" i="2"/>
  <c r="N180" i="2"/>
  <c r="R180" i="2"/>
  <c r="N146" i="2"/>
  <c r="N78" i="2"/>
  <c r="R78" i="2"/>
  <c r="N95" i="2"/>
  <c r="R95" i="2"/>
  <c r="N112" i="2"/>
  <c r="R112" i="2"/>
  <c r="R129" i="2"/>
</calcChain>
</file>

<file path=xl/sharedStrings.xml><?xml version="1.0" encoding="utf-8"?>
<sst xmlns="http://schemas.openxmlformats.org/spreadsheetml/2006/main" count="2509" uniqueCount="606">
  <si>
    <t>Test ID</t>
  </si>
  <si>
    <t>peak vehicle a (g)</t>
  </si>
  <si>
    <t>time of peak vehicle a (s)</t>
  </si>
  <si>
    <t>CEF0101</t>
  </si>
  <si>
    <t>CEF0102</t>
  </si>
  <si>
    <t>CEF0103</t>
  </si>
  <si>
    <t>CEF0104</t>
  </si>
  <si>
    <t>CEF0105</t>
  </si>
  <si>
    <t>CEF0106</t>
  </si>
  <si>
    <t>CEF0107</t>
  </si>
  <si>
    <t>CEF0108</t>
  </si>
  <si>
    <t>CEF0109</t>
  </si>
  <si>
    <t>CEF0110</t>
  </si>
  <si>
    <t>CEF0111</t>
  </si>
  <si>
    <t>CEF0112</t>
  </si>
  <si>
    <t>CEF0113</t>
  </si>
  <si>
    <t>CEF0114</t>
  </si>
  <si>
    <t>CEF0115</t>
  </si>
  <si>
    <t>CEF0116</t>
  </si>
  <si>
    <t>CEF0117</t>
  </si>
  <si>
    <t>CEF0118</t>
  </si>
  <si>
    <t>CEF0119</t>
  </si>
  <si>
    <t>CEF0120</t>
  </si>
  <si>
    <t>CEF0121</t>
  </si>
  <si>
    <t>CEF0122</t>
  </si>
  <si>
    <t>CEF0123</t>
  </si>
  <si>
    <t>CEF0124</t>
  </si>
  <si>
    <t>CEF0125</t>
  </si>
  <si>
    <t>CEF0126</t>
  </si>
  <si>
    <t>CEF0127</t>
  </si>
  <si>
    <t>CEF0128</t>
  </si>
  <si>
    <t>CEF0129</t>
  </si>
  <si>
    <t>CEF0201</t>
  </si>
  <si>
    <t>CEF0202</t>
  </si>
  <si>
    <t>CEF0203</t>
  </si>
  <si>
    <t>CEF0204</t>
  </si>
  <si>
    <t>CEF0205</t>
  </si>
  <si>
    <t>CEF0206</t>
  </si>
  <si>
    <t>CEF0207</t>
  </si>
  <si>
    <t>CEF0208</t>
  </si>
  <si>
    <t>CEF0209</t>
  </si>
  <si>
    <t>CEF0210</t>
  </si>
  <si>
    <t>CEF0211</t>
  </si>
  <si>
    <t>CEF0212</t>
  </si>
  <si>
    <t>CEF0213</t>
  </si>
  <si>
    <t>CEF0214</t>
  </si>
  <si>
    <t>CEF0215</t>
  </si>
  <si>
    <t>CEF0216</t>
  </si>
  <si>
    <t>CEF0217</t>
  </si>
  <si>
    <t>CEF0218</t>
  </si>
  <si>
    <t>CEF0220</t>
  </si>
  <si>
    <t>CEF0221</t>
  </si>
  <si>
    <t>CEF0222</t>
  </si>
  <si>
    <t>CEF0223</t>
  </si>
  <si>
    <t>CEF0224</t>
  </si>
  <si>
    <t>CEF0301</t>
  </si>
  <si>
    <t>CEF0302</t>
  </si>
  <si>
    <t>CEF0303</t>
  </si>
  <si>
    <t>CEF0304</t>
  </si>
  <si>
    <t>CEF0305</t>
  </si>
  <si>
    <t>CEF0306</t>
  </si>
  <si>
    <t>CEF0307</t>
  </si>
  <si>
    <t>CEF0308</t>
  </si>
  <si>
    <t>CEF0309</t>
  </si>
  <si>
    <t>CEF0310</t>
  </si>
  <si>
    <t>CEF0311</t>
  </si>
  <si>
    <t>CEF0312</t>
  </si>
  <si>
    <t>CEF0313</t>
  </si>
  <si>
    <t>CEF0314</t>
  </si>
  <si>
    <t>CEF0317</t>
  </si>
  <si>
    <t>CEF0318</t>
  </si>
  <si>
    <t>CEF0319</t>
  </si>
  <si>
    <t>CEF0321</t>
  </si>
  <si>
    <t>CEF0322</t>
  </si>
  <si>
    <t>CEF0323</t>
  </si>
  <si>
    <t>CEF0324</t>
  </si>
  <si>
    <t>CEF0325</t>
  </si>
  <si>
    <t>CEF0326</t>
  </si>
  <si>
    <t>CEF0327</t>
  </si>
  <si>
    <t>CEF0328</t>
  </si>
  <si>
    <t>CEF0403</t>
  </si>
  <si>
    <t>CEF0404</t>
  </si>
  <si>
    <t>CEF0405</t>
  </si>
  <si>
    <t>CEF0406</t>
  </si>
  <si>
    <t>CEF0407</t>
  </si>
  <si>
    <t>CEF0408</t>
  </si>
  <si>
    <t>CEF0409</t>
  </si>
  <si>
    <t>CEF0410</t>
  </si>
  <si>
    <t>CEF0411</t>
  </si>
  <si>
    <t>CEF0412</t>
  </si>
  <si>
    <t>CEF0413</t>
  </si>
  <si>
    <t>CEF0414</t>
  </si>
  <si>
    <t>CEF0415</t>
  </si>
  <si>
    <t>CEF0416</t>
  </si>
  <si>
    <t>CEF0417</t>
  </si>
  <si>
    <t>CEF0418</t>
  </si>
  <si>
    <t>CEF0419</t>
  </si>
  <si>
    <t>CEF0420</t>
  </si>
  <si>
    <t>CEF0421</t>
  </si>
  <si>
    <t>CEF0501</t>
  </si>
  <si>
    <t>CEF0502</t>
  </si>
  <si>
    <t>CEF0503</t>
  </si>
  <si>
    <t>CEF0504</t>
  </si>
  <si>
    <t>CEF0505</t>
  </si>
  <si>
    <t>CEF0506</t>
  </si>
  <si>
    <t>CEF0507</t>
  </si>
  <si>
    <t>CEF0508</t>
  </si>
  <si>
    <t>CEF0509</t>
  </si>
  <si>
    <t>CEF0510</t>
  </si>
  <si>
    <t>CEF0511</t>
  </si>
  <si>
    <t>CEF0513</t>
  </si>
  <si>
    <t>CEF0514</t>
  </si>
  <si>
    <t>CEF0515</t>
  </si>
  <si>
    <t>CEF0516</t>
  </si>
  <si>
    <t>CEF0518</t>
  </si>
  <si>
    <t>CEF0519</t>
  </si>
  <si>
    <t>CEF0520</t>
  </si>
  <si>
    <t>CEF0521</t>
  </si>
  <si>
    <t>CEF0522</t>
  </si>
  <si>
    <t>CEF0523</t>
  </si>
  <si>
    <t>CEF0524</t>
  </si>
  <si>
    <t>CEF0525</t>
  </si>
  <si>
    <t>CEF0526</t>
  </si>
  <si>
    <t>CEF0527</t>
  </si>
  <si>
    <t>CEF0528</t>
  </si>
  <si>
    <t>CEF0529</t>
  </si>
  <si>
    <t>CEF0530</t>
  </si>
  <si>
    <t>CEF0531</t>
  </si>
  <si>
    <t>CEF0601</t>
  </si>
  <si>
    <t>CEF0602</t>
  </si>
  <si>
    <t>CEF0603</t>
  </si>
  <si>
    <t>CEF0604</t>
  </si>
  <si>
    <t>CEF0605</t>
  </si>
  <si>
    <t>CEF0606</t>
  </si>
  <si>
    <t>CEF0607</t>
  </si>
  <si>
    <t>CEF0608</t>
  </si>
  <si>
    <t>CEF0609</t>
  </si>
  <si>
    <t>CEF0610</t>
  </si>
  <si>
    <t>CEF0611</t>
  </si>
  <si>
    <t>CEF0612</t>
  </si>
  <si>
    <t>CEF0613</t>
  </si>
  <si>
    <t>CEF0614</t>
  </si>
  <si>
    <t>CEF0615</t>
  </si>
  <si>
    <t>CEF0701</t>
  </si>
  <si>
    <t>CEF0702</t>
  </si>
  <si>
    <t>CEF0703</t>
  </si>
  <si>
    <t>CEF0704</t>
  </si>
  <si>
    <t>CEF0705</t>
  </si>
  <si>
    <t>CEF0706</t>
  </si>
  <si>
    <t>CEF0707</t>
  </si>
  <si>
    <t>CEF0708</t>
  </si>
  <si>
    <t>CEF0710</t>
  </si>
  <si>
    <t>CEF0711</t>
  </si>
  <si>
    <t>CEF0712</t>
  </si>
  <si>
    <t>CEF0713</t>
  </si>
  <si>
    <t>CEF0714</t>
  </si>
  <si>
    <t>CEF0715</t>
  </si>
  <si>
    <t>CEF0716</t>
  </si>
  <si>
    <t>CEF0717</t>
  </si>
  <si>
    <t>CEF0718</t>
  </si>
  <si>
    <t>CEF0719</t>
  </si>
  <si>
    <t>CEF0720</t>
  </si>
  <si>
    <t>CEF0721</t>
  </si>
  <si>
    <t>CEF0722</t>
  </si>
  <si>
    <t>CEF0723</t>
  </si>
  <si>
    <t>CEF0724</t>
  </si>
  <si>
    <t>CEF0725</t>
  </si>
  <si>
    <t>CEF0726</t>
  </si>
  <si>
    <t>CEF0727</t>
  </si>
  <si>
    <t>CEF0801</t>
  </si>
  <si>
    <t>CEF0802</t>
  </si>
  <si>
    <t>CEF0803</t>
  </si>
  <si>
    <t>CEF0804</t>
  </si>
  <si>
    <t>CEF0805</t>
  </si>
  <si>
    <t>CEF0806</t>
  </si>
  <si>
    <t>CEF0807</t>
  </si>
  <si>
    <t>CEF0808</t>
  </si>
  <si>
    <t>CEF0810</t>
  </si>
  <si>
    <t>CEF0811</t>
  </si>
  <si>
    <t>CEF0812</t>
  </si>
  <si>
    <t>CEF0813</t>
  </si>
  <si>
    <t>CEF0814</t>
  </si>
  <si>
    <t>CEF0815</t>
  </si>
  <si>
    <t>CEF0816</t>
  </si>
  <si>
    <t>CEF0817</t>
  </si>
  <si>
    <t>CEF0818</t>
  </si>
  <si>
    <t>CEF0819</t>
  </si>
  <si>
    <t>CEF0820</t>
  </si>
  <si>
    <t>CEF0821</t>
  </si>
  <si>
    <t>CEF0822</t>
  </si>
  <si>
    <t>CEF0823</t>
  </si>
  <si>
    <t>CEF0824</t>
  </si>
  <si>
    <t>CEF0825</t>
  </si>
  <si>
    <t>CEF0902</t>
  </si>
  <si>
    <t>CEF0903</t>
  </si>
  <si>
    <t>CEF0904</t>
  </si>
  <si>
    <t>CEF0905</t>
  </si>
  <si>
    <t>CEF0906</t>
  </si>
  <si>
    <t>CEF0907</t>
  </si>
  <si>
    <t>CEF0908</t>
  </si>
  <si>
    <t>CEF0909</t>
  </si>
  <si>
    <t>CEF0910</t>
  </si>
  <si>
    <t>CEF0911</t>
  </si>
  <si>
    <t>CEF0912</t>
  </si>
  <si>
    <t>CEF0913</t>
  </si>
  <si>
    <t>CEF0914</t>
  </si>
  <si>
    <t>CEF0915</t>
  </si>
  <si>
    <t>CEF0916</t>
  </si>
  <si>
    <t>CEF1001</t>
  </si>
  <si>
    <t>CEF1002</t>
  </si>
  <si>
    <t>CEF1003</t>
  </si>
  <si>
    <t>CEF1004</t>
  </si>
  <si>
    <t>CEF1005</t>
  </si>
  <si>
    <t>CEF1006</t>
  </si>
  <si>
    <t>CEF1007 (Driver)</t>
  </si>
  <si>
    <t>CEF1008 (Driver)</t>
  </si>
  <si>
    <t>CEF1009 (Driver)</t>
  </si>
  <si>
    <t>CEF1010 (Driver)</t>
  </si>
  <si>
    <t>CEF1011 (Driver)</t>
  </si>
  <si>
    <t>CEF1102 (Driver)</t>
  </si>
  <si>
    <t>CEF1103 (Driver)</t>
  </si>
  <si>
    <t>CEF1104 (Driver)</t>
  </si>
  <si>
    <t>CEF1105 (Driver)</t>
  </si>
  <si>
    <t>CEF1106 (Driver)</t>
  </si>
  <si>
    <t>CEF1107 (Driver)</t>
  </si>
  <si>
    <t>CEF1108 (Driver)</t>
  </si>
  <si>
    <t>CEF1109 (Driver)</t>
  </si>
  <si>
    <t>CEF1110 (Driver)</t>
  </si>
  <si>
    <t>CEF1201 (Driver)</t>
  </si>
  <si>
    <t>CEF1202 (Driver)</t>
  </si>
  <si>
    <t>CEF1203 (Driver)</t>
  </si>
  <si>
    <t>CEF1204 (Driver)</t>
  </si>
  <si>
    <t>CEF1205 (Driver)</t>
  </si>
  <si>
    <t>CEF1206 (Driver)</t>
  </si>
  <si>
    <t>CEF1207 (Driver)</t>
  </si>
  <si>
    <t>CEF1208 (Driver)</t>
  </si>
  <si>
    <t>CEF1301 (Driver)</t>
  </si>
  <si>
    <t>CEF1302 (Driver)</t>
  </si>
  <si>
    <t>CEF1303 (Driver)</t>
  </si>
  <si>
    <t>CEF1304 (Driver)</t>
  </si>
  <si>
    <t>CEF1305 (Driver)</t>
  </si>
  <si>
    <t>CEF1306 (Driver)</t>
  </si>
  <si>
    <t>CEF1307 (Driver)</t>
  </si>
  <si>
    <t>CEF1308 (Driver)</t>
  </si>
  <si>
    <t>CEF1401 (Driver)</t>
  </si>
  <si>
    <t>CEF1402 (Driver)</t>
  </si>
  <si>
    <t>CEF1403 (Driver)</t>
  </si>
  <si>
    <t>CEF1404 (Driver)</t>
  </si>
  <si>
    <t>CEF1405 (Driver)</t>
  </si>
  <si>
    <t>CEF1406 (Driver)</t>
  </si>
  <si>
    <t>CEF1501 (Driver)</t>
  </si>
  <si>
    <t>CEF1502 (Driver)</t>
  </si>
  <si>
    <t>CEF1504 (Driver)</t>
  </si>
  <si>
    <t>CEF1601 (Driver)</t>
  </si>
  <si>
    <t>CEF1602 (Driver)</t>
  </si>
  <si>
    <t>CEF1603 (Driver)</t>
  </si>
  <si>
    <t>CEF1604 (Driver)</t>
  </si>
  <si>
    <t>CEF1605 (Driver)</t>
  </si>
  <si>
    <t>CEF1606 (Driver)</t>
  </si>
  <si>
    <t>CEF1607 (Driver)</t>
  </si>
  <si>
    <t>CEF1608 (Driver)</t>
  </si>
  <si>
    <t>CEF1609 (Driver)</t>
  </si>
  <si>
    <t>CEF1610 (Driver)</t>
  </si>
  <si>
    <t>CEF1611 (Driver)</t>
  </si>
  <si>
    <t>CEF1701 (Driver)</t>
  </si>
  <si>
    <t>CEF1702 (Driver)</t>
  </si>
  <si>
    <t>CEF1703</t>
  </si>
  <si>
    <t>CEF1801</t>
  </si>
  <si>
    <t>CEF1802</t>
  </si>
  <si>
    <t>CEF1803</t>
  </si>
  <si>
    <t>CEF1901</t>
  </si>
  <si>
    <t>CEF1902</t>
  </si>
  <si>
    <t>CEF1903</t>
  </si>
  <si>
    <t>CEF1904</t>
  </si>
  <si>
    <t>CEF2101</t>
  </si>
  <si>
    <t>CEF2102</t>
  </si>
  <si>
    <t>CEF2103</t>
  </si>
  <si>
    <t>CEF2104</t>
  </si>
  <si>
    <t>CEF2105</t>
  </si>
  <si>
    <t>CEF2106</t>
  </si>
  <si>
    <t>CEF2107</t>
  </si>
  <si>
    <t>CEF2108</t>
  </si>
  <si>
    <t>CEF2109</t>
  </si>
  <si>
    <t>CEF2110</t>
  </si>
  <si>
    <t>CEF2111</t>
  </si>
  <si>
    <t>CEF2112</t>
  </si>
  <si>
    <t>CEF2113</t>
  </si>
  <si>
    <t>CEF2114</t>
  </si>
  <si>
    <t>CEF2115</t>
  </si>
  <si>
    <t>CEF2116</t>
  </si>
  <si>
    <t>CEF2117</t>
  </si>
  <si>
    <t>CEF2118</t>
  </si>
  <si>
    <t>CEF2119</t>
  </si>
  <si>
    <t>CEF2201</t>
  </si>
  <si>
    <t>CEF2202</t>
  </si>
  <si>
    <t>CEF2203</t>
  </si>
  <si>
    <t>CEF2204</t>
  </si>
  <si>
    <t>CEF2205</t>
  </si>
  <si>
    <t>CEF2206</t>
  </si>
  <si>
    <t>CEF2207</t>
  </si>
  <si>
    <t>CEF2208</t>
  </si>
  <si>
    <t>CEF2209</t>
  </si>
  <si>
    <t>CEF2211</t>
  </si>
  <si>
    <t>CEF2213</t>
  </si>
  <si>
    <t>CEF2214</t>
  </si>
  <si>
    <t>CEF2215</t>
  </si>
  <si>
    <t>CEF2216</t>
  </si>
  <si>
    <t>CEF2218</t>
  </si>
  <si>
    <t>CEF2219</t>
  </si>
  <si>
    <t>CEF2220</t>
  </si>
  <si>
    <t>CEF2226</t>
  </si>
  <si>
    <t>CEF2227</t>
  </si>
  <si>
    <t>CEF2228</t>
  </si>
  <si>
    <t>CEF2229</t>
  </si>
  <si>
    <t>CEF2230</t>
  </si>
  <si>
    <t>CEF2301</t>
  </si>
  <si>
    <t>CEF2302</t>
  </si>
  <si>
    <t>CEF2303</t>
  </si>
  <si>
    <t>CEF2304</t>
  </si>
  <si>
    <t>CEF2305</t>
  </si>
  <si>
    <t>CEF2306</t>
  </si>
  <si>
    <t>CEF2307</t>
  </si>
  <si>
    <t>CEF2308</t>
  </si>
  <si>
    <t>CEF2309</t>
  </si>
  <si>
    <t>CEF2310</t>
  </si>
  <si>
    <t>CEF2311</t>
  </si>
  <si>
    <t>CEF2312</t>
  </si>
  <si>
    <t>CEF2313</t>
  </si>
  <si>
    <t>CEF2314</t>
  </si>
  <si>
    <t>CEF2315</t>
  </si>
  <si>
    <t>CEF2316</t>
  </si>
  <si>
    <t>CEF2317</t>
  </si>
  <si>
    <t>CEF2318</t>
  </si>
  <si>
    <t>CEF2319</t>
  </si>
  <si>
    <t>CEF2320</t>
  </si>
  <si>
    <t>CEF2321</t>
  </si>
  <si>
    <t>CEF2322</t>
  </si>
  <si>
    <t>CEF2323</t>
  </si>
  <si>
    <t>CEF2324</t>
  </si>
  <si>
    <t>CEF2325</t>
  </si>
  <si>
    <t>CEF2326</t>
  </si>
  <si>
    <t>CEF2327</t>
  </si>
  <si>
    <t>CEF2328</t>
  </si>
  <si>
    <t>CEF2329</t>
  </si>
  <si>
    <t>CEF2330</t>
  </si>
  <si>
    <t>CEF2331</t>
  </si>
  <si>
    <t>CEF2332</t>
  </si>
  <si>
    <t>CEF2333</t>
  </si>
  <si>
    <t>CEF2334</t>
  </si>
  <si>
    <t>CEF2335</t>
  </si>
  <si>
    <t>CEF2336</t>
  </si>
  <si>
    <t>CEF2337</t>
  </si>
  <si>
    <t>CEF2338</t>
  </si>
  <si>
    <t>CEF2339</t>
  </si>
  <si>
    <t>CEF2340</t>
  </si>
  <si>
    <t>CEF2341</t>
  </si>
  <si>
    <t>CEF2342</t>
  </si>
  <si>
    <t>CEF2343</t>
  </si>
  <si>
    <t>CEF2344</t>
  </si>
  <si>
    <t>CEF2345</t>
  </si>
  <si>
    <t>CEF2346</t>
  </si>
  <si>
    <t>CEF2347</t>
  </si>
  <si>
    <t>CEF2349</t>
  </si>
  <si>
    <t>CEF2350</t>
  </si>
  <si>
    <t>CEF2351</t>
  </si>
  <si>
    <t>CEF2402</t>
  </si>
  <si>
    <t>CEF2403</t>
  </si>
  <si>
    <t>CEF2404</t>
  </si>
  <si>
    <t>CEF2405</t>
  </si>
  <si>
    <t>CEF2406</t>
  </si>
  <si>
    <t>CEF2407</t>
  </si>
  <si>
    <t>CEF2409</t>
  </si>
  <si>
    <t>CEF2410</t>
  </si>
  <si>
    <t>CEF2411</t>
  </si>
  <si>
    <t>CEF2412</t>
  </si>
  <si>
    <t>CEF2413</t>
  </si>
  <si>
    <t>CEF2414</t>
  </si>
  <si>
    <t>CEF2416</t>
  </si>
  <si>
    <t>CEF2417</t>
  </si>
  <si>
    <t>CEF2418</t>
  </si>
  <si>
    <t>CEF2419</t>
  </si>
  <si>
    <t>CEF2420</t>
  </si>
  <si>
    <t>CEF2422</t>
  </si>
  <si>
    <t>CEF2423</t>
  </si>
  <si>
    <t>CEF2424</t>
  </si>
  <si>
    <t>CEF2425</t>
  </si>
  <si>
    <t>CEF2426</t>
  </si>
  <si>
    <t>CEF2427</t>
  </si>
  <si>
    <t>CEF2428</t>
  </si>
  <si>
    <t>CEF2429</t>
  </si>
  <si>
    <t>CEF2430</t>
  </si>
  <si>
    <t>CEF2431</t>
  </si>
  <si>
    <t>CEF2432</t>
  </si>
  <si>
    <t>CEF2433</t>
  </si>
  <si>
    <t>CEF2434</t>
  </si>
  <si>
    <t>CEF2435</t>
  </si>
  <si>
    <t>CEF2437</t>
  </si>
  <si>
    <t>CEF2438</t>
  </si>
  <si>
    <t>CEF2439</t>
  </si>
  <si>
    <t>CEF2440</t>
  </si>
  <si>
    <t>CEF2441</t>
  </si>
  <si>
    <t>CEF2442</t>
  </si>
  <si>
    <t>CEF2443</t>
  </si>
  <si>
    <t>CEF2444</t>
  </si>
  <si>
    <t>CEF2445</t>
  </si>
  <si>
    <t>CEF2446</t>
  </si>
  <si>
    <t>CEF2447</t>
  </si>
  <si>
    <t>CEF2448</t>
  </si>
  <si>
    <t>CEF2449</t>
  </si>
  <si>
    <t>CEF2450</t>
  </si>
  <si>
    <t>CEF2451</t>
  </si>
  <si>
    <t>CEF2452</t>
  </si>
  <si>
    <t>CEF2453</t>
  </si>
  <si>
    <t>CEF2454</t>
  </si>
  <si>
    <t>CEF2456</t>
  </si>
  <si>
    <t>CEF2457</t>
  </si>
  <si>
    <t>CEF2501</t>
  </si>
  <si>
    <t>CEF2502</t>
  </si>
  <si>
    <t>CEF2503</t>
  </si>
  <si>
    <t>CEF2504</t>
  </si>
  <si>
    <t>CEF2505</t>
  </si>
  <si>
    <t>CEF2506</t>
  </si>
  <si>
    <t>CEF2507</t>
  </si>
  <si>
    <t>CEF2508</t>
  </si>
  <si>
    <t>CEF2509</t>
  </si>
  <si>
    <t>CEF2511</t>
  </si>
  <si>
    <t>CEF2512</t>
  </si>
  <si>
    <t>CEF2513</t>
  </si>
  <si>
    <t>CEF2514</t>
  </si>
  <si>
    <t>CEF2515</t>
  </si>
  <si>
    <t>CEF2516</t>
  </si>
  <si>
    <t>CEF2517</t>
  </si>
  <si>
    <t>CEF2518</t>
  </si>
  <si>
    <t>CEF2519</t>
  </si>
  <si>
    <t>CEF2520</t>
  </si>
  <si>
    <t>CEF2521</t>
  </si>
  <si>
    <t>CEF2522</t>
  </si>
  <si>
    <t>CEF2523</t>
  </si>
  <si>
    <t>CEF2524</t>
  </si>
  <si>
    <t>CEF2525</t>
  </si>
  <si>
    <t>CEF2526</t>
  </si>
  <si>
    <t>CEF2527</t>
  </si>
  <si>
    <t>CEF2528</t>
  </si>
  <si>
    <t>CEF2529</t>
  </si>
  <si>
    <t>CEF2530</t>
  </si>
  <si>
    <t>CEF2531</t>
  </si>
  <si>
    <t>CEF2532</t>
  </si>
  <si>
    <t>CEF2533</t>
  </si>
  <si>
    <t>CEF2534</t>
  </si>
  <si>
    <t>CEF2535</t>
  </si>
  <si>
    <t>CEF2536</t>
  </si>
  <si>
    <t>CEF2537</t>
  </si>
  <si>
    <t>CEF2538</t>
  </si>
  <si>
    <t>CEF2539</t>
  </si>
  <si>
    <t>CEF2540</t>
  </si>
  <si>
    <t>CEF2541</t>
  </si>
  <si>
    <t>CEF2542</t>
  </si>
  <si>
    <t>CEF2543</t>
  </si>
  <si>
    <t>CEF2544</t>
  </si>
  <si>
    <t>CEF2545</t>
  </si>
  <si>
    <t>CEF2547</t>
  </si>
  <si>
    <t>CEF2548</t>
  </si>
  <si>
    <t>CEF2550</t>
  </si>
  <si>
    <t>CEF2552</t>
  </si>
  <si>
    <t>CEF2553</t>
  </si>
  <si>
    <t>CF00002</t>
  </si>
  <si>
    <t>CF00003</t>
  </si>
  <si>
    <t>CF00004</t>
  </si>
  <si>
    <t>CF00005</t>
  </si>
  <si>
    <t>CF00006</t>
  </si>
  <si>
    <t>CF00007</t>
  </si>
  <si>
    <t>CF00010</t>
  </si>
  <si>
    <t>CF00011</t>
  </si>
  <si>
    <t>CF00012</t>
  </si>
  <si>
    <t>CF00014</t>
  </si>
  <si>
    <t>CF00015</t>
  </si>
  <si>
    <t>CF00016</t>
  </si>
  <si>
    <t>CF00017</t>
  </si>
  <si>
    <t>CF00020</t>
  </si>
  <si>
    <t>CF00021</t>
  </si>
  <si>
    <t>CF00022</t>
  </si>
  <si>
    <t>CF00023</t>
  </si>
  <si>
    <t>CF00024</t>
  </si>
  <si>
    <t>CF00026</t>
  </si>
  <si>
    <t>CF00027</t>
  </si>
  <si>
    <t>CF00028</t>
  </si>
  <si>
    <t>CF00029</t>
  </si>
  <si>
    <t>CF00030</t>
  </si>
  <si>
    <t>CF00031</t>
  </si>
  <si>
    <t>CF00032</t>
  </si>
  <si>
    <t>CF00033</t>
  </si>
  <si>
    <t>CF00034</t>
  </si>
  <si>
    <t>CF10015</t>
  </si>
  <si>
    <t>CF10016</t>
  </si>
  <si>
    <t>CF13006 (Driver)</t>
  </si>
  <si>
    <t>CF15001 (Driver)</t>
  </si>
  <si>
    <t>CF15002 (Driver)</t>
  </si>
  <si>
    <t>CF16005</t>
  </si>
  <si>
    <t>CF18004</t>
  </si>
  <si>
    <t>CF18005</t>
  </si>
  <si>
    <t>CF18006</t>
  </si>
  <si>
    <t>CF18007</t>
  </si>
  <si>
    <t>CF19001</t>
  </si>
  <si>
    <t>CF19002</t>
  </si>
  <si>
    <t>CF96028</t>
  </si>
  <si>
    <t>CF98007</t>
  </si>
  <si>
    <t>CF98008</t>
  </si>
  <si>
    <t>CF98012</t>
  </si>
  <si>
    <t>CF98013</t>
  </si>
  <si>
    <t>CF98016</t>
  </si>
  <si>
    <t>CF98017</t>
  </si>
  <si>
    <t>CF98018</t>
  </si>
  <si>
    <t>CF98019</t>
  </si>
  <si>
    <t>CF98020</t>
  </si>
  <si>
    <t>CF98021</t>
  </si>
  <si>
    <t>CF98022</t>
  </si>
  <si>
    <t>CF98023</t>
  </si>
  <si>
    <t>CF98024</t>
  </si>
  <si>
    <t>CF99001</t>
  </si>
  <si>
    <t>CF99002</t>
  </si>
  <si>
    <t>CF99003</t>
  </si>
  <si>
    <t>CF99004</t>
  </si>
  <si>
    <t>CF99005</t>
  </si>
  <si>
    <t>CF99006</t>
  </si>
  <si>
    <t>CF99007</t>
  </si>
  <si>
    <t>CF99008</t>
  </si>
  <si>
    <t>CF99009</t>
  </si>
  <si>
    <t>CF99010</t>
  </si>
  <si>
    <t>CF99011</t>
  </si>
  <si>
    <t>CF99012</t>
  </si>
  <si>
    <t>CF99013</t>
  </si>
  <si>
    <t>CF99014</t>
  </si>
  <si>
    <t>CF99015</t>
  </si>
  <si>
    <t>CF99016</t>
  </si>
  <si>
    <t>CF99017</t>
  </si>
  <si>
    <t>CF99018</t>
  </si>
  <si>
    <t>CF99019</t>
  </si>
  <si>
    <t>CF99020</t>
  </si>
  <si>
    <t>CF99021</t>
  </si>
  <si>
    <t>CF99022</t>
  </si>
  <si>
    <t>CF99024</t>
  </si>
  <si>
    <t>CF99025</t>
  </si>
  <si>
    <t>CF99026</t>
  </si>
  <si>
    <t>cf00025</t>
  </si>
  <si>
    <t>peak driver head a (g)</t>
  </si>
  <si>
    <t>time of peak driver head a (s)</t>
  </si>
  <si>
    <t>peak driver chest a (g)</t>
  </si>
  <si>
    <t>time of peak driver chest a (s)</t>
  </si>
  <si>
    <t>peak passenger head a (g)</t>
  </si>
  <si>
    <t>time of peak passenger head a (s)</t>
  </si>
  <si>
    <t>peak passenger chest a (g)</t>
  </si>
  <si>
    <t>time of peak passenger chest a (s)</t>
  </si>
  <si>
    <t>peak passenger pelvis a (g)</t>
  </si>
  <si>
    <t>time of peak passenger pelvis a (s)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</si>
  <si>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</si>
  <si>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</si>
  <si>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</si>
  <si>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</si>
  <si>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</si>
  <si>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</si>
  <si>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</si>
  <si>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</si>
  <si>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</si>
  <si>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</si>
  <si>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</si>
  <si>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</si>
  <si>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</si>
  <si>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</si>
  <si>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</si>
  <si>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</si>
  <si>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</si>
  <si>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</si>
  <si>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if F &gt; Fcrit, sig difference exists</t>
  </si>
  <si>
    <t>if p value less than significance value (.05), sig difference exists</t>
  </si>
  <si>
    <t>Post-Hoc Testing using Bonferroni method (Tukey not available in excel):</t>
  </si>
  <si>
    <t>https://stat.utexas.edu/videos/excel-2016/statistical-inference/video/125</t>
  </si>
  <si>
    <t># of groups</t>
  </si>
  <si>
    <t># of tests required</t>
  </si>
  <si>
    <t>significance factor</t>
  </si>
  <si>
    <t>Bonferroni adjusted significance factor</t>
  </si>
  <si>
    <t>to compensate for repeating same test multiple times</t>
  </si>
  <si>
    <t>t-Test: Two-Sample Assuming Unequal Variances</t>
  </si>
  <si>
    <t>Mean</t>
  </si>
  <si>
    <t>Observations</t>
  </si>
  <si>
    <t>Hypothesized Mean Difference</t>
  </si>
  <si>
    <t>t Stat</t>
  </si>
  <si>
    <t>P(T&lt;=t) one-tail</t>
  </si>
  <si>
    <t>t Critical one-tail</t>
  </si>
  <si>
    <t>P(T&lt;=t) two-tail</t>
  </si>
  <si>
    <t>t Critical two-tail</t>
  </si>
  <si>
    <t>sig diff if two-tail p &lt; adj sig factor</t>
  </si>
  <si>
    <t>1:</t>
  </si>
  <si>
    <t>2:</t>
  </si>
  <si>
    <t>3:</t>
  </si>
  <si>
    <t>4:</t>
  </si>
  <si>
    <t>5:</t>
  </si>
  <si>
    <t>6:</t>
  </si>
  <si>
    <t>7:</t>
  </si>
  <si>
    <t>8:</t>
  </si>
  <si>
    <t>9:</t>
  </si>
  <si>
    <t>10:</t>
  </si>
  <si>
    <t>11:</t>
  </si>
  <si>
    <t>12:</t>
  </si>
  <si>
    <t>13:</t>
  </si>
  <si>
    <t>14:</t>
  </si>
  <si>
    <t>15: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</si>
</sst>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0" fillId="0" borderId="3" xfId="0" applyBorder="1"/>
    <xf numFmtId="0" fontId="0" fillId="2" borderId="4" xfId="0" applyFill="1" applyBorder="1"/>
    <xf numFmtId="0" fontId="0" fillId="0" borderId="5" xfId="0" applyBorder="1"/>
    <xf numFmtId="0" fontId="0" fillId="2" borderId="6" xfId="0" applyFill="1" applyBorder="1"/>
    <xf numFmtId="0" fontId="2" fillId="0" borderId="0" xfId="2"/>
    <xf numFmtId="20" fontId="0" fillId="0" borderId="0" xfId="0" quotePrefix="1" applyNumberFormat="1"/>
    <xf numFmtId="0" fontId="0" fillId="2" borderId="0" xfId="0" applyFill="1"/>
    <xf numFmtId="0" fontId="1" fillId="0" borderId="0" xfId="1"/>
    <xf numFmtId="0" fontId="1" fillId="0" borderId="0" xfId="0" applyFont="1"/>
  </cellXfs>
  <cellStyles count="3">
    <cellStyle name="Hyperlink" xfId="2" builtinId="8"/>
    <cellStyle name="Normal" xfId="0" builtinId="0"/>
    <cellStyle name="Normal 2" xfId="1" xr:uid="{0113F571-7659-4ECF-A0E5-8479DFB0BC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5DAE-0120-4C5B-BBC6-3CFD8CF23A0D}">
  <dimension ref="A1:W542"/>
  <sheetViews>
    <sheetView topLeftCell="C424" zoomScale="61" workbookViewId="0">
      <selection activeCell="O469" sqref="A1:XFD1048576"/>
    </sheetView>
  </sheetViews>
  <sheetFormatPr defaultRowHeight="14.35" x14ac:dyDescent="0.5"/>
  <cols>
    <col min="1" max="1" width="14.5859375" customWidth="1"/>
    <col min="2" max="2" width="14.76171875" customWidth="1"/>
    <col min="3" max="3" width="20.5859375" customWidth="1"/>
    <col min="5" max="5" width="14.5859375" customWidth="1"/>
    <col min="6" max="6" width="17.9375" bestFit="1" customWidth="1"/>
    <col min="7" max="7" width="23.8203125" bestFit="1" customWidth="1"/>
    <col min="9" max="9" width="14.5859375" customWidth="1"/>
    <col min="10" max="10" width="18.234375" bestFit="1" customWidth="1"/>
    <col min="11" max="11" width="24.1171875" bestFit="1" customWidth="1"/>
    <col min="13" max="13" width="7.703125" bestFit="1" customWidth="1"/>
    <col min="14" max="14" width="21.29296875" bestFit="1" customWidth="1"/>
    <col min="15" max="15" width="27.17578125" bestFit="1" customWidth="1"/>
    <col min="17" max="17" width="7.703125" bestFit="1" customWidth="1"/>
    <col min="18" max="18" width="21.5859375" bestFit="1" customWidth="1"/>
    <col min="19" max="19" width="27.46875" bestFit="1" customWidth="1"/>
    <col min="21" max="21" width="8.05859375" customWidth="1"/>
    <col min="22" max="22" width="21.9375" bestFit="1" customWidth="1"/>
    <col min="23" max="23" width="27.8203125" bestFit="1" customWidth="1"/>
  </cols>
  <sheetData>
    <row r="1" spans="1:23" x14ac:dyDescent="0.5">
      <c r="A1" t="s">
        <v>0</v>
      </c>
      <c r="B1" t="s">
        <v>1</v>
      </c>
      <c r="C1" t="s">
        <v>2</v>
      </c>
      <c r="E1" t="s">
        <v>0</v>
      </c>
      <c r="F1" t="s">
        <v>544</v>
      </c>
      <c r="G1" t="s">
        <v>545</v>
      </c>
      <c r="I1" t="s">
        <v>0</v>
      </c>
      <c r="J1" t="s">
        <v>546</v>
      </c>
      <c r="K1" t="s">
        <v>547</v>
      </c>
      <c r="M1" t="s">
        <v>0</v>
      </c>
      <c r="N1" t="s">
        <v>548</v>
      </c>
      <c r="O1" t="s">
        <v>549</v>
      </c>
      <c r="Q1" t="s">
        <v>0</v>
      </c>
      <c r="R1" t="s">
        <v>550</v>
      </c>
      <c r="S1" t="s">
        <v>551</v>
      </c>
      <c r="U1" t="s">
        <v>0</v>
      </c>
      <c r="V1" t="s">
        <v>552</v>
      </c>
      <c r="W1" t="s">
        <v>553</v>
      </c>
    </row>
    <row r="2" spans="1:23" x14ac:dyDescent="0.5">
      <c r="A2" t="s">
        <v>3</v>
      </c>
      <c r="B2">
        <v>55.546599999999998</v>
      </c>
      <c r="C2">
        <v>7.5400000000001521E-2</v>
      </c>
      <c r="E2" t="s">
        <v>3</v>
      </c>
      <c r="F2">
        <v>44.598199999999999</v>
      </c>
      <c r="G2">
        <v>0.10810000000000246</v>
      </c>
      <c r="I2" t="s">
        <v>3</v>
      </c>
      <c r="J2">
        <v>44.7258</v>
      </c>
      <c r="K2">
        <v>0.10910000000000249</v>
      </c>
    </row>
    <row r="3" spans="1:23" x14ac:dyDescent="0.5">
      <c r="A3" t="s">
        <v>4</v>
      </c>
      <c r="B3">
        <v>37.124400000000001</v>
      </c>
      <c r="C3">
        <v>0.10020000000000223</v>
      </c>
      <c r="E3" t="s">
        <v>4</v>
      </c>
      <c r="F3">
        <v>81.139700000000005</v>
      </c>
      <c r="G3">
        <v>0.11170000000000256</v>
      </c>
      <c r="I3" t="s">
        <v>4</v>
      </c>
      <c r="J3">
        <v>48.569299999999998</v>
      </c>
      <c r="K3">
        <v>0.11770000000000273</v>
      </c>
    </row>
    <row r="4" spans="1:23" x14ac:dyDescent="0.5">
      <c r="A4" t="s">
        <v>5</v>
      </c>
      <c r="B4">
        <v>41.334499999999998</v>
      </c>
      <c r="C4">
        <v>8.7900000000001879E-2</v>
      </c>
      <c r="E4" t="s">
        <v>5</v>
      </c>
      <c r="F4">
        <v>99.995400000000004</v>
      </c>
      <c r="G4">
        <v>9.8800000000002192E-2</v>
      </c>
      <c r="I4" t="s">
        <v>5</v>
      </c>
      <c r="J4">
        <v>54.975999999999999</v>
      </c>
      <c r="K4">
        <v>9.9300000000002206E-2</v>
      </c>
    </row>
    <row r="5" spans="1:23" x14ac:dyDescent="0.5">
      <c r="A5" t="s">
        <v>6</v>
      </c>
      <c r="B5">
        <v>41.237099999999998</v>
      </c>
      <c r="C5">
        <v>6.5800000000001246E-2</v>
      </c>
      <c r="E5" t="s">
        <v>6</v>
      </c>
      <c r="F5">
        <v>110.2865</v>
      </c>
      <c r="G5">
        <v>0.23809999999999049</v>
      </c>
      <c r="I5" t="s">
        <v>6</v>
      </c>
      <c r="J5">
        <v>59.451099999999997</v>
      </c>
      <c r="K5">
        <v>9.8500000000002183E-2</v>
      </c>
    </row>
    <row r="6" spans="1:23" x14ac:dyDescent="0.5">
      <c r="A6" t="s">
        <v>7</v>
      </c>
      <c r="B6">
        <v>82.240399999999994</v>
      </c>
      <c r="C6">
        <v>7.7900000000001593E-2</v>
      </c>
      <c r="E6" t="s">
        <v>7</v>
      </c>
      <c r="F6">
        <v>89.104100000000003</v>
      </c>
      <c r="G6">
        <v>0.11030000000000252</v>
      </c>
      <c r="I6" t="s">
        <v>7</v>
      </c>
      <c r="J6">
        <v>44.561799999999998</v>
      </c>
      <c r="K6">
        <v>0.10670000000000242</v>
      </c>
    </row>
    <row r="7" spans="1:23" x14ac:dyDescent="0.5">
      <c r="A7" t="s">
        <v>8</v>
      </c>
      <c r="B7">
        <v>46.623100000000001</v>
      </c>
      <c r="C7">
        <v>6.5000000000001223E-2</v>
      </c>
      <c r="E7" t="s">
        <v>8</v>
      </c>
      <c r="F7">
        <v>72.805199999999999</v>
      </c>
      <c r="G7">
        <v>0.10370000000000233</v>
      </c>
      <c r="I7" t="s">
        <v>8</v>
      </c>
      <c r="J7">
        <v>58.3902</v>
      </c>
      <c r="K7">
        <v>0.10570000000000239</v>
      </c>
    </row>
    <row r="8" spans="1:23" x14ac:dyDescent="0.5">
      <c r="A8" t="s">
        <v>9</v>
      </c>
      <c r="B8">
        <v>46.387700000000002</v>
      </c>
      <c r="C8">
        <v>6.4500000000001209E-2</v>
      </c>
      <c r="E8" t="s">
        <v>9</v>
      </c>
      <c r="F8">
        <v>183.6345</v>
      </c>
      <c r="G8">
        <v>0.20359999999999429</v>
      </c>
      <c r="I8" t="s">
        <v>9</v>
      </c>
      <c r="J8">
        <v>54.261899999999997</v>
      </c>
      <c r="K8">
        <v>0.11520000000000266</v>
      </c>
    </row>
    <row r="9" spans="1:23" x14ac:dyDescent="0.5">
      <c r="A9" t="s">
        <v>10</v>
      </c>
      <c r="B9">
        <v>65.012799999999999</v>
      </c>
      <c r="C9">
        <v>6.8200000000001315E-2</v>
      </c>
      <c r="E9" t="s">
        <v>10</v>
      </c>
      <c r="F9">
        <v>48.913600000000002</v>
      </c>
      <c r="G9">
        <v>9.7500000000002154E-2</v>
      </c>
      <c r="I9" t="s">
        <v>10</v>
      </c>
      <c r="J9">
        <v>40.723100000000002</v>
      </c>
      <c r="K9">
        <v>9.3400000000002037E-2</v>
      </c>
    </row>
    <row r="10" spans="1:23" x14ac:dyDescent="0.5">
      <c r="A10" t="s">
        <v>11</v>
      </c>
      <c r="B10">
        <v>40.867699999999999</v>
      </c>
      <c r="C10">
        <v>8.9100000000001914E-2</v>
      </c>
      <c r="E10" t="s">
        <v>11</v>
      </c>
      <c r="F10">
        <v>133.85210000000001</v>
      </c>
      <c r="G10">
        <v>0.11020000000000252</v>
      </c>
      <c r="I10" t="s">
        <v>11</v>
      </c>
      <c r="J10">
        <v>54.7151</v>
      </c>
      <c r="K10">
        <v>0.1094000000000025</v>
      </c>
    </row>
    <row r="11" spans="1:23" x14ac:dyDescent="0.5">
      <c r="A11" t="s">
        <v>12</v>
      </c>
      <c r="B11">
        <v>29.776299999999999</v>
      </c>
      <c r="C11">
        <v>7.220000000000143E-2</v>
      </c>
      <c r="E11" t="s">
        <v>12</v>
      </c>
      <c r="F11">
        <v>134.4256</v>
      </c>
      <c r="G11">
        <v>0.10740000000000244</v>
      </c>
      <c r="I11" t="s">
        <v>12</v>
      </c>
      <c r="J11">
        <v>43.172699999999999</v>
      </c>
      <c r="K11">
        <v>0.13370000000000198</v>
      </c>
    </row>
    <row r="12" spans="1:23" x14ac:dyDescent="0.5">
      <c r="A12" t="s">
        <v>13</v>
      </c>
      <c r="B12">
        <v>36.331499999999998</v>
      </c>
      <c r="C12">
        <v>7.9600000000001642E-2</v>
      </c>
      <c r="E12" t="s">
        <v>13</v>
      </c>
      <c r="F12">
        <v>69.541499999999999</v>
      </c>
      <c r="G12">
        <v>0.10180000000000228</v>
      </c>
      <c r="I12" t="s">
        <v>13</v>
      </c>
      <c r="J12">
        <v>47.710500000000003</v>
      </c>
      <c r="K12">
        <v>0.10640000000000241</v>
      </c>
    </row>
    <row r="13" spans="1:23" x14ac:dyDescent="0.5">
      <c r="A13" t="s">
        <v>14</v>
      </c>
      <c r="B13">
        <v>39.066600000000001</v>
      </c>
      <c r="C13">
        <v>8.6300000000001834E-2</v>
      </c>
      <c r="E13" t="s">
        <v>14</v>
      </c>
      <c r="F13">
        <v>173.8742</v>
      </c>
      <c r="G13">
        <v>0.2197999999999925</v>
      </c>
      <c r="I13" t="s">
        <v>14</v>
      </c>
      <c r="J13">
        <v>52.249299999999998</v>
      </c>
      <c r="K13">
        <v>9.700000000000214E-2</v>
      </c>
    </row>
    <row r="14" spans="1:23" x14ac:dyDescent="0.5">
      <c r="A14" t="s">
        <v>15</v>
      </c>
      <c r="B14">
        <v>44.043303999999999</v>
      </c>
      <c r="C14">
        <v>8.5500000000001811E-2</v>
      </c>
      <c r="E14" t="s">
        <v>15</v>
      </c>
      <c r="F14">
        <v>53.802754</v>
      </c>
      <c r="G14">
        <v>9.9200000000002203E-2</v>
      </c>
      <c r="I14" t="s">
        <v>15</v>
      </c>
      <c r="J14">
        <v>44.292954999999999</v>
      </c>
      <c r="K14">
        <v>0.1094000000000025</v>
      </c>
    </row>
    <row r="15" spans="1:23" x14ac:dyDescent="0.5">
      <c r="A15" t="s">
        <v>16</v>
      </c>
      <c r="B15">
        <v>31.017468000000001</v>
      </c>
      <c r="C15">
        <v>8.3600000000001756E-2</v>
      </c>
      <c r="E15" t="s">
        <v>16</v>
      </c>
      <c r="F15">
        <v>97.552689999999998</v>
      </c>
      <c r="G15">
        <v>0.10570000000000239</v>
      </c>
      <c r="I15" t="s">
        <v>16</v>
      </c>
      <c r="J15">
        <v>45.736221999999998</v>
      </c>
      <c r="K15">
        <v>0.11000000000000251</v>
      </c>
    </row>
    <row r="16" spans="1:23" x14ac:dyDescent="0.5">
      <c r="A16" t="s">
        <v>17</v>
      </c>
      <c r="B16">
        <v>57.181531</v>
      </c>
      <c r="C16">
        <v>7.9800000000001647E-2</v>
      </c>
      <c r="E16" t="s">
        <v>17</v>
      </c>
      <c r="F16">
        <v>61.570664000000001</v>
      </c>
      <c r="G16">
        <v>0.10320000000000232</v>
      </c>
      <c r="I16" t="s">
        <v>17</v>
      </c>
      <c r="J16">
        <v>57.663184000000001</v>
      </c>
      <c r="K16">
        <v>0.10150000000000227</v>
      </c>
    </row>
    <row r="17" spans="1:11" x14ac:dyDescent="0.5">
      <c r="A17" t="s">
        <v>18</v>
      </c>
      <c r="B17">
        <v>36.887735999999997</v>
      </c>
      <c r="C17">
        <v>8.4600000000001785E-2</v>
      </c>
      <c r="E17" t="s">
        <v>18</v>
      </c>
      <c r="F17">
        <v>54.913204</v>
      </c>
      <c r="G17">
        <v>0.28359999999998547</v>
      </c>
      <c r="I17" t="s">
        <v>18</v>
      </c>
      <c r="J17">
        <v>44.559489999999997</v>
      </c>
      <c r="K17">
        <v>9.8700000000002189E-2</v>
      </c>
    </row>
    <row r="18" spans="1:11" x14ac:dyDescent="0.5">
      <c r="A18" t="s">
        <v>19</v>
      </c>
      <c r="B18">
        <v>58.598444000000001</v>
      </c>
      <c r="C18">
        <v>7.6900000000001564E-2</v>
      </c>
      <c r="E18" t="s">
        <v>19</v>
      </c>
      <c r="F18">
        <v>82.707599000000002</v>
      </c>
      <c r="G18">
        <v>0.11440000000000264</v>
      </c>
      <c r="I18" t="s">
        <v>19</v>
      </c>
      <c r="J18">
        <v>47.245958000000002</v>
      </c>
      <c r="K18">
        <v>0.10370000000000233</v>
      </c>
    </row>
    <row r="19" spans="1:11" x14ac:dyDescent="0.5">
      <c r="A19" t="s">
        <v>20</v>
      </c>
      <c r="B19">
        <v>46.405012999999997</v>
      </c>
      <c r="C19">
        <v>6.3100000000001169E-2</v>
      </c>
      <c r="E19" t="s">
        <v>20</v>
      </c>
      <c r="F19">
        <v>73.734859999999998</v>
      </c>
      <c r="G19">
        <v>9.9300000000002206E-2</v>
      </c>
      <c r="I19" t="s">
        <v>20</v>
      </c>
      <c r="J19">
        <v>55.456287000000003</v>
      </c>
      <c r="K19">
        <v>9.5100000000002086E-2</v>
      </c>
    </row>
    <row r="20" spans="1:11" x14ac:dyDescent="0.5">
      <c r="A20" t="s">
        <v>21</v>
      </c>
      <c r="B20">
        <v>36.528722999999999</v>
      </c>
      <c r="C20">
        <v>7.290000000000145E-2</v>
      </c>
      <c r="E20" t="s">
        <v>21</v>
      </c>
      <c r="F20">
        <v>204.35991899999999</v>
      </c>
      <c r="G20">
        <v>0.22899999999999149</v>
      </c>
      <c r="I20" t="s">
        <v>21</v>
      </c>
      <c r="J20">
        <v>53.320089000000003</v>
      </c>
      <c r="K20">
        <v>9.7600000000002157E-2</v>
      </c>
    </row>
    <row r="21" spans="1:11" x14ac:dyDescent="0.5">
      <c r="A21" t="s">
        <v>22</v>
      </c>
      <c r="B21">
        <v>37.472628999999998</v>
      </c>
      <c r="C21">
        <v>7.1100000000001398E-2</v>
      </c>
      <c r="E21" t="s">
        <v>22</v>
      </c>
      <c r="F21">
        <v>51.713296</v>
      </c>
      <c r="G21">
        <v>0.10160000000000227</v>
      </c>
      <c r="I21" t="s">
        <v>22</v>
      </c>
      <c r="J21">
        <v>45.187928999999997</v>
      </c>
      <c r="K21">
        <v>0.10980000000000251</v>
      </c>
    </row>
    <row r="22" spans="1:11" x14ac:dyDescent="0.5">
      <c r="A22" t="s">
        <v>23</v>
      </c>
      <c r="B22">
        <v>55.208340999999997</v>
      </c>
      <c r="C22">
        <v>6.1000000000001116E-2</v>
      </c>
      <c r="E22" t="s">
        <v>23</v>
      </c>
      <c r="F22">
        <v>80.378592999999995</v>
      </c>
      <c r="G22">
        <v>9.8200000000002174E-2</v>
      </c>
      <c r="I22" t="s">
        <v>23</v>
      </c>
      <c r="J22">
        <v>52.170037999999998</v>
      </c>
      <c r="K22">
        <v>0.10160000000000227</v>
      </c>
    </row>
    <row r="23" spans="1:11" x14ac:dyDescent="0.5">
      <c r="A23" t="s">
        <v>24</v>
      </c>
      <c r="B23">
        <v>46.646500000000003</v>
      </c>
      <c r="C23">
        <v>6.9800000000001361E-2</v>
      </c>
      <c r="E23" t="s">
        <v>24</v>
      </c>
      <c r="F23">
        <v>129.1438</v>
      </c>
      <c r="G23">
        <v>0.10800000000000246</v>
      </c>
      <c r="I23" t="s">
        <v>24</v>
      </c>
      <c r="J23">
        <v>54.53</v>
      </c>
      <c r="K23">
        <v>0.10740000000000244</v>
      </c>
    </row>
    <row r="24" spans="1:11" x14ac:dyDescent="0.5">
      <c r="A24" t="s">
        <v>25</v>
      </c>
      <c r="B24">
        <v>42.128526999999998</v>
      </c>
      <c r="C24">
        <v>7.1700000000001415E-2</v>
      </c>
      <c r="E24" t="s">
        <v>25</v>
      </c>
      <c r="F24">
        <v>62.74418</v>
      </c>
      <c r="G24">
        <v>9.6500000000002126E-2</v>
      </c>
      <c r="I24" t="s">
        <v>25</v>
      </c>
      <c r="J24">
        <v>49.233038000000001</v>
      </c>
      <c r="K24">
        <v>0.10220000000000229</v>
      </c>
    </row>
    <row r="25" spans="1:11" x14ac:dyDescent="0.5">
      <c r="A25" t="s">
        <v>26</v>
      </c>
      <c r="B25">
        <v>93.418446000000003</v>
      </c>
      <c r="C25">
        <v>7.4100000000001484E-2</v>
      </c>
      <c r="E25" t="s">
        <v>26</v>
      </c>
      <c r="F25">
        <v>56.201106000000003</v>
      </c>
      <c r="G25">
        <v>9.1900000000001994E-2</v>
      </c>
      <c r="I25" t="s">
        <v>26</v>
      </c>
      <c r="J25">
        <v>43.517394000000003</v>
      </c>
      <c r="K25">
        <v>0.10180000000000228</v>
      </c>
    </row>
    <row r="26" spans="1:11" x14ac:dyDescent="0.5">
      <c r="A26" t="s">
        <v>27</v>
      </c>
      <c r="B26">
        <v>50.637754999999999</v>
      </c>
      <c r="C26">
        <v>7.0200000000001372E-2</v>
      </c>
      <c r="E26" t="s">
        <v>27</v>
      </c>
      <c r="F26">
        <v>47.015439999999998</v>
      </c>
      <c r="G26">
        <v>0.11560000000000267</v>
      </c>
      <c r="I26" t="s">
        <v>27</v>
      </c>
      <c r="J26">
        <v>39.639246</v>
      </c>
      <c r="K26">
        <v>8.8600000000001899E-2</v>
      </c>
    </row>
    <row r="27" spans="1:11" x14ac:dyDescent="0.5">
      <c r="A27" t="s">
        <v>28</v>
      </c>
      <c r="B27">
        <v>55.772489</v>
      </c>
      <c r="C27">
        <v>7.6700000000001559E-2</v>
      </c>
      <c r="E27" t="s">
        <v>28</v>
      </c>
      <c r="F27">
        <v>39.51867</v>
      </c>
      <c r="G27">
        <v>9.6000000000002111E-2</v>
      </c>
      <c r="I27" t="s">
        <v>28</v>
      </c>
      <c r="J27">
        <v>40.103577000000001</v>
      </c>
      <c r="K27">
        <v>0.1026000000000023</v>
      </c>
    </row>
    <row r="28" spans="1:11" x14ac:dyDescent="0.5">
      <c r="A28" t="s">
        <v>29</v>
      </c>
      <c r="B28">
        <v>41.464258000000001</v>
      </c>
      <c r="C28">
        <v>8.5100000000001799E-2</v>
      </c>
      <c r="E28" t="s">
        <v>29</v>
      </c>
      <c r="F28">
        <v>82.696903000000006</v>
      </c>
      <c r="G28">
        <v>0.10520000000000237</v>
      </c>
      <c r="I28" t="s">
        <v>29</v>
      </c>
      <c r="J28">
        <v>58.231583000000001</v>
      </c>
      <c r="K28">
        <v>0.1061000000000024</v>
      </c>
    </row>
    <row r="29" spans="1:11" x14ac:dyDescent="0.5">
      <c r="A29" t="s">
        <v>30</v>
      </c>
      <c r="B29">
        <v>29.571676</v>
      </c>
      <c r="C29">
        <v>0.13850000000000146</v>
      </c>
      <c r="E29" t="s">
        <v>30</v>
      </c>
      <c r="F29">
        <v>41.259236000000001</v>
      </c>
      <c r="G29">
        <v>0.10860000000000247</v>
      </c>
      <c r="I29" t="s">
        <v>30</v>
      </c>
      <c r="J29">
        <v>26.885795000000002</v>
      </c>
      <c r="K29">
        <v>9.5400000000002094E-2</v>
      </c>
    </row>
    <row r="30" spans="1:11" x14ac:dyDescent="0.5">
      <c r="A30" t="s">
        <v>31</v>
      </c>
      <c r="B30">
        <v>39.735256</v>
      </c>
      <c r="C30">
        <v>6.9600000000001355E-2</v>
      </c>
      <c r="E30" t="s">
        <v>31</v>
      </c>
      <c r="F30">
        <v>56.218527999999999</v>
      </c>
      <c r="G30">
        <v>0.10740000000000244</v>
      </c>
      <c r="I30" t="s">
        <v>31</v>
      </c>
      <c r="J30">
        <v>48.125673999999997</v>
      </c>
      <c r="K30">
        <v>0.11130000000000255</v>
      </c>
    </row>
    <row r="31" spans="1:11" x14ac:dyDescent="0.5">
      <c r="A31" t="s">
        <v>32</v>
      </c>
      <c r="B31">
        <v>30.291491000000001</v>
      </c>
      <c r="C31">
        <v>7.3400000000001464E-2</v>
      </c>
      <c r="E31" t="s">
        <v>32</v>
      </c>
      <c r="F31">
        <v>93.710933999999995</v>
      </c>
      <c r="G31">
        <v>0.27899999999998598</v>
      </c>
      <c r="I31" t="s">
        <v>32</v>
      </c>
      <c r="J31">
        <v>46.778931999999998</v>
      </c>
      <c r="K31">
        <v>0.11950000000000278</v>
      </c>
    </row>
    <row r="32" spans="1:11" x14ac:dyDescent="0.5">
      <c r="A32" t="s">
        <v>33</v>
      </c>
      <c r="B32">
        <v>38.649790000000003</v>
      </c>
      <c r="C32">
        <v>7.7600000000001584E-2</v>
      </c>
      <c r="E32" t="s">
        <v>33</v>
      </c>
      <c r="F32">
        <v>66.028035000000003</v>
      </c>
      <c r="G32">
        <v>0.10020000000000223</v>
      </c>
      <c r="I32" t="s">
        <v>33</v>
      </c>
      <c r="J32">
        <v>45.205559999999998</v>
      </c>
      <c r="K32">
        <v>0.10340000000000232</v>
      </c>
    </row>
    <row r="33" spans="1:11" x14ac:dyDescent="0.5">
      <c r="A33" t="s">
        <v>34</v>
      </c>
      <c r="B33">
        <v>77.176965999999993</v>
      </c>
      <c r="C33">
        <v>8.6500000000001839E-2</v>
      </c>
      <c r="E33" t="s">
        <v>34</v>
      </c>
      <c r="F33">
        <v>87.008298999999994</v>
      </c>
      <c r="G33">
        <v>0.10570000000000239</v>
      </c>
      <c r="I33" t="s">
        <v>34</v>
      </c>
      <c r="J33">
        <v>47.282226999999999</v>
      </c>
      <c r="K33">
        <v>0.10350000000000233</v>
      </c>
    </row>
    <row r="34" spans="1:11" x14ac:dyDescent="0.5">
      <c r="A34" t="s">
        <v>35</v>
      </c>
      <c r="B34">
        <v>53.670743999999999</v>
      </c>
      <c r="C34">
        <v>6.9300000000001347E-2</v>
      </c>
      <c r="E34" t="s">
        <v>35</v>
      </c>
      <c r="F34">
        <v>48.109662999999998</v>
      </c>
      <c r="G34">
        <v>0.22849999999999154</v>
      </c>
      <c r="I34" t="s">
        <v>35</v>
      </c>
      <c r="J34">
        <v>45.315784000000001</v>
      </c>
      <c r="K34">
        <v>0.10670000000000242</v>
      </c>
    </row>
    <row r="35" spans="1:11" x14ac:dyDescent="0.5">
      <c r="A35" t="s">
        <v>36</v>
      </c>
      <c r="B35">
        <v>38.079225999999998</v>
      </c>
      <c r="C35">
        <v>8.8700000000001902E-2</v>
      </c>
      <c r="E35" t="s">
        <v>36</v>
      </c>
      <c r="F35">
        <v>55.331404999999997</v>
      </c>
      <c r="G35">
        <v>0.10280000000000231</v>
      </c>
      <c r="I35" t="s">
        <v>36</v>
      </c>
      <c r="J35">
        <v>51.552919000000003</v>
      </c>
      <c r="K35">
        <v>0.10410000000000234</v>
      </c>
    </row>
    <row r="36" spans="1:11" x14ac:dyDescent="0.5">
      <c r="A36" t="s">
        <v>37</v>
      </c>
      <c r="B36">
        <v>39.848762000000001</v>
      </c>
      <c r="C36">
        <v>8.3900000000001765E-2</v>
      </c>
      <c r="E36" t="s">
        <v>37</v>
      </c>
      <c r="F36">
        <v>45.199556999999999</v>
      </c>
      <c r="G36">
        <v>9.7200000000002146E-2</v>
      </c>
      <c r="I36" t="s">
        <v>37</v>
      </c>
      <c r="J36">
        <v>46.550033999999997</v>
      </c>
      <c r="K36">
        <v>0.10040000000000224</v>
      </c>
    </row>
    <row r="37" spans="1:11" x14ac:dyDescent="0.5">
      <c r="A37" t="s">
        <v>38</v>
      </c>
      <c r="B37">
        <v>41.824460000000002</v>
      </c>
      <c r="C37">
        <v>8.2500000000001725E-2</v>
      </c>
      <c r="E37" t="s">
        <v>38</v>
      </c>
      <c r="F37">
        <v>40.832343000000002</v>
      </c>
      <c r="G37">
        <v>0.11180000000000256</v>
      </c>
      <c r="I37" t="s">
        <v>38</v>
      </c>
      <c r="J37">
        <v>48.925294999999998</v>
      </c>
      <c r="K37">
        <v>0.11970000000000279</v>
      </c>
    </row>
    <row r="38" spans="1:11" x14ac:dyDescent="0.5">
      <c r="A38" t="s">
        <v>39</v>
      </c>
      <c r="B38">
        <v>36.131751000000001</v>
      </c>
      <c r="C38">
        <v>9.3200000000002031E-2</v>
      </c>
      <c r="E38" t="s">
        <v>39</v>
      </c>
      <c r="F38">
        <v>48.1297</v>
      </c>
      <c r="G38">
        <v>0.11700000000000271</v>
      </c>
      <c r="I38" t="s">
        <v>39</v>
      </c>
      <c r="J38">
        <v>40.736539</v>
      </c>
      <c r="K38">
        <v>9.4100000000002057E-2</v>
      </c>
    </row>
    <row r="39" spans="1:11" x14ac:dyDescent="0.5">
      <c r="A39" t="s">
        <v>40</v>
      </c>
      <c r="B39">
        <v>44.567003999999997</v>
      </c>
      <c r="C39">
        <v>9.0400000000001951E-2</v>
      </c>
      <c r="E39" t="s">
        <v>40</v>
      </c>
      <c r="F39">
        <v>103.78941</v>
      </c>
      <c r="G39">
        <v>0.10670000000000242</v>
      </c>
      <c r="I39" t="s">
        <v>40</v>
      </c>
      <c r="J39">
        <v>60.591096999999998</v>
      </c>
      <c r="K39">
        <v>0.10630000000000241</v>
      </c>
    </row>
    <row r="40" spans="1:11" x14ac:dyDescent="0.5">
      <c r="A40" t="s">
        <v>41</v>
      </c>
      <c r="B40">
        <v>37.607621999999999</v>
      </c>
      <c r="C40">
        <v>7.5900000000001536E-2</v>
      </c>
      <c r="E40" t="s">
        <v>41</v>
      </c>
      <c r="F40">
        <v>42.758420000000001</v>
      </c>
      <c r="G40">
        <v>0.13290000000000207</v>
      </c>
      <c r="I40" t="s">
        <v>41</v>
      </c>
      <c r="J40">
        <v>38.637152999999998</v>
      </c>
      <c r="K40">
        <v>0.12150000000000284</v>
      </c>
    </row>
    <row r="41" spans="1:11" x14ac:dyDescent="0.5">
      <c r="A41" t="s">
        <v>42</v>
      </c>
      <c r="B41">
        <v>38.256742000000003</v>
      </c>
      <c r="C41">
        <v>7.6600000000001556E-2</v>
      </c>
      <c r="E41" t="s">
        <v>42</v>
      </c>
      <c r="F41">
        <v>42.253861999999998</v>
      </c>
      <c r="G41">
        <v>0.10240000000000229</v>
      </c>
      <c r="I41" t="s">
        <v>42</v>
      </c>
      <c r="J41">
        <v>35.498823000000002</v>
      </c>
      <c r="K41">
        <v>0.10930000000000249</v>
      </c>
    </row>
    <row r="42" spans="1:11" x14ac:dyDescent="0.5">
      <c r="A42" t="s">
        <v>43</v>
      </c>
      <c r="B42">
        <v>40.540019000000001</v>
      </c>
      <c r="C42">
        <v>7.3500000000001467E-2</v>
      </c>
      <c r="E42" t="s">
        <v>43</v>
      </c>
      <c r="F42">
        <v>85.805530000000005</v>
      </c>
      <c r="G42">
        <v>0.12700000000000272</v>
      </c>
      <c r="I42" t="s">
        <v>43</v>
      </c>
      <c r="J42">
        <v>44.988615000000003</v>
      </c>
      <c r="K42">
        <v>0.1235000000000029</v>
      </c>
    </row>
    <row r="43" spans="1:11" x14ac:dyDescent="0.5">
      <c r="A43" t="s">
        <v>44</v>
      </c>
      <c r="B43">
        <v>62.983054000000003</v>
      </c>
      <c r="C43">
        <v>7.7600000000001584E-2</v>
      </c>
      <c r="E43" t="s">
        <v>44</v>
      </c>
      <c r="F43">
        <v>50.846749000000003</v>
      </c>
      <c r="G43">
        <v>9.8800000000002192E-2</v>
      </c>
      <c r="I43" t="s">
        <v>44</v>
      </c>
      <c r="J43">
        <v>49.399374999999999</v>
      </c>
      <c r="K43">
        <v>9.8800000000002192E-2</v>
      </c>
    </row>
    <row r="44" spans="1:11" x14ac:dyDescent="0.5">
      <c r="A44" t="s">
        <v>45</v>
      </c>
      <c r="B44">
        <v>44.445504</v>
      </c>
      <c r="C44">
        <v>7.2400000000001435E-2</v>
      </c>
      <c r="E44" t="s">
        <v>45</v>
      </c>
      <c r="F44">
        <v>48.305926999999997</v>
      </c>
      <c r="G44">
        <v>0.12870000000000253</v>
      </c>
      <c r="I44" t="s">
        <v>45</v>
      </c>
      <c r="J44">
        <v>36.650602999999997</v>
      </c>
      <c r="K44">
        <v>0.12200000000000286</v>
      </c>
    </row>
    <row r="45" spans="1:11" x14ac:dyDescent="0.5">
      <c r="A45" t="s">
        <v>46</v>
      </c>
      <c r="B45">
        <v>59.241959000000001</v>
      </c>
      <c r="C45">
        <v>4.9000000000000772E-2</v>
      </c>
      <c r="E45" t="s">
        <v>46</v>
      </c>
      <c r="F45">
        <v>53.851964000000002</v>
      </c>
      <c r="G45">
        <v>8.9500000000001925E-2</v>
      </c>
      <c r="I45" t="s">
        <v>46</v>
      </c>
      <c r="J45">
        <v>58.582377000000001</v>
      </c>
      <c r="K45">
        <v>0.10300000000000231</v>
      </c>
    </row>
    <row r="46" spans="1:11" x14ac:dyDescent="0.5">
      <c r="A46" t="s">
        <v>47</v>
      </c>
      <c r="B46">
        <v>39.935662999999998</v>
      </c>
      <c r="C46">
        <v>8.0200000000001659E-2</v>
      </c>
      <c r="E46" t="s">
        <v>47</v>
      </c>
      <c r="F46">
        <v>40.544131999999998</v>
      </c>
      <c r="G46">
        <v>0.11500000000000266</v>
      </c>
      <c r="I46" t="s">
        <v>47</v>
      </c>
      <c r="J46">
        <v>45.230195999999999</v>
      </c>
      <c r="K46">
        <v>0.11270000000000259</v>
      </c>
    </row>
    <row r="47" spans="1:11" x14ac:dyDescent="0.5">
      <c r="A47" t="s">
        <v>48</v>
      </c>
      <c r="B47">
        <v>44.454549</v>
      </c>
      <c r="C47">
        <v>7.0600000000001384E-2</v>
      </c>
      <c r="E47" t="s">
        <v>48</v>
      </c>
      <c r="F47">
        <v>44.724474999999998</v>
      </c>
      <c r="G47">
        <v>0.24479999999998975</v>
      </c>
      <c r="I47" t="s">
        <v>48</v>
      </c>
      <c r="J47">
        <v>44.137829000000004</v>
      </c>
      <c r="K47">
        <v>0.10470000000000236</v>
      </c>
    </row>
    <row r="48" spans="1:11" x14ac:dyDescent="0.5">
      <c r="A48" t="s">
        <v>49</v>
      </c>
      <c r="B48">
        <v>52.001717999999997</v>
      </c>
      <c r="C48">
        <v>7.920000000000163E-2</v>
      </c>
      <c r="E48" t="s">
        <v>49</v>
      </c>
      <c r="F48">
        <v>42.153903999999997</v>
      </c>
      <c r="G48">
        <v>0.11090000000000254</v>
      </c>
      <c r="I48" t="s">
        <v>49</v>
      </c>
      <c r="J48">
        <v>52.247191000000001</v>
      </c>
      <c r="K48">
        <v>0.10420000000000235</v>
      </c>
    </row>
    <row r="49" spans="1:11" x14ac:dyDescent="0.5">
      <c r="A49" t="s">
        <v>50</v>
      </c>
      <c r="B49">
        <v>36.797459000000003</v>
      </c>
      <c r="C49">
        <v>7.500000000000151E-2</v>
      </c>
      <c r="E49" t="s">
        <v>50</v>
      </c>
      <c r="F49">
        <v>57.040621999999999</v>
      </c>
      <c r="G49">
        <v>8.9400000000001922E-2</v>
      </c>
      <c r="I49" t="s">
        <v>50</v>
      </c>
      <c r="J49">
        <v>41.299821000000001</v>
      </c>
      <c r="K49">
        <v>9.9000000000002197E-2</v>
      </c>
    </row>
    <row r="50" spans="1:11" x14ac:dyDescent="0.5">
      <c r="A50" t="s">
        <v>51</v>
      </c>
      <c r="B50">
        <v>49.829411</v>
      </c>
      <c r="C50">
        <v>8.930000000000192E-2</v>
      </c>
      <c r="E50" t="s">
        <v>51</v>
      </c>
      <c r="F50">
        <v>49.600920000000002</v>
      </c>
      <c r="G50">
        <v>0.11150000000000256</v>
      </c>
      <c r="I50" t="s">
        <v>51</v>
      </c>
      <c r="J50">
        <v>58.599609000000001</v>
      </c>
      <c r="K50">
        <v>0.10890000000000248</v>
      </c>
    </row>
    <row r="51" spans="1:11" x14ac:dyDescent="0.5">
      <c r="A51" t="s">
        <v>52</v>
      </c>
      <c r="B51">
        <v>50.285342</v>
      </c>
      <c r="C51">
        <v>6.220000000000115E-2</v>
      </c>
      <c r="E51" t="s">
        <v>52</v>
      </c>
      <c r="F51">
        <v>47.584401999999997</v>
      </c>
      <c r="G51">
        <v>8.6000000000001825E-2</v>
      </c>
      <c r="I51" t="s">
        <v>52</v>
      </c>
      <c r="J51">
        <v>48.291640999999998</v>
      </c>
      <c r="K51">
        <v>8.8500000000001897E-2</v>
      </c>
    </row>
    <row r="52" spans="1:11" x14ac:dyDescent="0.5">
      <c r="A52" t="s">
        <v>53</v>
      </c>
      <c r="B52">
        <v>40.290927000000003</v>
      </c>
      <c r="C52">
        <v>7.5600000000001527E-2</v>
      </c>
      <c r="E52" t="s">
        <v>53</v>
      </c>
      <c r="F52">
        <v>46.255136999999998</v>
      </c>
      <c r="G52">
        <v>0.1097000000000025</v>
      </c>
      <c r="I52" t="s">
        <v>53</v>
      </c>
      <c r="J52">
        <v>46.048186000000001</v>
      </c>
      <c r="K52">
        <v>0.11590000000000268</v>
      </c>
    </row>
    <row r="53" spans="1:11" x14ac:dyDescent="0.5">
      <c r="A53" t="s">
        <v>54</v>
      </c>
      <c r="B53">
        <v>53.046540999999998</v>
      </c>
      <c r="C53">
        <v>9.1300000000001977E-2</v>
      </c>
      <c r="E53" t="s">
        <v>54</v>
      </c>
      <c r="F53">
        <v>135.62388000000001</v>
      </c>
      <c r="G53">
        <v>0.25369999999998877</v>
      </c>
      <c r="I53" t="s">
        <v>54</v>
      </c>
      <c r="J53">
        <v>48.025039</v>
      </c>
      <c r="K53">
        <v>0.10530000000000238</v>
      </c>
    </row>
    <row r="54" spans="1:11" x14ac:dyDescent="0.5">
      <c r="A54" t="s">
        <v>55</v>
      </c>
      <c r="B54">
        <v>49.789960999999998</v>
      </c>
      <c r="C54">
        <v>0.10740000000000244</v>
      </c>
      <c r="E54" t="s">
        <v>55</v>
      </c>
      <c r="F54">
        <v>180.293871</v>
      </c>
      <c r="G54">
        <v>0.24869999999998932</v>
      </c>
      <c r="I54" t="s">
        <v>55</v>
      </c>
      <c r="J54">
        <v>43.157347000000001</v>
      </c>
      <c r="K54">
        <v>0.13250000000000212</v>
      </c>
    </row>
    <row r="55" spans="1:11" x14ac:dyDescent="0.5">
      <c r="A55" t="s">
        <v>56</v>
      </c>
      <c r="B55">
        <v>61.545642999999998</v>
      </c>
      <c r="C55">
        <v>9.5400000000002094E-2</v>
      </c>
      <c r="E55" t="s">
        <v>56</v>
      </c>
      <c r="F55">
        <v>46.466085</v>
      </c>
      <c r="G55">
        <v>0.10740000000000244</v>
      </c>
      <c r="I55" t="s">
        <v>56</v>
      </c>
      <c r="J55">
        <v>47.437705000000001</v>
      </c>
      <c r="K55">
        <v>0.11780000000000274</v>
      </c>
    </row>
    <row r="56" spans="1:11" x14ac:dyDescent="0.5">
      <c r="A56" t="s">
        <v>57</v>
      </c>
      <c r="B56">
        <v>66.216887999999997</v>
      </c>
      <c r="C56">
        <v>6.9100000000001341E-2</v>
      </c>
      <c r="E56" t="s">
        <v>57</v>
      </c>
      <c r="F56">
        <v>52.153263000000003</v>
      </c>
      <c r="G56">
        <v>0.12840000000000257</v>
      </c>
      <c r="I56" t="s">
        <v>57</v>
      </c>
      <c r="J56">
        <v>46.758898000000002</v>
      </c>
      <c r="K56">
        <v>0.10810000000000246</v>
      </c>
    </row>
    <row r="57" spans="1:11" x14ac:dyDescent="0.5">
      <c r="A57" t="s">
        <v>58</v>
      </c>
      <c r="B57">
        <v>40.783017000000001</v>
      </c>
      <c r="C57">
        <v>7.9300000000001633E-2</v>
      </c>
      <c r="E57" t="s">
        <v>58</v>
      </c>
      <c r="F57">
        <v>44.342143</v>
      </c>
      <c r="G57">
        <v>9.56000000000021E-2</v>
      </c>
      <c r="I57" t="s">
        <v>58</v>
      </c>
      <c r="J57">
        <v>50.061982999999998</v>
      </c>
      <c r="K57">
        <v>9.5800000000002106E-2</v>
      </c>
    </row>
    <row r="58" spans="1:11" x14ac:dyDescent="0.5">
      <c r="A58" t="s">
        <v>59</v>
      </c>
      <c r="B58">
        <v>62.813253000000003</v>
      </c>
      <c r="C58">
        <v>7.570000000000153E-2</v>
      </c>
      <c r="E58" t="s">
        <v>59</v>
      </c>
      <c r="F58">
        <v>40.370204999999999</v>
      </c>
      <c r="G58">
        <v>0.10410000000000234</v>
      </c>
      <c r="I58" t="s">
        <v>59</v>
      </c>
      <c r="J58">
        <v>47.450986999999998</v>
      </c>
      <c r="K58">
        <v>0.12300000000000288</v>
      </c>
    </row>
    <row r="59" spans="1:11" x14ac:dyDescent="0.5">
      <c r="A59" t="s">
        <v>60</v>
      </c>
      <c r="B59">
        <v>34.165664</v>
      </c>
      <c r="C59">
        <v>9.280000000000202E-2</v>
      </c>
      <c r="E59" t="s">
        <v>60</v>
      </c>
      <c r="F59">
        <v>44.321418999999999</v>
      </c>
      <c r="G59">
        <v>0.10980000000000251</v>
      </c>
      <c r="I59" t="s">
        <v>60</v>
      </c>
      <c r="J59">
        <v>46.095647</v>
      </c>
      <c r="K59">
        <v>0.11140000000000255</v>
      </c>
    </row>
    <row r="60" spans="1:11" x14ac:dyDescent="0.5">
      <c r="A60" t="s">
        <v>61</v>
      </c>
      <c r="B60">
        <v>51.394908000000001</v>
      </c>
      <c r="C60">
        <v>0.11350000000000261</v>
      </c>
      <c r="E60" t="s">
        <v>61</v>
      </c>
      <c r="F60">
        <v>80.239031999999995</v>
      </c>
      <c r="G60">
        <v>0.10690000000000242</v>
      </c>
      <c r="I60" t="s">
        <v>61</v>
      </c>
      <c r="J60">
        <v>54.715468000000001</v>
      </c>
      <c r="K60">
        <v>0.11510000000000266</v>
      </c>
    </row>
    <row r="61" spans="1:11" x14ac:dyDescent="0.5">
      <c r="A61" t="s">
        <v>62</v>
      </c>
      <c r="B61">
        <v>62.269196999999998</v>
      </c>
      <c r="C61">
        <v>7.0500000000001381E-2</v>
      </c>
      <c r="E61" t="s">
        <v>62</v>
      </c>
      <c r="F61">
        <v>50.545442999999999</v>
      </c>
      <c r="G61">
        <v>0.10890000000000248</v>
      </c>
      <c r="I61" t="s">
        <v>62</v>
      </c>
      <c r="J61">
        <v>58.915816</v>
      </c>
      <c r="K61">
        <v>0.11540000000000267</v>
      </c>
    </row>
    <row r="62" spans="1:11" x14ac:dyDescent="0.5">
      <c r="A62" t="s">
        <v>63</v>
      </c>
      <c r="B62">
        <v>37.668565000000001</v>
      </c>
      <c r="C62">
        <v>9.4800000000002077E-2</v>
      </c>
      <c r="E62" t="s">
        <v>63</v>
      </c>
      <c r="F62">
        <v>48.598560999999997</v>
      </c>
      <c r="G62">
        <v>0.11070000000000253</v>
      </c>
      <c r="I62" t="s">
        <v>63</v>
      </c>
      <c r="J62">
        <v>42.473582</v>
      </c>
      <c r="K62">
        <v>0.10550000000000238</v>
      </c>
    </row>
    <row r="63" spans="1:11" x14ac:dyDescent="0.5">
      <c r="A63" t="s">
        <v>64</v>
      </c>
      <c r="B63">
        <v>35.270304000000003</v>
      </c>
      <c r="C63">
        <v>8.2400000000001722E-2</v>
      </c>
      <c r="E63" t="s">
        <v>64</v>
      </c>
      <c r="F63">
        <v>38.19097</v>
      </c>
      <c r="G63">
        <v>0.12140000000000284</v>
      </c>
      <c r="I63" t="s">
        <v>64</v>
      </c>
      <c r="J63">
        <v>48.581339</v>
      </c>
      <c r="K63">
        <v>0.11510000000000266</v>
      </c>
    </row>
    <row r="64" spans="1:11" x14ac:dyDescent="0.5">
      <c r="A64" t="s">
        <v>65</v>
      </c>
      <c r="B64">
        <v>38.363688000000003</v>
      </c>
      <c r="C64">
        <v>0.10450000000000235</v>
      </c>
      <c r="E64" t="s">
        <v>65</v>
      </c>
      <c r="F64">
        <v>78.965935999999999</v>
      </c>
      <c r="G64">
        <v>0.23759999999999054</v>
      </c>
      <c r="I64" t="s">
        <v>65</v>
      </c>
      <c r="J64">
        <v>42.016235999999999</v>
      </c>
      <c r="K64">
        <v>0.11470000000000265</v>
      </c>
    </row>
    <row r="65" spans="1:11" x14ac:dyDescent="0.5">
      <c r="A65" t="s">
        <v>66</v>
      </c>
      <c r="B65">
        <v>36.483756</v>
      </c>
      <c r="C65">
        <v>7.500000000000151E-2</v>
      </c>
      <c r="E65" t="s">
        <v>66</v>
      </c>
      <c r="F65">
        <v>45.242213999999997</v>
      </c>
      <c r="G65">
        <v>0.10730000000000244</v>
      </c>
      <c r="I65" t="s">
        <v>66</v>
      </c>
      <c r="J65">
        <v>43.896729000000001</v>
      </c>
      <c r="K65">
        <v>0.12750000000000267</v>
      </c>
    </row>
    <row r="66" spans="1:11" x14ac:dyDescent="0.5">
      <c r="A66" t="s">
        <v>67</v>
      </c>
      <c r="B66">
        <v>48.867538000000003</v>
      </c>
      <c r="C66">
        <v>9.4500000000002068E-2</v>
      </c>
      <c r="E66" t="s">
        <v>67</v>
      </c>
      <c r="F66">
        <v>53.044145</v>
      </c>
      <c r="G66">
        <v>0.13220000000000215</v>
      </c>
      <c r="I66" t="s">
        <v>67</v>
      </c>
      <c r="J66">
        <v>47.662759000000001</v>
      </c>
      <c r="K66">
        <v>0.12710000000000271</v>
      </c>
    </row>
    <row r="67" spans="1:11" x14ac:dyDescent="0.5">
      <c r="A67" t="s">
        <v>68</v>
      </c>
      <c r="B67">
        <v>38.042565000000003</v>
      </c>
      <c r="C67">
        <v>8.4800000000001791E-2</v>
      </c>
      <c r="E67" t="s">
        <v>68</v>
      </c>
      <c r="F67">
        <v>40.562846</v>
      </c>
      <c r="G67">
        <v>0.12710000000000271</v>
      </c>
      <c r="I67" t="s">
        <v>68</v>
      </c>
      <c r="J67">
        <v>52.776651000000001</v>
      </c>
      <c r="K67">
        <v>0.12100000000000283</v>
      </c>
    </row>
    <row r="68" spans="1:11" x14ac:dyDescent="0.5">
      <c r="A68" t="s">
        <v>69</v>
      </c>
      <c r="B68">
        <v>45.811892</v>
      </c>
      <c r="C68">
        <v>8.6200000000001831E-2</v>
      </c>
      <c r="E68" t="s">
        <v>69</v>
      </c>
      <c r="F68">
        <v>71.765437000000006</v>
      </c>
      <c r="G68">
        <v>0.1095000000000025</v>
      </c>
      <c r="I68" t="s">
        <v>69</v>
      </c>
      <c r="J68">
        <v>50.969419000000002</v>
      </c>
      <c r="K68">
        <v>0.1129000000000026</v>
      </c>
    </row>
    <row r="69" spans="1:11" x14ac:dyDescent="0.5">
      <c r="A69" t="s">
        <v>70</v>
      </c>
      <c r="B69">
        <v>38.955249000000002</v>
      </c>
      <c r="C69">
        <v>9.2900000000002023E-2</v>
      </c>
      <c r="E69" t="s">
        <v>70</v>
      </c>
      <c r="F69">
        <v>86.871065000000002</v>
      </c>
      <c r="G69">
        <v>0.27109999999998685</v>
      </c>
      <c r="I69" t="s">
        <v>70</v>
      </c>
      <c r="J69">
        <v>55.622211999999998</v>
      </c>
      <c r="K69">
        <v>0.10820000000000246</v>
      </c>
    </row>
    <row r="70" spans="1:11" x14ac:dyDescent="0.5">
      <c r="A70" t="s">
        <v>71</v>
      </c>
      <c r="B70">
        <v>48.226812000000002</v>
      </c>
      <c r="C70">
        <v>8.2200000000001716E-2</v>
      </c>
      <c r="E70" t="s">
        <v>71</v>
      </c>
      <c r="F70">
        <v>49.274603999999997</v>
      </c>
      <c r="G70">
        <v>9.1300000000001977E-2</v>
      </c>
      <c r="I70" t="s">
        <v>71</v>
      </c>
      <c r="J70">
        <v>44.049263000000003</v>
      </c>
      <c r="K70">
        <v>0.10310000000000231</v>
      </c>
    </row>
    <row r="71" spans="1:11" x14ac:dyDescent="0.5">
      <c r="A71" t="s">
        <v>72</v>
      </c>
      <c r="B71">
        <v>38.900148999999999</v>
      </c>
      <c r="C71">
        <v>7.3000000000001453E-2</v>
      </c>
      <c r="E71" t="s">
        <v>72</v>
      </c>
      <c r="F71">
        <v>46.678454000000002</v>
      </c>
      <c r="G71">
        <v>0.11750000000000273</v>
      </c>
      <c r="I71" t="s">
        <v>72</v>
      </c>
      <c r="J71">
        <v>45.282949000000002</v>
      </c>
      <c r="K71">
        <v>0.10150000000000227</v>
      </c>
    </row>
    <row r="72" spans="1:11" x14ac:dyDescent="0.5">
      <c r="A72" t="s">
        <v>73</v>
      </c>
      <c r="B72">
        <v>79.964777999999995</v>
      </c>
      <c r="C72">
        <v>8.0500000000001667E-2</v>
      </c>
      <c r="E72" t="s">
        <v>73</v>
      </c>
      <c r="F72">
        <v>101.05332</v>
      </c>
      <c r="G72">
        <v>0.12050000000000281</v>
      </c>
      <c r="I72" t="s">
        <v>73</v>
      </c>
      <c r="J72">
        <v>47.781058999999999</v>
      </c>
      <c r="K72">
        <v>0.12730000000000269</v>
      </c>
    </row>
    <row r="73" spans="1:11" x14ac:dyDescent="0.5">
      <c r="A73" t="s">
        <v>74</v>
      </c>
      <c r="B73">
        <v>42.611449</v>
      </c>
      <c r="C73">
        <v>8.8800000000001628E-2</v>
      </c>
      <c r="E73" t="s">
        <v>74</v>
      </c>
      <c r="F73">
        <v>117.511303</v>
      </c>
      <c r="G73">
        <v>0.11620000000000241</v>
      </c>
      <c r="I73" t="s">
        <v>74</v>
      </c>
      <c r="J73">
        <v>48.942988</v>
      </c>
      <c r="K73">
        <v>0.1226000000000026</v>
      </c>
    </row>
    <row r="74" spans="1:11" x14ac:dyDescent="0.5">
      <c r="A74" t="s">
        <v>75</v>
      </c>
      <c r="B74">
        <v>55.884152</v>
      </c>
      <c r="C74">
        <v>9.2400000000002008E-2</v>
      </c>
      <c r="E74" t="s">
        <v>75</v>
      </c>
      <c r="F74">
        <v>87.146185000000003</v>
      </c>
      <c r="G74">
        <v>0.11930000000000278</v>
      </c>
      <c r="I74" t="s">
        <v>75</v>
      </c>
      <c r="J74">
        <v>46.492404000000001</v>
      </c>
      <c r="K74">
        <v>0.11870000000000276</v>
      </c>
    </row>
    <row r="75" spans="1:11" x14ac:dyDescent="0.5">
      <c r="A75" t="s">
        <v>76</v>
      </c>
      <c r="B75">
        <v>37.226773000000001</v>
      </c>
      <c r="C75">
        <v>8.4200000000001773E-2</v>
      </c>
      <c r="E75" t="s">
        <v>76</v>
      </c>
      <c r="F75">
        <v>359.40427899999997</v>
      </c>
      <c r="G75">
        <v>0.20379999999999426</v>
      </c>
      <c r="I75" t="s">
        <v>76</v>
      </c>
      <c r="J75">
        <v>40.484791999999999</v>
      </c>
      <c r="K75">
        <v>0.11280000000000259</v>
      </c>
    </row>
    <row r="76" spans="1:11" x14ac:dyDescent="0.5">
      <c r="A76" t="s">
        <v>77</v>
      </c>
      <c r="B76">
        <v>56.029125000000001</v>
      </c>
      <c r="C76">
        <v>9.8600000000002186E-2</v>
      </c>
      <c r="E76" t="s">
        <v>77</v>
      </c>
      <c r="F76">
        <v>94.551297000000005</v>
      </c>
      <c r="G76">
        <v>0.11060000000000253</v>
      </c>
      <c r="I76" t="s">
        <v>77</v>
      </c>
      <c r="J76">
        <v>60.552970999999999</v>
      </c>
      <c r="K76">
        <v>0.11180000000000256</v>
      </c>
    </row>
    <row r="77" spans="1:11" x14ac:dyDescent="0.5">
      <c r="A77" t="s">
        <v>78</v>
      </c>
      <c r="B77">
        <v>38.629671999999999</v>
      </c>
      <c r="C77">
        <v>8.0100000000001656E-2</v>
      </c>
      <c r="E77" t="s">
        <v>78</v>
      </c>
      <c r="F77">
        <v>85.625711999999993</v>
      </c>
      <c r="G77">
        <v>0.12520000000000292</v>
      </c>
      <c r="I77" t="s">
        <v>78</v>
      </c>
      <c r="J77">
        <v>42.700009000000001</v>
      </c>
      <c r="K77">
        <v>0.13040000000000235</v>
      </c>
    </row>
    <row r="78" spans="1:11" x14ac:dyDescent="0.5">
      <c r="A78" t="s">
        <v>79</v>
      </c>
      <c r="B78">
        <v>43.185122999999997</v>
      </c>
      <c r="C78">
        <v>7.8800000000001619E-2</v>
      </c>
      <c r="E78" t="s">
        <v>79</v>
      </c>
      <c r="F78">
        <v>45.664752999999997</v>
      </c>
      <c r="G78">
        <v>0.12510000000000293</v>
      </c>
      <c r="I78" t="s">
        <v>79</v>
      </c>
      <c r="J78">
        <v>36.778143</v>
      </c>
      <c r="K78">
        <v>0.1202000000000028</v>
      </c>
    </row>
    <row r="79" spans="1:11" x14ac:dyDescent="0.5">
      <c r="A79" t="s">
        <v>80</v>
      </c>
      <c r="B79">
        <v>31.436682000000001</v>
      </c>
      <c r="C79">
        <v>9.6700000000002131E-2</v>
      </c>
      <c r="E79" t="s">
        <v>80</v>
      </c>
      <c r="F79">
        <v>48.410668999999999</v>
      </c>
      <c r="G79">
        <v>0.10740000000000244</v>
      </c>
      <c r="I79" t="s">
        <v>80</v>
      </c>
      <c r="J79">
        <v>36.517964999999997</v>
      </c>
      <c r="K79">
        <v>0.10900000000000248</v>
      </c>
    </row>
    <row r="80" spans="1:11" x14ac:dyDescent="0.5">
      <c r="A80" t="s">
        <v>81</v>
      </c>
      <c r="B80">
        <v>39.997083000000003</v>
      </c>
      <c r="C80">
        <v>9.630000000000212E-2</v>
      </c>
      <c r="E80" t="s">
        <v>81</v>
      </c>
      <c r="F80">
        <v>42.857826000000003</v>
      </c>
      <c r="G80">
        <v>9.6000000000002111E-2</v>
      </c>
      <c r="I80" t="s">
        <v>81</v>
      </c>
      <c r="J80">
        <v>37.850223</v>
      </c>
      <c r="K80">
        <v>0.10870000000000248</v>
      </c>
    </row>
    <row r="81" spans="1:11" x14ac:dyDescent="0.5">
      <c r="A81" t="s">
        <v>82</v>
      </c>
      <c r="B81">
        <v>45.640614999999997</v>
      </c>
      <c r="C81">
        <v>7.5400000000001521E-2</v>
      </c>
      <c r="E81" t="s">
        <v>82</v>
      </c>
      <c r="F81">
        <v>44.539448</v>
      </c>
      <c r="G81">
        <v>0.10220000000000229</v>
      </c>
      <c r="I81" t="s">
        <v>82</v>
      </c>
      <c r="J81">
        <v>45.785020000000003</v>
      </c>
      <c r="K81">
        <v>0.10010000000000223</v>
      </c>
    </row>
    <row r="82" spans="1:11" x14ac:dyDescent="0.5">
      <c r="A82" t="s">
        <v>83</v>
      </c>
      <c r="B82">
        <v>62.618588000000003</v>
      </c>
      <c r="C82">
        <v>7.6700000000001559E-2</v>
      </c>
      <c r="E82" t="s">
        <v>83</v>
      </c>
      <c r="F82">
        <v>92.560462000000001</v>
      </c>
      <c r="G82">
        <v>0.11340000000000261</v>
      </c>
      <c r="I82" t="s">
        <v>83</v>
      </c>
      <c r="J82">
        <v>48.213343999999999</v>
      </c>
      <c r="K82">
        <v>0.10680000000000242</v>
      </c>
    </row>
    <row r="83" spans="1:11" x14ac:dyDescent="0.5">
      <c r="A83" t="s">
        <v>84</v>
      </c>
      <c r="B83">
        <v>33.861314</v>
      </c>
      <c r="C83">
        <v>8.9000000000001911E-2</v>
      </c>
      <c r="E83" t="s">
        <v>84</v>
      </c>
      <c r="F83">
        <v>48.452480000000001</v>
      </c>
      <c r="G83">
        <v>0.1308000000000023</v>
      </c>
      <c r="I83" t="s">
        <v>84</v>
      </c>
      <c r="J83">
        <v>33.958345999999999</v>
      </c>
      <c r="K83">
        <v>0.10280000000000231</v>
      </c>
    </row>
    <row r="84" spans="1:11" x14ac:dyDescent="0.5">
      <c r="A84" t="s">
        <v>85</v>
      </c>
      <c r="B84">
        <v>36.625549999999997</v>
      </c>
      <c r="C84">
        <v>8.1700000000001702E-2</v>
      </c>
      <c r="E84" t="s">
        <v>85</v>
      </c>
      <c r="F84">
        <v>63.808596000000001</v>
      </c>
      <c r="G84">
        <v>0.11860000000000276</v>
      </c>
      <c r="I84" t="s">
        <v>85</v>
      </c>
      <c r="J84">
        <v>45.647036</v>
      </c>
      <c r="K84">
        <v>0.11140000000000255</v>
      </c>
    </row>
    <row r="85" spans="1:11" x14ac:dyDescent="0.5">
      <c r="A85" t="s">
        <v>86</v>
      </c>
      <c r="B85">
        <v>56.138672</v>
      </c>
      <c r="C85">
        <v>8.4300000000001776E-2</v>
      </c>
      <c r="E85" t="s">
        <v>86</v>
      </c>
      <c r="F85">
        <v>53.701044000000003</v>
      </c>
      <c r="G85">
        <v>0.10990000000000251</v>
      </c>
      <c r="I85" t="s">
        <v>86</v>
      </c>
      <c r="J85">
        <v>50.555441999999999</v>
      </c>
      <c r="K85">
        <v>0.11000000000000251</v>
      </c>
    </row>
    <row r="86" spans="1:11" x14ac:dyDescent="0.5">
      <c r="A86" t="s">
        <v>87</v>
      </c>
      <c r="B86">
        <v>37.145249999999997</v>
      </c>
      <c r="C86">
        <v>8.8000000000001882E-2</v>
      </c>
      <c r="E86" t="s">
        <v>87</v>
      </c>
      <c r="F86">
        <v>116.573026</v>
      </c>
      <c r="G86">
        <v>0.27799999999998609</v>
      </c>
      <c r="I86" t="s">
        <v>87</v>
      </c>
      <c r="J86">
        <v>49.760460999999999</v>
      </c>
      <c r="K86">
        <v>0.10300000000000231</v>
      </c>
    </row>
    <row r="87" spans="1:11" x14ac:dyDescent="0.5">
      <c r="A87" t="s">
        <v>88</v>
      </c>
      <c r="B87">
        <v>48.090397000000003</v>
      </c>
      <c r="C87">
        <v>8.5800000000001819E-2</v>
      </c>
      <c r="E87" t="s">
        <v>88</v>
      </c>
      <c r="F87">
        <v>64.741893000000005</v>
      </c>
      <c r="G87">
        <v>0.24639999999998957</v>
      </c>
      <c r="I87" t="s">
        <v>88</v>
      </c>
      <c r="J87">
        <v>47.731343000000003</v>
      </c>
      <c r="K87">
        <v>9.9900000000002223E-2</v>
      </c>
    </row>
    <row r="88" spans="1:11" x14ac:dyDescent="0.5">
      <c r="A88" t="s">
        <v>89</v>
      </c>
      <c r="B88">
        <v>36.788462000000003</v>
      </c>
      <c r="C88">
        <v>8.8400000000001894E-2</v>
      </c>
      <c r="E88" t="s">
        <v>89</v>
      </c>
      <c r="F88">
        <v>71.559268000000003</v>
      </c>
      <c r="G88">
        <v>0.1130000000000026</v>
      </c>
      <c r="I88" t="s">
        <v>89</v>
      </c>
      <c r="J88">
        <v>40.062493000000003</v>
      </c>
      <c r="K88">
        <v>0.11860000000000276</v>
      </c>
    </row>
    <row r="89" spans="1:11" x14ac:dyDescent="0.5">
      <c r="A89" t="s">
        <v>90</v>
      </c>
      <c r="B89">
        <v>42.508834999999998</v>
      </c>
      <c r="C89">
        <v>7.220000000000143E-2</v>
      </c>
      <c r="E89" t="s">
        <v>90</v>
      </c>
      <c r="F89">
        <v>60.523322999999998</v>
      </c>
      <c r="G89">
        <v>0.10730000000000244</v>
      </c>
      <c r="I89" t="s">
        <v>90</v>
      </c>
      <c r="J89">
        <v>55.183616000000001</v>
      </c>
      <c r="K89">
        <v>0.10590000000000239</v>
      </c>
    </row>
    <row r="90" spans="1:11" x14ac:dyDescent="0.5">
      <c r="A90" t="s">
        <v>91</v>
      </c>
      <c r="B90">
        <v>38.475569</v>
      </c>
      <c r="C90">
        <v>7.6300000000001547E-2</v>
      </c>
      <c r="E90" t="s">
        <v>91</v>
      </c>
      <c r="F90">
        <v>41.791285000000002</v>
      </c>
      <c r="G90">
        <v>8.4400000000001779E-2</v>
      </c>
      <c r="I90" t="s">
        <v>91</v>
      </c>
      <c r="J90">
        <v>37.318209000000003</v>
      </c>
      <c r="K90">
        <v>8.3900000000001765E-2</v>
      </c>
    </row>
    <row r="91" spans="1:11" x14ac:dyDescent="0.5">
      <c r="A91" t="s">
        <v>92</v>
      </c>
      <c r="B91">
        <v>44.372598000000004</v>
      </c>
      <c r="C91">
        <v>7.2800000000001447E-2</v>
      </c>
      <c r="E91" t="s">
        <v>92</v>
      </c>
      <c r="F91">
        <v>46.403798999999999</v>
      </c>
      <c r="G91">
        <v>0.1199000000000028</v>
      </c>
      <c r="I91" t="s">
        <v>92</v>
      </c>
      <c r="J91">
        <v>39.495493000000003</v>
      </c>
      <c r="K91">
        <v>0.10400000000000234</v>
      </c>
    </row>
    <row r="92" spans="1:11" x14ac:dyDescent="0.5">
      <c r="A92" t="s">
        <v>93</v>
      </c>
      <c r="B92">
        <v>35.876693000000003</v>
      </c>
      <c r="C92">
        <v>8.8400000000001894E-2</v>
      </c>
      <c r="E92" t="s">
        <v>93</v>
      </c>
      <c r="F92">
        <v>107.33037299999999</v>
      </c>
      <c r="G92">
        <v>0.10020000000000223</v>
      </c>
      <c r="I92" t="s">
        <v>93</v>
      </c>
      <c r="J92">
        <v>50.673603</v>
      </c>
      <c r="K92">
        <v>0.1096000000000025</v>
      </c>
    </row>
    <row r="93" spans="1:11" x14ac:dyDescent="0.5">
      <c r="A93" t="s">
        <v>94</v>
      </c>
      <c r="B93">
        <v>34.585388999999999</v>
      </c>
      <c r="C93">
        <v>8.6200000000001831E-2</v>
      </c>
      <c r="E93" t="s">
        <v>94</v>
      </c>
      <c r="F93">
        <v>122.042959</v>
      </c>
      <c r="G93">
        <v>0.26379999999998766</v>
      </c>
      <c r="I93" t="s">
        <v>94</v>
      </c>
      <c r="J93">
        <v>71.264411999999993</v>
      </c>
      <c r="K93">
        <v>0.11350000000000261</v>
      </c>
    </row>
    <row r="94" spans="1:11" x14ac:dyDescent="0.5">
      <c r="A94" t="s">
        <v>95</v>
      </c>
      <c r="B94">
        <v>44.687247999999997</v>
      </c>
      <c r="C94">
        <v>7.3100000000001455E-2</v>
      </c>
      <c r="E94" t="s">
        <v>95</v>
      </c>
      <c r="F94">
        <v>54.694330999999998</v>
      </c>
      <c r="G94">
        <v>0.12550000000000289</v>
      </c>
      <c r="I94" t="s">
        <v>95</v>
      </c>
      <c r="J94">
        <v>39.134061000000003</v>
      </c>
      <c r="K94">
        <v>0.10930000000000249</v>
      </c>
    </row>
    <row r="95" spans="1:11" x14ac:dyDescent="0.5">
      <c r="A95" t="s">
        <v>96</v>
      </c>
      <c r="B95">
        <v>43.384988999999997</v>
      </c>
      <c r="C95">
        <v>7.3700000000001473E-2</v>
      </c>
      <c r="E95" t="s">
        <v>96</v>
      </c>
      <c r="F95">
        <v>86.616612000000003</v>
      </c>
      <c r="G95">
        <v>0.11100000000000254</v>
      </c>
      <c r="I95" t="s">
        <v>96</v>
      </c>
      <c r="J95">
        <v>48.29316</v>
      </c>
      <c r="K95">
        <v>0.11420000000000263</v>
      </c>
    </row>
    <row r="96" spans="1:11" x14ac:dyDescent="0.5">
      <c r="A96" t="s">
        <v>97</v>
      </c>
      <c r="B96">
        <v>41.835034999999998</v>
      </c>
      <c r="C96">
        <v>7.2600000000001441E-2</v>
      </c>
      <c r="E96" t="s">
        <v>97</v>
      </c>
      <c r="F96">
        <v>147.25243499999999</v>
      </c>
      <c r="G96">
        <v>0.25039999999998913</v>
      </c>
      <c r="I96" t="s">
        <v>97</v>
      </c>
      <c r="J96">
        <v>44.509593000000002</v>
      </c>
      <c r="K96">
        <v>0.10370000000000233</v>
      </c>
    </row>
    <row r="97" spans="1:11" x14ac:dyDescent="0.5">
      <c r="A97" t="s">
        <v>98</v>
      </c>
      <c r="B97">
        <v>41.691203000000002</v>
      </c>
      <c r="C97">
        <v>8.8200000000001888E-2</v>
      </c>
      <c r="E97" t="s">
        <v>98</v>
      </c>
      <c r="F97">
        <v>73.943203999999994</v>
      </c>
      <c r="G97">
        <v>0.11450000000000264</v>
      </c>
      <c r="I97" t="s">
        <v>98</v>
      </c>
      <c r="J97">
        <v>50.655163000000002</v>
      </c>
      <c r="K97">
        <v>9.8300000000002177E-2</v>
      </c>
    </row>
    <row r="98" spans="1:11" x14ac:dyDescent="0.5">
      <c r="A98" t="s">
        <v>99</v>
      </c>
      <c r="B98">
        <v>57.317293999999997</v>
      </c>
      <c r="C98">
        <v>7.640000000000155E-2</v>
      </c>
      <c r="E98" t="s">
        <v>99</v>
      </c>
      <c r="F98">
        <v>55.719467000000002</v>
      </c>
      <c r="G98">
        <v>0.11580000000000268</v>
      </c>
      <c r="I98" t="s">
        <v>99</v>
      </c>
      <c r="J98">
        <v>49.596772000000001</v>
      </c>
      <c r="K98">
        <v>0.10910000000000249</v>
      </c>
    </row>
    <row r="99" spans="1:11" x14ac:dyDescent="0.5">
      <c r="A99" t="s">
        <v>100</v>
      </c>
      <c r="B99">
        <v>39.763509999999997</v>
      </c>
      <c r="C99">
        <v>8.3200000000001745E-2</v>
      </c>
      <c r="E99" t="s">
        <v>100</v>
      </c>
      <c r="F99">
        <v>80.380371999999994</v>
      </c>
      <c r="G99">
        <v>0.10560000000000239</v>
      </c>
      <c r="I99" t="s">
        <v>100</v>
      </c>
      <c r="J99">
        <v>67.928664999999995</v>
      </c>
      <c r="K99">
        <v>0.11490000000000265</v>
      </c>
    </row>
    <row r="100" spans="1:11" x14ac:dyDescent="0.5">
      <c r="A100" t="s">
        <v>101</v>
      </c>
      <c r="B100">
        <v>38.610641000000001</v>
      </c>
      <c r="C100">
        <v>0.10130000000000226</v>
      </c>
      <c r="E100" t="s">
        <v>101</v>
      </c>
      <c r="F100">
        <v>36.374256000000003</v>
      </c>
      <c r="G100">
        <v>0.1094000000000025</v>
      </c>
      <c r="I100" t="s">
        <v>101</v>
      </c>
      <c r="J100">
        <v>31.733847000000001</v>
      </c>
      <c r="K100">
        <v>0.12240000000000287</v>
      </c>
    </row>
    <row r="101" spans="1:11" x14ac:dyDescent="0.5">
      <c r="A101" t="s">
        <v>102</v>
      </c>
      <c r="B101">
        <v>34.404772000000001</v>
      </c>
      <c r="C101">
        <v>9.6000000000002111E-2</v>
      </c>
      <c r="E101" t="s">
        <v>102</v>
      </c>
      <c r="F101">
        <v>53.13203</v>
      </c>
      <c r="G101">
        <v>9.7100000000002143E-2</v>
      </c>
      <c r="I101" t="s">
        <v>102</v>
      </c>
      <c r="J101">
        <v>38.645587999999996</v>
      </c>
      <c r="K101">
        <v>9.140000000000198E-2</v>
      </c>
    </row>
    <row r="102" spans="1:11" x14ac:dyDescent="0.5">
      <c r="A102" t="s">
        <v>103</v>
      </c>
      <c r="B102">
        <v>54.059679000000003</v>
      </c>
      <c r="C102">
        <v>8.0200000000001659E-2</v>
      </c>
      <c r="E102" t="s">
        <v>103</v>
      </c>
      <c r="F102">
        <v>52.884968000000001</v>
      </c>
      <c r="G102">
        <v>9.8500000000002183E-2</v>
      </c>
      <c r="I102" t="s">
        <v>103</v>
      </c>
      <c r="J102">
        <v>49.226545999999999</v>
      </c>
      <c r="K102">
        <v>0.11220000000000258</v>
      </c>
    </row>
    <row r="103" spans="1:11" x14ac:dyDescent="0.5">
      <c r="A103" t="s">
        <v>104</v>
      </c>
      <c r="B103">
        <v>31.740237</v>
      </c>
      <c r="C103">
        <v>8.9200000000001917E-2</v>
      </c>
      <c r="E103" t="s">
        <v>104</v>
      </c>
      <c r="F103">
        <v>69.143386000000007</v>
      </c>
      <c r="G103">
        <v>9.3400000000002037E-2</v>
      </c>
      <c r="I103" t="s">
        <v>104</v>
      </c>
      <c r="J103">
        <v>48.469406999999997</v>
      </c>
      <c r="K103">
        <v>8.8300000000001891E-2</v>
      </c>
    </row>
    <row r="104" spans="1:11" x14ac:dyDescent="0.5">
      <c r="A104" t="s">
        <v>105</v>
      </c>
      <c r="B104">
        <v>35.277006999999998</v>
      </c>
      <c r="C104">
        <v>8.3800000000001762E-2</v>
      </c>
      <c r="E104" t="s">
        <v>105</v>
      </c>
      <c r="F104">
        <v>60.156844</v>
      </c>
      <c r="G104">
        <v>0.1027000000000023</v>
      </c>
      <c r="I104" t="s">
        <v>105</v>
      </c>
      <c r="J104">
        <v>32.686602000000001</v>
      </c>
      <c r="K104">
        <v>9.000000000000194E-2</v>
      </c>
    </row>
    <row r="105" spans="1:11" x14ac:dyDescent="0.5">
      <c r="A105" t="s">
        <v>106</v>
      </c>
      <c r="B105">
        <v>35.726526</v>
      </c>
      <c r="C105">
        <v>8.4500000000001782E-2</v>
      </c>
      <c r="E105" t="s">
        <v>106</v>
      </c>
      <c r="F105">
        <v>140.64503999999999</v>
      </c>
      <c r="G105">
        <v>0.26639999999998737</v>
      </c>
      <c r="I105" t="s">
        <v>106</v>
      </c>
      <c r="J105">
        <v>54.028674000000002</v>
      </c>
      <c r="K105">
        <v>0.12870000000000253</v>
      </c>
    </row>
    <row r="106" spans="1:11" x14ac:dyDescent="0.5">
      <c r="A106" t="s">
        <v>107</v>
      </c>
      <c r="B106">
        <v>32.824654000000002</v>
      </c>
      <c r="C106">
        <v>7.850000000000161E-2</v>
      </c>
      <c r="E106" t="s">
        <v>107</v>
      </c>
      <c r="F106">
        <v>50.375413999999999</v>
      </c>
      <c r="G106">
        <v>0.10050000000000224</v>
      </c>
      <c r="I106" t="s">
        <v>107</v>
      </c>
      <c r="J106">
        <v>34.059043000000003</v>
      </c>
      <c r="K106">
        <v>0.10490000000000237</v>
      </c>
    </row>
    <row r="107" spans="1:11" x14ac:dyDescent="0.5">
      <c r="A107" t="s">
        <v>108</v>
      </c>
      <c r="B107">
        <v>34.118682999999997</v>
      </c>
      <c r="C107">
        <v>9.840000000000218E-2</v>
      </c>
      <c r="E107" t="s">
        <v>108</v>
      </c>
      <c r="F107">
        <v>88.847269999999995</v>
      </c>
      <c r="G107">
        <v>0.11750000000000273</v>
      </c>
      <c r="I107" t="s">
        <v>108</v>
      </c>
      <c r="J107">
        <v>42.086083000000002</v>
      </c>
      <c r="K107">
        <v>0.11830000000000275</v>
      </c>
    </row>
    <row r="108" spans="1:11" x14ac:dyDescent="0.5">
      <c r="A108" t="s">
        <v>109</v>
      </c>
      <c r="B108">
        <v>35.640514000000003</v>
      </c>
      <c r="C108">
        <v>9.1600000000001985E-2</v>
      </c>
      <c r="E108" t="s">
        <v>109</v>
      </c>
      <c r="F108">
        <v>57.153638999999998</v>
      </c>
      <c r="G108">
        <v>0.1236000000000029</v>
      </c>
      <c r="I108" t="s">
        <v>109</v>
      </c>
      <c r="J108">
        <v>52.921792000000003</v>
      </c>
      <c r="K108">
        <v>0.12480000000000294</v>
      </c>
    </row>
    <row r="109" spans="1:11" x14ac:dyDescent="0.5">
      <c r="A109" t="s">
        <v>110</v>
      </c>
      <c r="B109">
        <v>45.409866000000001</v>
      </c>
      <c r="C109">
        <v>8.5800000000001819E-2</v>
      </c>
      <c r="E109" t="s">
        <v>110</v>
      </c>
      <c r="F109">
        <v>42.840034000000003</v>
      </c>
      <c r="G109">
        <v>0.13840000000000147</v>
      </c>
      <c r="I109" t="s">
        <v>110</v>
      </c>
      <c r="J109">
        <v>30.567999</v>
      </c>
      <c r="K109">
        <v>0.13430000000000192</v>
      </c>
    </row>
    <row r="110" spans="1:11" x14ac:dyDescent="0.5">
      <c r="A110" t="s">
        <v>111</v>
      </c>
      <c r="B110">
        <v>50.607585999999998</v>
      </c>
      <c r="C110">
        <v>7.850000000000161E-2</v>
      </c>
      <c r="E110" t="s">
        <v>111</v>
      </c>
      <c r="F110">
        <v>59.561850999999997</v>
      </c>
      <c r="G110">
        <v>0.10150000000000227</v>
      </c>
      <c r="I110" t="s">
        <v>111</v>
      </c>
      <c r="J110">
        <v>41.534244999999999</v>
      </c>
      <c r="K110">
        <v>0.10000000000000223</v>
      </c>
    </row>
    <row r="111" spans="1:11" x14ac:dyDescent="0.5">
      <c r="A111" t="s">
        <v>112</v>
      </c>
      <c r="B111">
        <v>41.407029999999999</v>
      </c>
      <c r="C111">
        <v>8.2300000000001719E-2</v>
      </c>
      <c r="E111" t="s">
        <v>112</v>
      </c>
      <c r="F111">
        <v>65.756769000000006</v>
      </c>
      <c r="G111">
        <v>0.14360000000000089</v>
      </c>
      <c r="I111" t="s">
        <v>112</v>
      </c>
      <c r="J111">
        <v>38.622453999999998</v>
      </c>
      <c r="K111">
        <v>0.10510000000000237</v>
      </c>
    </row>
    <row r="112" spans="1:11" x14ac:dyDescent="0.5">
      <c r="A112" t="s">
        <v>113</v>
      </c>
      <c r="B112">
        <v>43.483890000000002</v>
      </c>
      <c r="C112">
        <v>7.9000000000001624E-2</v>
      </c>
      <c r="E112" t="s">
        <v>113</v>
      </c>
      <c r="F112">
        <v>40.134805999999998</v>
      </c>
      <c r="G112">
        <v>9.3100000000002028E-2</v>
      </c>
      <c r="I112" t="s">
        <v>113</v>
      </c>
      <c r="J112">
        <v>35.960456999999998</v>
      </c>
      <c r="K112">
        <v>0.1097000000000025</v>
      </c>
    </row>
    <row r="113" spans="1:11" x14ac:dyDescent="0.5">
      <c r="A113" t="s">
        <v>114</v>
      </c>
      <c r="B113">
        <v>50.295310999999998</v>
      </c>
      <c r="C113">
        <v>8.8000000000001882E-2</v>
      </c>
      <c r="E113" t="s">
        <v>114</v>
      </c>
      <c r="F113">
        <v>41.799889</v>
      </c>
      <c r="G113">
        <v>9.4800000000002077E-2</v>
      </c>
      <c r="I113" t="s">
        <v>114</v>
      </c>
      <c r="J113">
        <v>37.579483000000003</v>
      </c>
      <c r="K113">
        <v>9.7600000000002157E-2</v>
      </c>
    </row>
    <row r="114" spans="1:11" x14ac:dyDescent="0.5">
      <c r="A114" t="s">
        <v>115</v>
      </c>
      <c r="B114">
        <v>36.533009999999997</v>
      </c>
      <c r="C114">
        <v>0.10050000000000224</v>
      </c>
      <c r="E114" t="s">
        <v>115</v>
      </c>
      <c r="F114">
        <v>79.172280000000001</v>
      </c>
      <c r="G114">
        <v>0.12100000000000283</v>
      </c>
      <c r="I114" t="s">
        <v>115</v>
      </c>
      <c r="J114">
        <v>48.833151000000001</v>
      </c>
      <c r="K114">
        <v>0.11400000000000263</v>
      </c>
    </row>
    <row r="115" spans="1:11" x14ac:dyDescent="0.5">
      <c r="A115" t="s">
        <v>116</v>
      </c>
      <c r="B115">
        <v>37.503200999999997</v>
      </c>
      <c r="C115">
        <v>8.8400000000001894E-2</v>
      </c>
      <c r="E115" t="s">
        <v>116</v>
      </c>
      <c r="F115">
        <v>50.690885000000002</v>
      </c>
      <c r="G115">
        <v>0.10740000000000244</v>
      </c>
      <c r="I115" t="s">
        <v>116</v>
      </c>
      <c r="J115">
        <v>38.799835000000002</v>
      </c>
      <c r="K115">
        <v>0.1097000000000025</v>
      </c>
    </row>
    <row r="116" spans="1:11" x14ac:dyDescent="0.5">
      <c r="A116" t="s">
        <v>117</v>
      </c>
      <c r="B116">
        <v>41.848975000000003</v>
      </c>
      <c r="C116">
        <v>7.2600000000001441E-2</v>
      </c>
      <c r="E116" t="s">
        <v>117</v>
      </c>
      <c r="F116">
        <v>68.241343000000001</v>
      </c>
      <c r="G116">
        <v>0.1166000000000027</v>
      </c>
      <c r="I116" t="s">
        <v>117</v>
      </c>
      <c r="J116">
        <v>44.607782</v>
      </c>
      <c r="K116">
        <v>0.11080000000000254</v>
      </c>
    </row>
    <row r="117" spans="1:11" x14ac:dyDescent="0.5">
      <c r="A117" t="s">
        <v>118</v>
      </c>
      <c r="B117">
        <v>69.104527000000004</v>
      </c>
      <c r="C117">
        <v>9.5700000000002103E-2</v>
      </c>
      <c r="E117" t="s">
        <v>118</v>
      </c>
      <c r="F117">
        <v>67.279351000000005</v>
      </c>
      <c r="G117">
        <v>0.11700000000000271</v>
      </c>
      <c r="I117" t="s">
        <v>118</v>
      </c>
      <c r="J117">
        <v>54.958218000000002</v>
      </c>
      <c r="K117">
        <v>0.11980000000000279</v>
      </c>
    </row>
    <row r="118" spans="1:11" x14ac:dyDescent="0.5">
      <c r="A118" t="s">
        <v>119</v>
      </c>
      <c r="B118">
        <v>47.220022999999998</v>
      </c>
      <c r="C118">
        <v>6.7800000000001304E-2</v>
      </c>
      <c r="E118" t="s">
        <v>119</v>
      </c>
      <c r="F118">
        <v>49.788207</v>
      </c>
      <c r="G118">
        <v>0.10570000000000239</v>
      </c>
      <c r="I118" t="s">
        <v>119</v>
      </c>
      <c r="J118">
        <v>43.269088000000004</v>
      </c>
      <c r="K118">
        <v>0.10750000000000244</v>
      </c>
    </row>
    <row r="119" spans="1:11" x14ac:dyDescent="0.5">
      <c r="A119" t="s">
        <v>120</v>
      </c>
      <c r="B119">
        <v>44.390748000000002</v>
      </c>
      <c r="C119">
        <v>5.0100000000000804E-2</v>
      </c>
      <c r="E119" t="s">
        <v>120</v>
      </c>
      <c r="F119">
        <v>39.275236</v>
      </c>
      <c r="G119">
        <v>0.10480000000000236</v>
      </c>
      <c r="I119" t="s">
        <v>120</v>
      </c>
      <c r="J119">
        <v>33.22842</v>
      </c>
      <c r="K119">
        <v>0.10860000000000247</v>
      </c>
    </row>
    <row r="120" spans="1:11" x14ac:dyDescent="0.5">
      <c r="A120" t="s">
        <v>121</v>
      </c>
      <c r="B120">
        <v>40.331533999999998</v>
      </c>
      <c r="C120">
        <v>7.4000000000001481E-2</v>
      </c>
      <c r="E120" t="s">
        <v>121</v>
      </c>
      <c r="F120">
        <v>50.786650999999999</v>
      </c>
      <c r="G120">
        <v>0.10050000000000224</v>
      </c>
      <c r="I120" t="s">
        <v>121</v>
      </c>
      <c r="J120">
        <v>45.656779</v>
      </c>
      <c r="K120">
        <v>0.11770000000000273</v>
      </c>
    </row>
    <row r="121" spans="1:11" x14ac:dyDescent="0.5">
      <c r="A121" t="s">
        <v>122</v>
      </c>
      <c r="B121">
        <v>39.590502999999998</v>
      </c>
      <c r="C121">
        <v>7.430000000000149E-2</v>
      </c>
      <c r="E121" t="s">
        <v>122</v>
      </c>
      <c r="F121">
        <v>49.080525999999999</v>
      </c>
      <c r="G121">
        <v>9.8800000000002192E-2</v>
      </c>
      <c r="I121" t="s">
        <v>122</v>
      </c>
      <c r="J121">
        <v>36.843257999999999</v>
      </c>
      <c r="K121">
        <v>0.10730000000000244</v>
      </c>
    </row>
    <row r="122" spans="1:11" x14ac:dyDescent="0.5">
      <c r="A122" t="s">
        <v>123</v>
      </c>
      <c r="B122">
        <v>37.389214000000003</v>
      </c>
      <c r="C122">
        <v>8.6400000000001836E-2</v>
      </c>
      <c r="E122" t="s">
        <v>123</v>
      </c>
      <c r="F122">
        <v>99.131983000000005</v>
      </c>
      <c r="G122">
        <v>0.13620000000000171</v>
      </c>
      <c r="I122" t="s">
        <v>123</v>
      </c>
      <c r="J122">
        <v>38.543331999999999</v>
      </c>
      <c r="K122">
        <v>0.13770000000000154</v>
      </c>
    </row>
    <row r="123" spans="1:11" x14ac:dyDescent="0.5">
      <c r="A123" t="s">
        <v>124</v>
      </c>
      <c r="B123">
        <v>114.078401</v>
      </c>
      <c r="C123">
        <v>6.4700000000001215E-2</v>
      </c>
      <c r="E123" t="s">
        <v>124</v>
      </c>
      <c r="F123">
        <v>61.970931999999998</v>
      </c>
      <c r="G123">
        <v>0.10630000000000241</v>
      </c>
      <c r="I123" t="s">
        <v>124</v>
      </c>
      <c r="J123">
        <v>49.025531000000001</v>
      </c>
      <c r="K123">
        <v>0.10690000000000242</v>
      </c>
    </row>
    <row r="124" spans="1:11" x14ac:dyDescent="0.5">
      <c r="A124" t="s">
        <v>125</v>
      </c>
      <c r="B124">
        <v>82.883977999999999</v>
      </c>
      <c r="C124">
        <v>0.12290000000000288</v>
      </c>
      <c r="E124" t="s">
        <v>125</v>
      </c>
      <c r="F124">
        <v>43.256174000000001</v>
      </c>
      <c r="G124">
        <v>0.10510000000000237</v>
      </c>
      <c r="I124" t="s">
        <v>125</v>
      </c>
      <c r="J124">
        <v>40.625788</v>
      </c>
      <c r="K124">
        <v>0.10800000000000246</v>
      </c>
    </row>
    <row r="125" spans="1:11" x14ac:dyDescent="0.5">
      <c r="A125" t="s">
        <v>126</v>
      </c>
      <c r="B125">
        <v>43.228679</v>
      </c>
      <c r="C125">
        <v>9.4000000000002054E-2</v>
      </c>
      <c r="E125" t="s">
        <v>126</v>
      </c>
      <c r="F125">
        <v>56.354346</v>
      </c>
      <c r="G125">
        <v>9.6600000000002129E-2</v>
      </c>
      <c r="I125" t="s">
        <v>126</v>
      </c>
      <c r="J125">
        <v>43.922182999999997</v>
      </c>
      <c r="K125">
        <v>0.10350000000000233</v>
      </c>
    </row>
    <row r="126" spans="1:11" x14ac:dyDescent="0.5">
      <c r="A126" t="s">
        <v>127</v>
      </c>
      <c r="B126">
        <v>60.098872999999998</v>
      </c>
      <c r="C126">
        <v>7.9100000000001627E-2</v>
      </c>
      <c r="E126" t="s">
        <v>127</v>
      </c>
      <c r="F126">
        <v>57.139176999999997</v>
      </c>
      <c r="G126">
        <v>0.10120000000000226</v>
      </c>
      <c r="I126" t="s">
        <v>127</v>
      </c>
      <c r="J126">
        <v>42.88494</v>
      </c>
      <c r="K126">
        <v>0.11760000000000273</v>
      </c>
    </row>
    <row r="127" spans="1:11" x14ac:dyDescent="0.5">
      <c r="A127" t="s">
        <v>128</v>
      </c>
      <c r="B127">
        <v>44.430098999999998</v>
      </c>
      <c r="C127">
        <v>7.9100000000001627E-2</v>
      </c>
      <c r="E127" t="s">
        <v>128</v>
      </c>
      <c r="F127">
        <v>59.129379</v>
      </c>
      <c r="G127">
        <v>0.12700000000000272</v>
      </c>
      <c r="I127" t="s">
        <v>128</v>
      </c>
      <c r="J127">
        <v>48.550406000000002</v>
      </c>
      <c r="K127">
        <v>0.1235000000000029</v>
      </c>
    </row>
    <row r="128" spans="1:11" x14ac:dyDescent="0.5">
      <c r="A128" t="s">
        <v>129</v>
      </c>
      <c r="B128">
        <v>36.332487</v>
      </c>
      <c r="C128">
        <v>7.640000000000155E-2</v>
      </c>
      <c r="E128" t="s">
        <v>129</v>
      </c>
      <c r="F128">
        <v>56.498432000000001</v>
      </c>
      <c r="G128">
        <v>0.11010000000000252</v>
      </c>
      <c r="I128" t="s">
        <v>129</v>
      </c>
      <c r="J128">
        <v>41.831843999999997</v>
      </c>
      <c r="K128">
        <v>0.10150000000000227</v>
      </c>
    </row>
    <row r="129" spans="1:11" x14ac:dyDescent="0.5">
      <c r="A129" t="s">
        <v>130</v>
      </c>
      <c r="B129">
        <v>39.180346</v>
      </c>
      <c r="C129">
        <v>9.8300000000002177E-2</v>
      </c>
      <c r="E129" t="s">
        <v>130</v>
      </c>
      <c r="F129">
        <v>65.717008000000007</v>
      </c>
      <c r="G129">
        <v>0.12820000000000259</v>
      </c>
      <c r="I129" t="s">
        <v>130</v>
      </c>
      <c r="J129">
        <v>38.625456999999997</v>
      </c>
      <c r="K129">
        <v>0.1317000000000022</v>
      </c>
    </row>
    <row r="130" spans="1:11" x14ac:dyDescent="0.5">
      <c r="A130" t="s">
        <v>131</v>
      </c>
      <c r="B130">
        <v>42.539641000000003</v>
      </c>
      <c r="C130">
        <v>7.5600000000001527E-2</v>
      </c>
      <c r="E130" t="s">
        <v>131</v>
      </c>
      <c r="F130">
        <v>56.642169000000003</v>
      </c>
      <c r="G130">
        <v>0.10790000000000245</v>
      </c>
      <c r="I130" t="s">
        <v>131</v>
      </c>
      <c r="J130">
        <v>45.889955</v>
      </c>
      <c r="K130">
        <v>9.9200000000002203E-2</v>
      </c>
    </row>
    <row r="131" spans="1:11" x14ac:dyDescent="0.5">
      <c r="A131" t="s">
        <v>132</v>
      </c>
      <c r="B131">
        <v>41.686098999999999</v>
      </c>
      <c r="C131">
        <v>7.4400000000001493E-2</v>
      </c>
      <c r="E131" t="s">
        <v>132</v>
      </c>
      <c r="F131">
        <v>43.058025000000001</v>
      </c>
      <c r="G131">
        <v>8.8000000000001882E-2</v>
      </c>
      <c r="I131" t="s">
        <v>132</v>
      </c>
      <c r="J131">
        <v>35.963169000000001</v>
      </c>
      <c r="K131">
        <v>9.0500000000001954E-2</v>
      </c>
    </row>
    <row r="132" spans="1:11" x14ac:dyDescent="0.5">
      <c r="A132" t="s">
        <v>133</v>
      </c>
      <c r="B132">
        <v>38.266717999999997</v>
      </c>
      <c r="C132">
        <v>7.4900000000001507E-2</v>
      </c>
      <c r="E132" t="s">
        <v>133</v>
      </c>
      <c r="F132">
        <v>66.357039</v>
      </c>
      <c r="G132">
        <v>0.11820000000000275</v>
      </c>
      <c r="I132" t="s">
        <v>133</v>
      </c>
      <c r="J132">
        <v>54.547466999999997</v>
      </c>
      <c r="K132">
        <v>0.12110000000000283</v>
      </c>
    </row>
    <row r="133" spans="1:11" x14ac:dyDescent="0.5">
      <c r="A133" t="s">
        <v>134</v>
      </c>
      <c r="B133">
        <v>43.844389</v>
      </c>
      <c r="C133">
        <v>7.6700000000001559E-2</v>
      </c>
      <c r="E133" t="s">
        <v>134</v>
      </c>
      <c r="F133">
        <v>54.047139000000001</v>
      </c>
      <c r="G133">
        <v>0.1060000000000024</v>
      </c>
      <c r="I133" t="s">
        <v>134</v>
      </c>
      <c r="J133">
        <v>43.927526</v>
      </c>
      <c r="K133">
        <v>0.10040000000000224</v>
      </c>
    </row>
    <row r="134" spans="1:11" x14ac:dyDescent="0.5">
      <c r="A134" t="s">
        <v>135</v>
      </c>
      <c r="B134">
        <v>49.626201000000002</v>
      </c>
      <c r="C134">
        <v>7.6300000000001547E-2</v>
      </c>
      <c r="E134" t="s">
        <v>135</v>
      </c>
      <c r="F134">
        <v>56.352386000000003</v>
      </c>
      <c r="G134">
        <v>0.11110000000000254</v>
      </c>
      <c r="I134" t="s">
        <v>135</v>
      </c>
      <c r="J134">
        <v>47.827885000000002</v>
      </c>
      <c r="K134">
        <v>0.11080000000000254</v>
      </c>
    </row>
    <row r="135" spans="1:11" x14ac:dyDescent="0.5">
      <c r="A135" t="s">
        <v>136</v>
      </c>
      <c r="B135">
        <v>49.456691999999997</v>
      </c>
      <c r="C135">
        <v>7.1100000000001398E-2</v>
      </c>
      <c r="E135" t="s">
        <v>136</v>
      </c>
      <c r="F135">
        <v>108.986136</v>
      </c>
      <c r="G135">
        <v>0.11550000000000267</v>
      </c>
      <c r="I135" t="s">
        <v>136</v>
      </c>
      <c r="J135">
        <v>55.653149999999997</v>
      </c>
      <c r="K135">
        <v>0.11230000000000258</v>
      </c>
    </row>
    <row r="136" spans="1:11" x14ac:dyDescent="0.5">
      <c r="A136" t="s">
        <v>137</v>
      </c>
      <c r="B136">
        <v>40.824522000000002</v>
      </c>
      <c r="C136">
        <v>8.0500000000001667E-2</v>
      </c>
      <c r="E136" t="s">
        <v>137</v>
      </c>
      <c r="F136">
        <v>91.740812000000005</v>
      </c>
      <c r="G136">
        <v>0.1095000000000025</v>
      </c>
      <c r="I136" t="s">
        <v>137</v>
      </c>
      <c r="J136">
        <v>53.306626000000001</v>
      </c>
      <c r="K136">
        <v>0.10780000000000245</v>
      </c>
    </row>
    <row r="137" spans="1:11" x14ac:dyDescent="0.5">
      <c r="A137" t="s">
        <v>138</v>
      </c>
      <c r="B137">
        <v>39.471046000000001</v>
      </c>
      <c r="C137">
        <v>6.9300000000001347E-2</v>
      </c>
      <c r="E137" t="s">
        <v>138</v>
      </c>
      <c r="F137">
        <v>124.30309200000001</v>
      </c>
      <c r="G137">
        <v>0.10180000000000228</v>
      </c>
      <c r="I137" t="s">
        <v>138</v>
      </c>
      <c r="J137">
        <v>58.126106999999998</v>
      </c>
      <c r="K137">
        <v>0.11140000000000255</v>
      </c>
    </row>
    <row r="138" spans="1:11" x14ac:dyDescent="0.5">
      <c r="A138" t="s">
        <v>139</v>
      </c>
      <c r="B138">
        <v>35.433393000000002</v>
      </c>
      <c r="C138">
        <v>8.060000000000167E-2</v>
      </c>
      <c r="E138" t="s">
        <v>139</v>
      </c>
      <c r="F138">
        <v>55.655042000000002</v>
      </c>
      <c r="G138">
        <v>9.420000000000206E-2</v>
      </c>
      <c r="I138" t="s">
        <v>139</v>
      </c>
      <c r="J138">
        <v>49.794789999999999</v>
      </c>
      <c r="K138">
        <v>0.10830000000000246</v>
      </c>
    </row>
    <row r="139" spans="1:11" x14ac:dyDescent="0.5">
      <c r="A139" t="s">
        <v>140</v>
      </c>
      <c r="B139">
        <v>43.761474999999997</v>
      </c>
      <c r="C139">
        <v>8.9900000000001937E-2</v>
      </c>
      <c r="E139" t="s">
        <v>140</v>
      </c>
      <c r="F139">
        <v>96.515834999999996</v>
      </c>
      <c r="G139">
        <v>0.11580000000000268</v>
      </c>
      <c r="I139" t="s">
        <v>140</v>
      </c>
      <c r="J139">
        <v>49.229016000000001</v>
      </c>
      <c r="K139">
        <v>0.11790000000000274</v>
      </c>
    </row>
    <row r="140" spans="1:11" x14ac:dyDescent="0.5">
      <c r="A140" t="s">
        <v>141</v>
      </c>
      <c r="B140">
        <v>38.029947</v>
      </c>
      <c r="C140">
        <v>7.7200000000001573E-2</v>
      </c>
      <c r="E140" t="s">
        <v>141</v>
      </c>
      <c r="F140">
        <v>71.823699000000005</v>
      </c>
      <c r="G140">
        <v>0.11680000000000271</v>
      </c>
      <c r="I140" t="s">
        <v>141</v>
      </c>
      <c r="J140">
        <v>48.419030999999997</v>
      </c>
      <c r="K140">
        <v>0.11110000000000254</v>
      </c>
    </row>
    <row r="141" spans="1:11" x14ac:dyDescent="0.5">
      <c r="A141" t="s">
        <v>142</v>
      </c>
      <c r="B141">
        <v>43.919885999999998</v>
      </c>
      <c r="C141">
        <v>7.4500000000001496E-2</v>
      </c>
      <c r="E141" t="s">
        <v>142</v>
      </c>
      <c r="F141">
        <v>69.812631999999994</v>
      </c>
      <c r="G141">
        <v>0.10910000000000249</v>
      </c>
      <c r="I141" t="s">
        <v>142</v>
      </c>
      <c r="J141">
        <v>47.017443999999998</v>
      </c>
      <c r="K141">
        <v>9.2700000000002017E-2</v>
      </c>
    </row>
    <row r="142" spans="1:11" x14ac:dyDescent="0.5">
      <c r="A142" t="s">
        <v>143</v>
      </c>
      <c r="B142">
        <v>34.480981</v>
      </c>
      <c r="C142">
        <v>7.2100000000001427E-2</v>
      </c>
      <c r="E142" t="s">
        <v>143</v>
      </c>
      <c r="F142">
        <v>80.860547999999994</v>
      </c>
      <c r="G142">
        <v>0.12080000000000282</v>
      </c>
      <c r="I142" t="s">
        <v>143</v>
      </c>
      <c r="J142">
        <v>46.436742000000002</v>
      </c>
      <c r="K142">
        <v>0.12440000000000292</v>
      </c>
    </row>
    <row r="143" spans="1:11" x14ac:dyDescent="0.5">
      <c r="A143" t="s">
        <v>144</v>
      </c>
      <c r="B143">
        <v>44.450902999999997</v>
      </c>
      <c r="C143">
        <v>7.9800000000001647E-2</v>
      </c>
      <c r="E143" t="s">
        <v>144</v>
      </c>
      <c r="F143">
        <v>73.139872999999994</v>
      </c>
      <c r="G143">
        <v>0.2097999999999936</v>
      </c>
      <c r="I143" t="s">
        <v>144</v>
      </c>
      <c r="J143">
        <v>49.407418999999997</v>
      </c>
      <c r="K143">
        <v>0.12790000000000262</v>
      </c>
    </row>
    <row r="144" spans="1:11" x14ac:dyDescent="0.5">
      <c r="A144" t="s">
        <v>145</v>
      </c>
      <c r="B144">
        <v>42.678649</v>
      </c>
      <c r="C144">
        <v>7.3000000000001453E-2</v>
      </c>
      <c r="E144" t="s">
        <v>145</v>
      </c>
      <c r="F144">
        <v>54.659689</v>
      </c>
      <c r="G144">
        <v>0.12620000000000281</v>
      </c>
      <c r="I144" t="s">
        <v>145</v>
      </c>
      <c r="J144">
        <v>37.424115999999998</v>
      </c>
      <c r="K144">
        <v>0.10290000000000231</v>
      </c>
    </row>
    <row r="145" spans="1:11" x14ac:dyDescent="0.5">
      <c r="A145" t="s">
        <v>146</v>
      </c>
      <c r="B145">
        <v>65.586371</v>
      </c>
      <c r="C145">
        <v>0.11840000000000275</v>
      </c>
      <c r="E145" t="s">
        <v>146</v>
      </c>
      <c r="F145">
        <v>58.504196999999998</v>
      </c>
      <c r="G145">
        <v>0.11430000000000264</v>
      </c>
      <c r="I145" t="s">
        <v>146</v>
      </c>
      <c r="J145">
        <v>40.133574000000003</v>
      </c>
      <c r="K145">
        <v>0.10800000000000246</v>
      </c>
    </row>
    <row r="146" spans="1:11" x14ac:dyDescent="0.5">
      <c r="A146" t="s">
        <v>147</v>
      </c>
      <c r="B146">
        <v>38.133085000000001</v>
      </c>
      <c r="C146">
        <v>7.3100000000001455E-2</v>
      </c>
      <c r="E146" t="s">
        <v>147</v>
      </c>
      <c r="F146">
        <v>58.017735999999999</v>
      </c>
      <c r="G146">
        <v>0.11350000000000261</v>
      </c>
      <c r="I146" t="s">
        <v>147</v>
      </c>
      <c r="J146">
        <v>58.496721000000001</v>
      </c>
      <c r="K146">
        <v>0.10240000000000229</v>
      </c>
    </row>
    <row r="147" spans="1:11" x14ac:dyDescent="0.5">
      <c r="A147" t="s">
        <v>148</v>
      </c>
      <c r="B147">
        <v>37.554716999999997</v>
      </c>
      <c r="C147">
        <v>8.7300000000001862E-2</v>
      </c>
      <c r="E147" t="s">
        <v>148</v>
      </c>
      <c r="F147">
        <v>32.480316999999999</v>
      </c>
      <c r="G147">
        <v>0.1254000000000029</v>
      </c>
      <c r="I147" t="s">
        <v>148</v>
      </c>
      <c r="J147">
        <v>38.335208999999999</v>
      </c>
      <c r="K147">
        <v>9.9300000000002206E-2</v>
      </c>
    </row>
    <row r="148" spans="1:11" x14ac:dyDescent="0.5">
      <c r="A148" t="s">
        <v>149</v>
      </c>
      <c r="B148">
        <v>35.359814</v>
      </c>
      <c r="C148">
        <v>6.4200000000001201E-2</v>
      </c>
      <c r="E148" t="s">
        <v>149</v>
      </c>
      <c r="F148">
        <v>51.527259999999998</v>
      </c>
      <c r="G148">
        <v>0.11190000000000257</v>
      </c>
      <c r="I148" t="s">
        <v>149</v>
      </c>
      <c r="J148">
        <v>40.038288999999999</v>
      </c>
      <c r="K148">
        <v>0.11120000000000255</v>
      </c>
    </row>
    <row r="149" spans="1:11" x14ac:dyDescent="0.5">
      <c r="A149" t="s">
        <v>150</v>
      </c>
      <c r="B149">
        <v>39.253399000000002</v>
      </c>
      <c r="C149">
        <v>8.0700000000001673E-2</v>
      </c>
      <c r="E149" t="s">
        <v>150</v>
      </c>
      <c r="F149">
        <v>57.309472999999997</v>
      </c>
      <c r="G149">
        <v>0.13180000000000219</v>
      </c>
      <c r="I149" t="s">
        <v>150</v>
      </c>
      <c r="J149">
        <v>37.767508999999997</v>
      </c>
      <c r="K149">
        <v>0.10020000000000223</v>
      </c>
    </row>
    <row r="150" spans="1:11" x14ac:dyDescent="0.5">
      <c r="A150" t="s">
        <v>151</v>
      </c>
      <c r="B150">
        <v>40.878846000000003</v>
      </c>
      <c r="C150">
        <v>7.4700000000001501E-2</v>
      </c>
      <c r="E150" t="s">
        <v>151</v>
      </c>
      <c r="F150">
        <v>72.032737999999995</v>
      </c>
      <c r="G150">
        <v>0.10510000000000237</v>
      </c>
      <c r="I150" t="s">
        <v>151</v>
      </c>
      <c r="J150">
        <v>58.790869000000001</v>
      </c>
      <c r="K150">
        <v>0.10920000000000249</v>
      </c>
    </row>
    <row r="151" spans="1:11" x14ac:dyDescent="0.5">
      <c r="A151" t="s">
        <v>152</v>
      </c>
      <c r="B151">
        <v>36.584014000000003</v>
      </c>
      <c r="C151">
        <v>7.5600000000001527E-2</v>
      </c>
      <c r="E151" t="s">
        <v>152</v>
      </c>
      <c r="F151">
        <v>46.128404000000003</v>
      </c>
      <c r="G151">
        <v>9.1100000000001971E-2</v>
      </c>
      <c r="I151" t="s">
        <v>152</v>
      </c>
      <c r="J151">
        <v>41.043925999999999</v>
      </c>
      <c r="K151">
        <v>9.0800000000001962E-2</v>
      </c>
    </row>
    <row r="152" spans="1:11" x14ac:dyDescent="0.5">
      <c r="A152" t="s">
        <v>153</v>
      </c>
      <c r="B152">
        <v>36.284649999999999</v>
      </c>
      <c r="C152">
        <v>7.5400000000001521E-2</v>
      </c>
      <c r="E152" t="s">
        <v>153</v>
      </c>
      <c r="F152">
        <v>91.923623000000006</v>
      </c>
      <c r="G152">
        <v>0.1202000000000028</v>
      </c>
      <c r="I152" t="s">
        <v>153</v>
      </c>
      <c r="J152">
        <v>40.095041999999999</v>
      </c>
      <c r="K152">
        <v>0.1129000000000026</v>
      </c>
    </row>
    <row r="153" spans="1:11" x14ac:dyDescent="0.5">
      <c r="A153" t="s">
        <v>154</v>
      </c>
      <c r="B153">
        <v>39.062288000000002</v>
      </c>
      <c r="C153">
        <v>7.3300000000001461E-2</v>
      </c>
      <c r="E153" t="s">
        <v>154</v>
      </c>
      <c r="F153">
        <v>64.516766000000004</v>
      </c>
      <c r="G153">
        <v>0.12130000000000284</v>
      </c>
      <c r="I153" t="s">
        <v>154</v>
      </c>
      <c r="J153">
        <v>45.127515000000002</v>
      </c>
      <c r="K153">
        <v>0.11430000000000264</v>
      </c>
    </row>
    <row r="154" spans="1:11" x14ac:dyDescent="0.5">
      <c r="A154" t="s">
        <v>155</v>
      </c>
      <c r="B154">
        <v>37.021152999999998</v>
      </c>
      <c r="C154">
        <v>9.3600000000002043E-2</v>
      </c>
      <c r="E154" t="s">
        <v>155</v>
      </c>
      <c r="F154">
        <v>42.966836000000001</v>
      </c>
      <c r="G154">
        <v>0.12410000000000292</v>
      </c>
      <c r="I154" t="s">
        <v>155</v>
      </c>
      <c r="J154">
        <v>37.587572999999999</v>
      </c>
      <c r="K154">
        <v>0.11090000000000254</v>
      </c>
    </row>
    <row r="155" spans="1:11" x14ac:dyDescent="0.5">
      <c r="A155" t="s">
        <v>156</v>
      </c>
      <c r="B155">
        <v>49.410839000000003</v>
      </c>
      <c r="C155">
        <v>0.11880000000000276</v>
      </c>
      <c r="E155" t="s">
        <v>156</v>
      </c>
      <c r="F155">
        <v>83.131918999999996</v>
      </c>
      <c r="G155">
        <v>0.10740000000000244</v>
      </c>
      <c r="I155" t="s">
        <v>156</v>
      </c>
      <c r="J155">
        <v>44.626151999999998</v>
      </c>
      <c r="K155">
        <v>0.11270000000000259</v>
      </c>
    </row>
    <row r="156" spans="1:11" x14ac:dyDescent="0.5">
      <c r="A156" t="s">
        <v>157</v>
      </c>
      <c r="B156">
        <v>39.205758000000003</v>
      </c>
      <c r="C156">
        <v>7.3200000000001458E-2</v>
      </c>
      <c r="E156" t="s">
        <v>157</v>
      </c>
      <c r="F156">
        <v>55.420555999999998</v>
      </c>
      <c r="G156">
        <v>0.20289999999999436</v>
      </c>
      <c r="I156" t="s">
        <v>157</v>
      </c>
      <c r="J156">
        <v>47.814003999999997</v>
      </c>
      <c r="K156">
        <v>9.9400000000002209E-2</v>
      </c>
    </row>
    <row r="157" spans="1:11" x14ac:dyDescent="0.5">
      <c r="A157" t="s">
        <v>158</v>
      </c>
      <c r="B157">
        <v>46.429855000000003</v>
      </c>
      <c r="C157">
        <v>9.8600000000002186E-2</v>
      </c>
      <c r="E157" t="s">
        <v>158</v>
      </c>
      <c r="F157">
        <v>67.084192999999999</v>
      </c>
      <c r="G157">
        <v>0.10090000000000225</v>
      </c>
      <c r="I157" t="s">
        <v>158</v>
      </c>
      <c r="J157">
        <v>47.382331000000001</v>
      </c>
      <c r="K157">
        <v>0.10160000000000227</v>
      </c>
    </row>
    <row r="158" spans="1:11" x14ac:dyDescent="0.5">
      <c r="A158" t="s">
        <v>159</v>
      </c>
      <c r="B158">
        <v>47.307763000000001</v>
      </c>
      <c r="C158">
        <v>8.4400000000001779E-2</v>
      </c>
      <c r="E158" t="s">
        <v>159</v>
      </c>
      <c r="F158">
        <v>60.623249000000001</v>
      </c>
      <c r="G158">
        <v>0.11890000000000277</v>
      </c>
      <c r="I158" t="s">
        <v>159</v>
      </c>
      <c r="J158">
        <v>41.697170999999997</v>
      </c>
      <c r="K158">
        <v>9.5000000000002083E-2</v>
      </c>
    </row>
    <row r="159" spans="1:11" x14ac:dyDescent="0.5">
      <c r="A159" t="s">
        <v>160</v>
      </c>
      <c r="B159">
        <v>39.215088000000002</v>
      </c>
      <c r="C159">
        <v>6.9800000000001361E-2</v>
      </c>
      <c r="E159" t="s">
        <v>160</v>
      </c>
      <c r="F159">
        <v>66.813247000000004</v>
      </c>
      <c r="G159">
        <v>0.10300000000000231</v>
      </c>
      <c r="I159" t="s">
        <v>160</v>
      </c>
      <c r="J159">
        <v>48.500225999999998</v>
      </c>
      <c r="K159">
        <v>9.9000000000002197E-2</v>
      </c>
    </row>
    <row r="160" spans="1:11" x14ac:dyDescent="0.5">
      <c r="A160" t="s">
        <v>161</v>
      </c>
      <c r="B160">
        <v>45.990997999999998</v>
      </c>
      <c r="C160">
        <v>4.6300000000000695E-2</v>
      </c>
      <c r="E160" t="s">
        <v>161</v>
      </c>
      <c r="F160">
        <v>53.449601000000001</v>
      </c>
      <c r="G160">
        <v>9.9200000000002203E-2</v>
      </c>
      <c r="I160" t="s">
        <v>161</v>
      </c>
      <c r="J160">
        <v>40.957019000000003</v>
      </c>
      <c r="K160">
        <v>0.11090000000000254</v>
      </c>
    </row>
    <row r="161" spans="1:11" x14ac:dyDescent="0.5">
      <c r="A161" t="s">
        <v>162</v>
      </c>
      <c r="B161">
        <v>40.890487</v>
      </c>
      <c r="C161">
        <v>7.6200000000001544E-2</v>
      </c>
      <c r="E161" t="s">
        <v>162</v>
      </c>
      <c r="F161">
        <v>67.033018999999996</v>
      </c>
      <c r="G161">
        <v>0.1129000000000026</v>
      </c>
      <c r="I161" t="s">
        <v>162</v>
      </c>
      <c r="J161">
        <v>68.030450999999999</v>
      </c>
      <c r="K161">
        <v>0.10120000000000226</v>
      </c>
    </row>
    <row r="162" spans="1:11" x14ac:dyDescent="0.5">
      <c r="A162" t="s">
        <v>163</v>
      </c>
      <c r="B162">
        <v>38.34478</v>
      </c>
      <c r="C162">
        <v>7.1600000000002842E-2</v>
      </c>
      <c r="E162" t="s">
        <v>163</v>
      </c>
      <c r="F162">
        <v>72.638722000000001</v>
      </c>
      <c r="G162">
        <v>0.10730000000000386</v>
      </c>
      <c r="I162" t="s">
        <v>163</v>
      </c>
      <c r="J162">
        <v>48.055309999999999</v>
      </c>
      <c r="K162">
        <v>0.11520000000000409</v>
      </c>
    </row>
    <row r="163" spans="1:11" x14ac:dyDescent="0.5">
      <c r="A163" t="s">
        <v>164</v>
      </c>
      <c r="B163">
        <v>25.645810999999998</v>
      </c>
      <c r="C163">
        <v>4.7500000000000327E-2</v>
      </c>
      <c r="E163" t="s">
        <v>164</v>
      </c>
      <c r="F163">
        <v>45.112786</v>
      </c>
      <c r="G163">
        <v>9.7700000000001758E-2</v>
      </c>
      <c r="I163" t="s">
        <v>164</v>
      </c>
      <c r="J163">
        <v>40.358507000000003</v>
      </c>
      <c r="K163">
        <v>9.0300000000001546E-2</v>
      </c>
    </row>
    <row r="164" spans="1:11" x14ac:dyDescent="0.5">
      <c r="A164" t="s">
        <v>165</v>
      </c>
      <c r="B164">
        <v>39.684595999999999</v>
      </c>
      <c r="C164">
        <v>9.5700000000003532E-2</v>
      </c>
      <c r="E164" t="s">
        <v>165</v>
      </c>
      <c r="F164">
        <v>54.375739000000003</v>
      </c>
      <c r="G164">
        <v>0.10570000000000382</v>
      </c>
      <c r="I164" t="s">
        <v>165</v>
      </c>
      <c r="J164">
        <v>44.834395999999998</v>
      </c>
      <c r="K164">
        <v>0.11740000000000415</v>
      </c>
    </row>
    <row r="165" spans="1:11" x14ac:dyDescent="0.5">
      <c r="A165" t="s">
        <v>166</v>
      </c>
      <c r="B165">
        <v>35.154612</v>
      </c>
      <c r="C165">
        <v>7.5000000000001107E-2</v>
      </c>
      <c r="E165" t="s">
        <v>166</v>
      </c>
      <c r="F165">
        <v>85.640399000000002</v>
      </c>
      <c r="G165">
        <v>0.11860000000000236</v>
      </c>
      <c r="I165" t="s">
        <v>166</v>
      </c>
      <c r="J165">
        <v>65.693515000000005</v>
      </c>
      <c r="K165">
        <v>0.11530000000000226</v>
      </c>
    </row>
    <row r="166" spans="1:11" x14ac:dyDescent="0.5">
      <c r="A166" t="s">
        <v>167</v>
      </c>
      <c r="B166">
        <v>54.894964000000002</v>
      </c>
      <c r="C166">
        <v>9.010000000000154E-2</v>
      </c>
      <c r="E166" t="s">
        <v>167</v>
      </c>
      <c r="F166">
        <v>51.784357999999997</v>
      </c>
      <c r="G166">
        <v>0.11240000000000218</v>
      </c>
      <c r="I166" t="s">
        <v>167</v>
      </c>
      <c r="J166">
        <v>44.962257999999999</v>
      </c>
      <c r="K166">
        <v>0.10310000000000191</v>
      </c>
    </row>
    <row r="167" spans="1:11" x14ac:dyDescent="0.5">
      <c r="A167" t="s">
        <v>168</v>
      </c>
      <c r="B167">
        <v>48.756852000000002</v>
      </c>
      <c r="C167">
        <v>9.6100000000003544E-2</v>
      </c>
      <c r="E167" t="s">
        <v>168</v>
      </c>
      <c r="F167">
        <v>65.342969999999994</v>
      </c>
      <c r="G167">
        <v>0.10360000000000376</v>
      </c>
      <c r="I167" t="s">
        <v>168</v>
      </c>
      <c r="J167">
        <v>42.838056999999999</v>
      </c>
      <c r="K167">
        <v>0.10290000000000374</v>
      </c>
    </row>
    <row r="168" spans="1:11" x14ac:dyDescent="0.5">
      <c r="A168" t="s">
        <v>169</v>
      </c>
      <c r="B168">
        <v>38.969271999999997</v>
      </c>
      <c r="C168">
        <v>7.5300000000002948E-2</v>
      </c>
      <c r="E168" t="s">
        <v>169</v>
      </c>
      <c r="F168">
        <v>65.733079000000004</v>
      </c>
      <c r="G168">
        <v>0.11500000000000409</v>
      </c>
      <c r="I168" t="s">
        <v>169</v>
      </c>
      <c r="J168">
        <v>51.053091999999999</v>
      </c>
      <c r="K168">
        <v>0.11690000000000414</v>
      </c>
    </row>
    <row r="169" spans="1:11" x14ac:dyDescent="0.5">
      <c r="A169" t="s">
        <v>170</v>
      </c>
      <c r="B169">
        <v>37.730713000000002</v>
      </c>
      <c r="C169">
        <v>8.900000000000334E-2</v>
      </c>
      <c r="E169" t="s">
        <v>170</v>
      </c>
      <c r="F169">
        <v>98.308440000000004</v>
      </c>
      <c r="G169">
        <v>0.12950000000000386</v>
      </c>
      <c r="I169" t="s">
        <v>170</v>
      </c>
      <c r="J169">
        <v>58.365901999999998</v>
      </c>
      <c r="K169">
        <v>0.12280000000000431</v>
      </c>
    </row>
    <row r="170" spans="1:11" x14ac:dyDescent="0.5">
      <c r="A170" t="s">
        <v>171</v>
      </c>
      <c r="B170">
        <v>46.328496000000001</v>
      </c>
      <c r="C170">
        <v>8.270000000000316E-2</v>
      </c>
      <c r="E170" t="s">
        <v>171</v>
      </c>
      <c r="F170">
        <v>43.056437000000003</v>
      </c>
      <c r="G170">
        <v>9.6300000000003549E-2</v>
      </c>
      <c r="I170" t="s">
        <v>171</v>
      </c>
      <c r="J170">
        <v>40.097639000000001</v>
      </c>
      <c r="K170">
        <v>0.11880000000000419</v>
      </c>
    </row>
    <row r="171" spans="1:11" x14ac:dyDescent="0.5">
      <c r="A171" t="s">
        <v>172</v>
      </c>
      <c r="B171">
        <v>67.489715000000004</v>
      </c>
      <c r="C171">
        <v>7.1000000000002825E-2</v>
      </c>
      <c r="E171" t="s">
        <v>172</v>
      </c>
      <c r="F171">
        <v>47.056395000000002</v>
      </c>
      <c r="G171">
        <v>0.11000000000000394</v>
      </c>
      <c r="I171" t="s">
        <v>172</v>
      </c>
      <c r="J171">
        <v>52.962673000000002</v>
      </c>
      <c r="K171">
        <v>0.10040000000000367</v>
      </c>
    </row>
    <row r="172" spans="1:11" x14ac:dyDescent="0.5">
      <c r="A172" t="s">
        <v>173</v>
      </c>
      <c r="B172">
        <v>27.863616</v>
      </c>
      <c r="C172">
        <v>9.4900000000003509E-2</v>
      </c>
      <c r="E172" t="s">
        <v>173</v>
      </c>
      <c r="F172">
        <v>44.943060000000003</v>
      </c>
      <c r="G172">
        <v>0.10210000000000372</v>
      </c>
      <c r="I172" t="s">
        <v>173</v>
      </c>
      <c r="J172">
        <v>31.346941999999999</v>
      </c>
      <c r="K172">
        <v>9.1000000000003398E-2</v>
      </c>
    </row>
    <row r="173" spans="1:11" x14ac:dyDescent="0.5">
      <c r="A173" t="s">
        <v>174</v>
      </c>
      <c r="B173">
        <v>36.041587999999997</v>
      </c>
      <c r="C173">
        <v>8.5800000000003249E-2</v>
      </c>
      <c r="E173" t="s">
        <v>174</v>
      </c>
      <c r="F173">
        <v>53.899169000000001</v>
      </c>
      <c r="G173">
        <v>0.11770000000000416</v>
      </c>
      <c r="I173" t="s">
        <v>174</v>
      </c>
      <c r="J173">
        <v>47.754998000000001</v>
      </c>
      <c r="K173">
        <v>0.1226000000000043</v>
      </c>
    </row>
    <row r="174" spans="1:11" x14ac:dyDescent="0.5">
      <c r="A174" t="s">
        <v>175</v>
      </c>
      <c r="B174">
        <v>37.434941000000002</v>
      </c>
      <c r="C174">
        <v>6.700000000000271E-2</v>
      </c>
      <c r="E174" t="s">
        <v>175</v>
      </c>
      <c r="F174">
        <v>95.890521000000007</v>
      </c>
      <c r="G174">
        <v>0.10220000000000372</v>
      </c>
      <c r="I174" t="s">
        <v>175</v>
      </c>
      <c r="J174">
        <v>44.809047</v>
      </c>
      <c r="K174">
        <v>7.5400000000002951E-2</v>
      </c>
    </row>
    <row r="175" spans="1:11" x14ac:dyDescent="0.5">
      <c r="A175" t="s">
        <v>176</v>
      </c>
      <c r="B175">
        <v>58.653197339999998</v>
      </c>
      <c r="C175">
        <v>9.8100000000002172E-2</v>
      </c>
      <c r="E175" t="s">
        <v>176</v>
      </c>
      <c r="F175">
        <v>78.378943899999996</v>
      </c>
      <c r="G175">
        <v>0.1096000000000025</v>
      </c>
      <c r="I175" t="s">
        <v>176</v>
      </c>
      <c r="J175">
        <v>50.391783169999997</v>
      </c>
      <c r="K175">
        <v>0.1167000000000027</v>
      </c>
    </row>
    <row r="176" spans="1:11" x14ac:dyDescent="0.5">
      <c r="A176" t="s">
        <v>177</v>
      </c>
      <c r="B176">
        <v>45.338842110000002</v>
      </c>
      <c r="C176">
        <v>7.430000000000149E-2</v>
      </c>
      <c r="E176" t="s">
        <v>177</v>
      </c>
      <c r="F176">
        <v>70.092101029999995</v>
      </c>
      <c r="G176">
        <v>0.11050000000000253</v>
      </c>
      <c r="I176" t="s">
        <v>177</v>
      </c>
      <c r="J176">
        <v>55.577466880000003</v>
      </c>
      <c r="K176">
        <v>0.11240000000000258</v>
      </c>
    </row>
    <row r="177" spans="1:19" x14ac:dyDescent="0.5">
      <c r="A177" t="s">
        <v>178</v>
      </c>
      <c r="B177">
        <v>35.074154460000003</v>
      </c>
      <c r="C177">
        <v>0.10080000000000225</v>
      </c>
      <c r="E177" t="s">
        <v>178</v>
      </c>
      <c r="F177">
        <v>49.492953159999999</v>
      </c>
      <c r="G177">
        <v>9.8800000000002192E-2</v>
      </c>
      <c r="I177" t="s">
        <v>178</v>
      </c>
      <c r="J177">
        <v>37.578304430000003</v>
      </c>
      <c r="K177">
        <v>8.7300000000001862E-2</v>
      </c>
    </row>
    <row r="178" spans="1:19" x14ac:dyDescent="0.5">
      <c r="A178" t="s">
        <v>179</v>
      </c>
      <c r="B178">
        <v>42.231462380000004</v>
      </c>
      <c r="C178">
        <v>8.5200000000001802E-2</v>
      </c>
      <c r="E178" t="s">
        <v>179</v>
      </c>
      <c r="F178">
        <v>73.35726502</v>
      </c>
      <c r="G178">
        <v>0.12280000000000288</v>
      </c>
      <c r="I178" t="s">
        <v>179</v>
      </c>
      <c r="J178">
        <v>45.01351657</v>
      </c>
      <c r="K178">
        <v>0.10200000000000228</v>
      </c>
    </row>
    <row r="179" spans="1:19" x14ac:dyDescent="0.5">
      <c r="A179" t="s">
        <v>180</v>
      </c>
      <c r="B179">
        <v>52.435774000000002</v>
      </c>
      <c r="C179">
        <v>7.4600000000001498E-2</v>
      </c>
      <c r="E179" t="s">
        <v>180</v>
      </c>
      <c r="F179">
        <v>57.111508000000001</v>
      </c>
      <c r="G179">
        <v>0.13340000000000202</v>
      </c>
      <c r="I179" t="s">
        <v>180</v>
      </c>
      <c r="J179">
        <v>43.621816000000003</v>
      </c>
      <c r="K179">
        <v>0.12120000000000283</v>
      </c>
    </row>
    <row r="180" spans="1:19" x14ac:dyDescent="0.5">
      <c r="A180" t="s">
        <v>181</v>
      </c>
      <c r="B180">
        <v>49.675948839999997</v>
      </c>
      <c r="C180">
        <v>8.1600000000001699E-2</v>
      </c>
      <c r="E180" t="s">
        <v>181</v>
      </c>
      <c r="F180">
        <v>53.788380619999998</v>
      </c>
      <c r="G180">
        <v>9.7800000000002163E-2</v>
      </c>
      <c r="I180" t="s">
        <v>181</v>
      </c>
      <c r="J180">
        <v>49.118879440000001</v>
      </c>
      <c r="K180">
        <v>0.10490000000000237</v>
      </c>
    </row>
    <row r="181" spans="1:19" x14ac:dyDescent="0.5">
      <c r="A181" t="s">
        <v>182</v>
      </c>
      <c r="B181">
        <v>41.144531890000003</v>
      </c>
      <c r="C181">
        <v>8.3900000000003194E-2</v>
      </c>
      <c r="E181" t="s">
        <v>182</v>
      </c>
      <c r="F181">
        <v>52.54300516</v>
      </c>
      <c r="G181">
        <v>9.2600000000003443E-2</v>
      </c>
      <c r="I181" t="s">
        <v>182</v>
      </c>
      <c r="J181">
        <v>48.427502189999998</v>
      </c>
      <c r="K181">
        <v>0.10000000000000366</v>
      </c>
    </row>
    <row r="182" spans="1:19" x14ac:dyDescent="0.5">
      <c r="A182" t="s">
        <v>183</v>
      </c>
      <c r="B182">
        <v>49.789591999999999</v>
      </c>
      <c r="C182">
        <v>7.220000000000143E-2</v>
      </c>
      <c r="E182" t="s">
        <v>183</v>
      </c>
      <c r="F182">
        <v>52.76943</v>
      </c>
      <c r="G182">
        <v>0.29309999999998443</v>
      </c>
      <c r="I182" t="s">
        <v>183</v>
      </c>
      <c r="J182">
        <v>40.043835999999999</v>
      </c>
      <c r="K182">
        <v>0.11400000000000263</v>
      </c>
    </row>
    <row r="183" spans="1:19" x14ac:dyDescent="0.5">
      <c r="A183" t="s">
        <v>184</v>
      </c>
      <c r="B183">
        <v>40.779913999999998</v>
      </c>
      <c r="C183">
        <v>7.6000000000001539E-2</v>
      </c>
      <c r="E183" t="s">
        <v>184</v>
      </c>
      <c r="F183">
        <v>116.513921</v>
      </c>
      <c r="G183">
        <v>0.1167000000000027</v>
      </c>
      <c r="I183" t="s">
        <v>184</v>
      </c>
      <c r="J183">
        <v>47.331391000000004</v>
      </c>
      <c r="K183">
        <v>0.11430000000000264</v>
      </c>
    </row>
    <row r="184" spans="1:19" x14ac:dyDescent="0.5">
      <c r="A184" t="s">
        <v>185</v>
      </c>
      <c r="B184">
        <v>41.251159919999999</v>
      </c>
      <c r="C184">
        <v>9.5300000000002091E-2</v>
      </c>
      <c r="E184" t="s">
        <v>185</v>
      </c>
      <c r="F184">
        <v>50.709054369999997</v>
      </c>
      <c r="G184">
        <v>0.23529999999999079</v>
      </c>
      <c r="I184" t="s">
        <v>185</v>
      </c>
      <c r="J184">
        <v>57.786196590000003</v>
      </c>
      <c r="K184">
        <v>0.12050000000000281</v>
      </c>
    </row>
    <row r="185" spans="1:19" x14ac:dyDescent="0.5">
      <c r="A185" t="s">
        <v>186</v>
      </c>
      <c r="B185">
        <v>40.347641549999999</v>
      </c>
      <c r="C185">
        <v>8.1800000000001705E-2</v>
      </c>
      <c r="E185" t="s">
        <v>186</v>
      </c>
      <c r="F185">
        <v>52.077733979999998</v>
      </c>
      <c r="G185">
        <v>0.11410000000000263</v>
      </c>
      <c r="I185" t="s">
        <v>186</v>
      </c>
      <c r="J185">
        <v>44.03302188</v>
      </c>
      <c r="K185">
        <v>0.10090000000000225</v>
      </c>
      <c r="M185" s="11"/>
      <c r="N185" s="11"/>
      <c r="O185" s="11"/>
      <c r="Q185" s="11"/>
      <c r="R185" s="11"/>
      <c r="S185" s="11"/>
    </row>
    <row r="186" spans="1:19" x14ac:dyDescent="0.5">
      <c r="A186" t="s">
        <v>187</v>
      </c>
      <c r="B186">
        <v>41.165657660000001</v>
      </c>
      <c r="C186">
        <v>8.9800000000001934E-2</v>
      </c>
      <c r="E186" t="s">
        <v>187</v>
      </c>
      <c r="F186">
        <v>51.237937070000001</v>
      </c>
      <c r="G186">
        <v>0.10520000000000237</v>
      </c>
      <c r="I186" t="s">
        <v>187</v>
      </c>
      <c r="J186">
        <v>51.138744699999997</v>
      </c>
      <c r="K186">
        <v>0.10210000000000229</v>
      </c>
    </row>
    <row r="187" spans="1:19" x14ac:dyDescent="0.5">
      <c r="A187" t="s">
        <v>188</v>
      </c>
      <c r="B187">
        <v>38.987862890000002</v>
      </c>
      <c r="C187">
        <v>7.8300000000001604E-2</v>
      </c>
      <c r="E187" t="s">
        <v>188</v>
      </c>
      <c r="F187">
        <v>43.670112789999997</v>
      </c>
      <c r="G187">
        <v>0.10800000000000246</v>
      </c>
      <c r="I187" t="s">
        <v>188</v>
      </c>
      <c r="J187">
        <v>44.388213219999997</v>
      </c>
      <c r="K187">
        <v>0.11090000000000254</v>
      </c>
    </row>
    <row r="188" spans="1:19" x14ac:dyDescent="0.5">
      <c r="A188" t="s">
        <v>189</v>
      </c>
      <c r="B188">
        <v>58.584114720000002</v>
      </c>
      <c r="C188">
        <v>8.0400000000001665E-2</v>
      </c>
      <c r="E188" t="s">
        <v>189</v>
      </c>
      <c r="F188">
        <v>46.736684609999998</v>
      </c>
      <c r="G188">
        <v>0.10040000000000224</v>
      </c>
      <c r="I188" t="s">
        <v>189</v>
      </c>
      <c r="J188">
        <v>37.483624910000003</v>
      </c>
      <c r="K188">
        <v>9.1000000000001968E-2</v>
      </c>
    </row>
    <row r="189" spans="1:19" x14ac:dyDescent="0.5">
      <c r="A189" t="s">
        <v>190</v>
      </c>
      <c r="B189">
        <v>44.345224999999999</v>
      </c>
      <c r="C189">
        <v>7.0200000000001372E-2</v>
      </c>
      <c r="E189" t="s">
        <v>190</v>
      </c>
      <c r="F189">
        <v>64.796771000000007</v>
      </c>
      <c r="G189">
        <v>0.11850000000000276</v>
      </c>
      <c r="I189" t="s">
        <v>190</v>
      </c>
      <c r="J189">
        <v>57.946269999999998</v>
      </c>
      <c r="K189">
        <v>0.11150000000000256</v>
      </c>
    </row>
    <row r="190" spans="1:19" x14ac:dyDescent="0.5">
      <c r="A190" t="s">
        <v>191</v>
      </c>
      <c r="B190">
        <v>47.630496000000001</v>
      </c>
      <c r="C190">
        <v>6.5800000000001246E-2</v>
      </c>
      <c r="E190" t="s">
        <v>191</v>
      </c>
      <c r="F190">
        <v>55.451762000000002</v>
      </c>
      <c r="G190">
        <v>9.8700000000002189E-2</v>
      </c>
      <c r="I190" t="s">
        <v>191</v>
      </c>
      <c r="J190">
        <v>43.674900999999998</v>
      </c>
      <c r="K190">
        <v>0.10890000000000248</v>
      </c>
    </row>
    <row r="191" spans="1:19" x14ac:dyDescent="0.5">
      <c r="A191" t="s">
        <v>192</v>
      </c>
      <c r="B191">
        <v>88.901612999999998</v>
      </c>
      <c r="C191">
        <v>7.9100000000001627E-2</v>
      </c>
      <c r="E191" t="s">
        <v>192</v>
      </c>
      <c r="F191">
        <v>52.905420999999997</v>
      </c>
      <c r="G191">
        <v>0.11350000000000261</v>
      </c>
      <c r="I191" t="s">
        <v>192</v>
      </c>
      <c r="J191">
        <v>29.978959</v>
      </c>
      <c r="K191">
        <v>0.11540000000000267</v>
      </c>
    </row>
    <row r="192" spans="1:19" x14ac:dyDescent="0.5">
      <c r="A192" t="s">
        <v>193</v>
      </c>
      <c r="B192">
        <v>34.060487000000002</v>
      </c>
      <c r="C192">
        <v>0.1025000000000023</v>
      </c>
      <c r="E192" t="s">
        <v>193</v>
      </c>
      <c r="F192">
        <v>48.705312999999997</v>
      </c>
      <c r="G192">
        <v>0.11450000000000264</v>
      </c>
      <c r="I192" t="s">
        <v>193</v>
      </c>
      <c r="J192">
        <v>36.317684999999997</v>
      </c>
      <c r="K192">
        <v>8.9800000000001934E-2</v>
      </c>
    </row>
    <row r="193" spans="1:11" x14ac:dyDescent="0.5">
      <c r="A193" t="s">
        <v>194</v>
      </c>
      <c r="B193">
        <v>50.831794000000002</v>
      </c>
      <c r="C193">
        <v>6.5000000000001223E-2</v>
      </c>
      <c r="E193" t="s">
        <v>194</v>
      </c>
      <c r="F193">
        <v>87.625539000000003</v>
      </c>
      <c r="G193">
        <v>0.11910000000000277</v>
      </c>
      <c r="I193" t="s">
        <v>194</v>
      </c>
      <c r="J193">
        <v>51.591755999999997</v>
      </c>
      <c r="K193">
        <v>0.12180000000000285</v>
      </c>
    </row>
    <row r="194" spans="1:11" x14ac:dyDescent="0.5">
      <c r="A194" t="s">
        <v>195</v>
      </c>
      <c r="B194">
        <v>50.639747</v>
      </c>
      <c r="C194">
        <v>8.8700000000001902E-2</v>
      </c>
      <c r="E194" t="s">
        <v>195</v>
      </c>
      <c r="F194">
        <v>69.822787000000005</v>
      </c>
      <c r="G194">
        <v>0.11690000000000271</v>
      </c>
      <c r="I194" t="s">
        <v>195</v>
      </c>
      <c r="J194">
        <v>41.663269999999997</v>
      </c>
      <c r="K194">
        <v>0.11410000000000263</v>
      </c>
    </row>
    <row r="195" spans="1:11" x14ac:dyDescent="0.5">
      <c r="A195" t="s">
        <v>196</v>
      </c>
      <c r="B195">
        <v>41.919100999999998</v>
      </c>
      <c r="C195">
        <v>8.270000000000173E-2</v>
      </c>
      <c r="E195" t="s">
        <v>196</v>
      </c>
      <c r="F195">
        <v>66.592984000000001</v>
      </c>
      <c r="G195">
        <v>0.1129000000000026</v>
      </c>
      <c r="I195" t="s">
        <v>196</v>
      </c>
      <c r="J195">
        <v>47.801760999999999</v>
      </c>
      <c r="K195">
        <v>0.10860000000000247</v>
      </c>
    </row>
    <row r="196" spans="1:11" x14ac:dyDescent="0.5">
      <c r="A196" t="s">
        <v>197</v>
      </c>
      <c r="B196">
        <v>39.136063999999998</v>
      </c>
      <c r="C196">
        <v>7.4600000000001498E-2</v>
      </c>
      <c r="E196" t="s">
        <v>197</v>
      </c>
      <c r="F196">
        <v>54.351354000000001</v>
      </c>
      <c r="G196">
        <v>8.7300000000001862E-2</v>
      </c>
      <c r="I196" t="s">
        <v>197</v>
      </c>
      <c r="J196">
        <v>44.906140999999998</v>
      </c>
      <c r="K196">
        <v>8.4500000000001782E-2</v>
      </c>
    </row>
    <row r="197" spans="1:11" x14ac:dyDescent="0.5">
      <c r="A197" t="s">
        <v>198</v>
      </c>
      <c r="B197">
        <v>46.103893999999997</v>
      </c>
      <c r="C197">
        <v>7.5800000000001533E-2</v>
      </c>
      <c r="E197" t="s">
        <v>198</v>
      </c>
      <c r="F197">
        <v>49.587896000000001</v>
      </c>
      <c r="G197">
        <v>0.11940000000000278</v>
      </c>
      <c r="I197" t="s">
        <v>198</v>
      </c>
      <c r="J197">
        <v>48.040346999999997</v>
      </c>
      <c r="K197">
        <v>0.11110000000000254</v>
      </c>
    </row>
    <row r="198" spans="1:11" x14ac:dyDescent="0.5">
      <c r="A198" t="s">
        <v>199</v>
      </c>
      <c r="B198">
        <v>49.977435</v>
      </c>
      <c r="C198">
        <v>8.5800000000001819E-2</v>
      </c>
      <c r="E198" t="s">
        <v>199</v>
      </c>
      <c r="F198">
        <v>81.440194000000005</v>
      </c>
      <c r="G198">
        <v>0.11520000000000266</v>
      </c>
      <c r="I198" t="s">
        <v>199</v>
      </c>
      <c r="J198">
        <v>57.775694999999999</v>
      </c>
      <c r="K198">
        <v>9.6800000000002134E-2</v>
      </c>
    </row>
    <row r="199" spans="1:11" x14ac:dyDescent="0.5">
      <c r="A199" t="s">
        <v>200</v>
      </c>
      <c r="B199">
        <v>49.094318999999999</v>
      </c>
      <c r="C199">
        <v>8.1600000000001699E-2</v>
      </c>
      <c r="E199" t="s">
        <v>200</v>
      </c>
      <c r="F199">
        <v>76.588272000000003</v>
      </c>
      <c r="G199">
        <v>0.12100000000000283</v>
      </c>
      <c r="I199" t="s">
        <v>200</v>
      </c>
      <c r="J199">
        <v>50.083519000000003</v>
      </c>
      <c r="K199">
        <v>0.11200000000000257</v>
      </c>
    </row>
    <row r="200" spans="1:11" x14ac:dyDescent="0.5">
      <c r="A200" t="s">
        <v>201</v>
      </c>
      <c r="B200">
        <v>40.784438000000002</v>
      </c>
      <c r="C200">
        <v>7.7400000000001579E-2</v>
      </c>
      <c r="E200" t="s">
        <v>201</v>
      </c>
      <c r="F200">
        <v>68.892296000000002</v>
      </c>
      <c r="G200">
        <v>0.1199000000000028</v>
      </c>
      <c r="I200" t="s">
        <v>201</v>
      </c>
      <c r="J200">
        <v>45.202908000000001</v>
      </c>
      <c r="K200">
        <v>0.10850000000000247</v>
      </c>
    </row>
    <row r="201" spans="1:11" x14ac:dyDescent="0.5">
      <c r="A201" t="s">
        <v>202</v>
      </c>
      <c r="B201">
        <v>54.823523999999999</v>
      </c>
      <c r="C201">
        <v>9.1900000000001994E-2</v>
      </c>
      <c r="E201" t="s">
        <v>202</v>
      </c>
      <c r="F201">
        <v>59.191648999999998</v>
      </c>
      <c r="G201">
        <v>0.10130000000000226</v>
      </c>
      <c r="I201" t="s">
        <v>202</v>
      </c>
      <c r="J201">
        <v>42.945157000000002</v>
      </c>
      <c r="K201">
        <v>9.8600000000002186E-2</v>
      </c>
    </row>
    <row r="202" spans="1:11" x14ac:dyDescent="0.5">
      <c r="A202" t="s">
        <v>203</v>
      </c>
      <c r="B202">
        <v>40.148142</v>
      </c>
      <c r="C202">
        <v>8.270000000000173E-2</v>
      </c>
      <c r="E202" t="s">
        <v>203</v>
      </c>
      <c r="F202">
        <v>127.630656</v>
      </c>
      <c r="G202">
        <v>0.10920000000000249</v>
      </c>
      <c r="I202" t="s">
        <v>203</v>
      </c>
      <c r="J202">
        <v>50.296863000000002</v>
      </c>
      <c r="K202">
        <v>0.11900000000000277</v>
      </c>
    </row>
    <row r="203" spans="1:11" x14ac:dyDescent="0.5">
      <c r="A203" t="s">
        <v>204</v>
      </c>
      <c r="B203">
        <v>40.297176999999998</v>
      </c>
      <c r="C203">
        <v>7.6000000000001539E-2</v>
      </c>
      <c r="E203" t="s">
        <v>204</v>
      </c>
      <c r="F203">
        <v>46.301037000000001</v>
      </c>
      <c r="G203">
        <v>0.10450000000000235</v>
      </c>
      <c r="I203" t="s">
        <v>204</v>
      </c>
      <c r="J203">
        <v>36.321395000000003</v>
      </c>
      <c r="K203">
        <v>0.11550000000000267</v>
      </c>
    </row>
    <row r="204" spans="1:11" x14ac:dyDescent="0.5">
      <c r="A204" t="s">
        <v>205</v>
      </c>
      <c r="B204">
        <v>30.615981999999999</v>
      </c>
      <c r="C204">
        <v>0.10840000000000247</v>
      </c>
      <c r="E204" t="s">
        <v>205</v>
      </c>
      <c r="F204">
        <v>43.963287999999999</v>
      </c>
      <c r="G204">
        <v>9.8000000000002169E-2</v>
      </c>
      <c r="I204" t="s">
        <v>205</v>
      </c>
      <c r="J204">
        <v>34.816833000000003</v>
      </c>
      <c r="K204">
        <v>0.10760000000000244</v>
      </c>
    </row>
    <row r="205" spans="1:11" x14ac:dyDescent="0.5">
      <c r="A205" t="s">
        <v>206</v>
      </c>
      <c r="B205">
        <v>48.194704999999999</v>
      </c>
      <c r="C205">
        <v>0.12120000000000283</v>
      </c>
      <c r="E205" t="s">
        <v>206</v>
      </c>
      <c r="F205">
        <v>91.993270999999993</v>
      </c>
      <c r="G205">
        <v>0.11480000000000265</v>
      </c>
      <c r="I205" t="s">
        <v>206</v>
      </c>
      <c r="J205">
        <v>42.261800000000001</v>
      </c>
      <c r="K205">
        <v>0.11710000000000272</v>
      </c>
    </row>
    <row r="206" spans="1:11" x14ac:dyDescent="0.5">
      <c r="A206" t="s">
        <v>207</v>
      </c>
      <c r="B206">
        <v>37.322429999999997</v>
      </c>
      <c r="C206">
        <v>9.1900000000001994E-2</v>
      </c>
      <c r="E206" t="s">
        <v>207</v>
      </c>
      <c r="F206">
        <v>46.915629000000003</v>
      </c>
      <c r="G206">
        <v>8.8700000000001902E-2</v>
      </c>
      <c r="I206" t="s">
        <v>207</v>
      </c>
      <c r="J206">
        <v>45.797680999999997</v>
      </c>
      <c r="K206">
        <v>8.9800000000001934E-2</v>
      </c>
    </row>
    <row r="207" spans="1:11" x14ac:dyDescent="0.5">
      <c r="A207" t="s">
        <v>208</v>
      </c>
      <c r="B207">
        <v>40.496174000000003</v>
      </c>
      <c r="C207">
        <v>8.6500000000001839E-2</v>
      </c>
      <c r="E207" t="s">
        <v>208</v>
      </c>
      <c r="F207">
        <v>42.426571000000003</v>
      </c>
      <c r="G207">
        <v>9.7300000000002149E-2</v>
      </c>
      <c r="I207" t="s">
        <v>208</v>
      </c>
      <c r="J207">
        <v>37.817954</v>
      </c>
      <c r="K207">
        <v>0.10050000000000224</v>
      </c>
    </row>
    <row r="208" spans="1:11" x14ac:dyDescent="0.5">
      <c r="A208" t="s">
        <v>209</v>
      </c>
      <c r="B208">
        <v>38.256264000000002</v>
      </c>
      <c r="C208">
        <v>6.8400000000001321E-2</v>
      </c>
      <c r="E208" t="s">
        <v>209</v>
      </c>
      <c r="F208">
        <v>114.422155</v>
      </c>
      <c r="G208">
        <v>0.10980000000000251</v>
      </c>
      <c r="I208" t="s">
        <v>209</v>
      </c>
      <c r="J208">
        <v>61.830858999999997</v>
      </c>
      <c r="K208">
        <v>0.1165000000000027</v>
      </c>
    </row>
    <row r="209" spans="1:11" x14ac:dyDescent="0.5">
      <c r="A209" t="s">
        <v>210</v>
      </c>
      <c r="B209">
        <v>52.422179999999997</v>
      </c>
      <c r="C209">
        <v>7.0900000000002822E-2</v>
      </c>
      <c r="E209" t="s">
        <v>210</v>
      </c>
      <c r="F209">
        <v>74.689871999999994</v>
      </c>
      <c r="G209">
        <v>0.12290000000000431</v>
      </c>
      <c r="I209" t="s">
        <v>210</v>
      </c>
      <c r="J209">
        <v>39.849916</v>
      </c>
      <c r="K209">
        <v>0.12380000000000434</v>
      </c>
    </row>
    <row r="210" spans="1:11" x14ac:dyDescent="0.5">
      <c r="A210" t="s">
        <v>211</v>
      </c>
      <c r="B210">
        <v>41.262847999999998</v>
      </c>
      <c r="C210">
        <v>8.1100000000003114E-2</v>
      </c>
      <c r="E210" t="s">
        <v>211</v>
      </c>
      <c r="F210">
        <v>50.623035999999999</v>
      </c>
      <c r="G210">
        <v>0.10410000000000377</v>
      </c>
      <c r="I210" t="s">
        <v>211</v>
      </c>
      <c r="J210">
        <v>36.957689999999999</v>
      </c>
      <c r="K210">
        <v>0.10210000000000372</v>
      </c>
    </row>
    <row r="211" spans="1:11" x14ac:dyDescent="0.5">
      <c r="A211" t="s">
        <v>212</v>
      </c>
      <c r="B211">
        <v>48.740330999999998</v>
      </c>
      <c r="C211">
        <v>7.6500000000002982E-2</v>
      </c>
      <c r="E211" t="s">
        <v>212</v>
      </c>
      <c r="F211">
        <v>55.650379999999998</v>
      </c>
      <c r="G211">
        <v>0.112000000000004</v>
      </c>
      <c r="I211" t="s">
        <v>212</v>
      </c>
      <c r="J211">
        <v>48.255522999999997</v>
      </c>
      <c r="K211">
        <v>0.1225000000000043</v>
      </c>
    </row>
    <row r="212" spans="1:11" x14ac:dyDescent="0.5">
      <c r="A212" t="s">
        <v>213</v>
      </c>
      <c r="B212">
        <v>36.573723999999999</v>
      </c>
      <c r="C212">
        <v>7.9100000000003057E-2</v>
      </c>
      <c r="E212" t="s">
        <v>213</v>
      </c>
      <c r="F212">
        <v>63.432462000000001</v>
      </c>
      <c r="G212">
        <v>0.11980000000000422</v>
      </c>
      <c r="I212" t="s">
        <v>213</v>
      </c>
      <c r="J212">
        <v>39.364263000000001</v>
      </c>
      <c r="K212">
        <v>0.112000000000004</v>
      </c>
    </row>
    <row r="213" spans="1:11" x14ac:dyDescent="0.5">
      <c r="A213" t="s">
        <v>214</v>
      </c>
      <c r="B213">
        <v>65.547708260833062</v>
      </c>
      <c r="C213">
        <v>7.0900000000002822E-2</v>
      </c>
      <c r="E213" t="s">
        <v>214</v>
      </c>
      <c r="F213">
        <v>52.712895861849404</v>
      </c>
      <c r="G213">
        <v>0.31749999999998318</v>
      </c>
      <c r="I213" t="s">
        <v>214</v>
      </c>
      <c r="J213">
        <v>48.609071735029332</v>
      </c>
      <c r="K213">
        <v>0.10570000000000382</v>
      </c>
    </row>
    <row r="214" spans="1:11" x14ac:dyDescent="0.5">
      <c r="A214" t="s">
        <v>215</v>
      </c>
      <c r="B214">
        <v>48.491247885149917</v>
      </c>
      <c r="C214">
        <v>6.9300000000002776E-2</v>
      </c>
      <c r="E214" t="s">
        <v>215</v>
      </c>
      <c r="F214">
        <v>59.168833871287148</v>
      </c>
      <c r="G214">
        <v>0.11000000000000394</v>
      </c>
      <c r="I214" t="s">
        <v>215</v>
      </c>
      <c r="J214">
        <v>51.452316130274951</v>
      </c>
      <c r="K214">
        <v>9.8300000000003607E-2</v>
      </c>
    </row>
    <row r="215" spans="1:11" x14ac:dyDescent="0.5">
      <c r="A215" t="s">
        <v>216</v>
      </c>
      <c r="B215">
        <v>51.984149458016134</v>
      </c>
      <c r="C215">
        <v>7.4600000000002928E-2</v>
      </c>
      <c r="E215" t="s">
        <v>216</v>
      </c>
      <c r="F215">
        <v>72.091847526428694</v>
      </c>
      <c r="G215">
        <v>0.11790000000000417</v>
      </c>
      <c r="I215" t="s">
        <v>216</v>
      </c>
      <c r="J215">
        <v>37.520352768237018</v>
      </c>
      <c r="K215">
        <v>0.10220000000000372</v>
      </c>
    </row>
    <row r="216" spans="1:11" x14ac:dyDescent="0.5">
      <c r="A216" t="s">
        <v>217</v>
      </c>
      <c r="B216">
        <v>40.068157255682706</v>
      </c>
      <c r="C216">
        <v>8.2600000000003157E-2</v>
      </c>
      <c r="E216" t="s">
        <v>217</v>
      </c>
      <c r="F216">
        <v>50.238817509481024</v>
      </c>
      <c r="G216">
        <v>0.11720000000000415</v>
      </c>
      <c r="I216" t="s">
        <v>217</v>
      </c>
      <c r="J216">
        <v>42.915307580540585</v>
      </c>
      <c r="K216">
        <v>0.11230000000000401</v>
      </c>
    </row>
    <row r="217" spans="1:11" x14ac:dyDescent="0.5">
      <c r="A217" t="s">
        <v>218</v>
      </c>
      <c r="B217">
        <v>43.95069158414627</v>
      </c>
      <c r="C217">
        <v>8.1600000000003128E-2</v>
      </c>
      <c r="E217" t="s">
        <v>218</v>
      </c>
      <c r="F217">
        <v>53.13600117545306</v>
      </c>
      <c r="G217">
        <v>0.20959999999999504</v>
      </c>
      <c r="I217" t="s">
        <v>218</v>
      </c>
      <c r="J217">
        <v>41.625136876424122</v>
      </c>
      <c r="K217">
        <v>0.10720000000000386</v>
      </c>
    </row>
    <row r="218" spans="1:11" x14ac:dyDescent="0.5">
      <c r="A218" t="s">
        <v>219</v>
      </c>
      <c r="B218">
        <v>36.417607860130197</v>
      </c>
      <c r="C218">
        <v>9.9500000000003641E-2</v>
      </c>
      <c r="E218" t="s">
        <v>219</v>
      </c>
      <c r="F218">
        <v>55.219745647172672</v>
      </c>
      <c r="G218">
        <v>0.1346000000000033</v>
      </c>
      <c r="I218" t="s">
        <v>219</v>
      </c>
      <c r="J218">
        <v>49.720663114510529</v>
      </c>
      <c r="K218">
        <v>0.1155000000000041</v>
      </c>
    </row>
    <row r="219" spans="1:11" x14ac:dyDescent="0.5">
      <c r="A219" t="s">
        <v>220</v>
      </c>
      <c r="B219">
        <v>43.05805263421302</v>
      </c>
      <c r="C219">
        <v>8.1100000000003114E-2</v>
      </c>
      <c r="E219" t="s">
        <v>220</v>
      </c>
      <c r="F219">
        <v>62.239822952556985</v>
      </c>
      <c r="G219">
        <v>0.11320000000000403</v>
      </c>
      <c r="I219" t="s">
        <v>220</v>
      </c>
      <c r="J219">
        <v>46.306562283212095</v>
      </c>
      <c r="K219">
        <v>0.10810000000000389</v>
      </c>
    </row>
    <row r="220" spans="1:11" x14ac:dyDescent="0.5">
      <c r="A220" t="s">
        <v>221</v>
      </c>
      <c r="B220">
        <v>33.028242967326946</v>
      </c>
      <c r="C220">
        <v>9.4900000000003509E-2</v>
      </c>
      <c r="E220" t="s">
        <v>221</v>
      </c>
      <c r="F220">
        <v>47.908438190888084</v>
      </c>
      <c r="G220">
        <v>0.10920000000000392</v>
      </c>
      <c r="I220" t="s">
        <v>221</v>
      </c>
      <c r="J220">
        <v>38.219134320613378</v>
      </c>
      <c r="K220">
        <v>0.10810000000000389</v>
      </c>
    </row>
    <row r="221" spans="1:11" x14ac:dyDescent="0.5">
      <c r="A221" t="s">
        <v>222</v>
      </c>
      <c r="B221">
        <v>35.116997132275714</v>
      </c>
      <c r="C221">
        <v>9.4600000000003501E-2</v>
      </c>
      <c r="E221" t="s">
        <v>222</v>
      </c>
      <c r="F221">
        <v>68.511718039336003</v>
      </c>
      <c r="G221">
        <v>0.10210000000000372</v>
      </c>
      <c r="I221" t="s">
        <v>222</v>
      </c>
      <c r="J221">
        <v>49.698304875143052</v>
      </c>
      <c r="K221">
        <v>9.5300000000003521E-2</v>
      </c>
    </row>
    <row r="222" spans="1:11" x14ac:dyDescent="0.5">
      <c r="A222" t="s">
        <v>223</v>
      </c>
      <c r="B222">
        <v>49.620000555489248</v>
      </c>
      <c r="C222">
        <v>5.7400000000002442E-2</v>
      </c>
      <c r="E222" t="s">
        <v>223</v>
      </c>
      <c r="F222">
        <v>143.54469589872198</v>
      </c>
      <c r="G222">
        <v>9.3600000000003472E-2</v>
      </c>
      <c r="I222" t="s">
        <v>223</v>
      </c>
      <c r="J222">
        <v>53.42966005684972</v>
      </c>
      <c r="K222">
        <v>9.3800000000003478E-2</v>
      </c>
    </row>
    <row r="223" spans="1:11" x14ac:dyDescent="0.5">
      <c r="A223" t="s">
        <v>224</v>
      </c>
      <c r="B223">
        <v>48.944991039017431</v>
      </c>
      <c r="C223">
        <v>7.2400000000002865E-2</v>
      </c>
      <c r="E223" t="s">
        <v>224</v>
      </c>
      <c r="F223">
        <v>58.254092033447591</v>
      </c>
      <c r="G223">
        <v>8.900000000000334E-2</v>
      </c>
      <c r="I223" t="s">
        <v>224</v>
      </c>
      <c r="J223">
        <v>46.468756466815336</v>
      </c>
      <c r="K223">
        <v>9.980000000000365E-2</v>
      </c>
    </row>
    <row r="224" spans="1:11" x14ac:dyDescent="0.5">
      <c r="A224" t="s">
        <v>225</v>
      </c>
      <c r="B224">
        <v>48.337468888275339</v>
      </c>
      <c r="C224">
        <v>6.980000000000279E-2</v>
      </c>
      <c r="E224" t="s">
        <v>225</v>
      </c>
      <c r="F224">
        <v>89.499579026544666</v>
      </c>
      <c r="G224">
        <v>9.7200000000003575E-2</v>
      </c>
      <c r="I224" t="s">
        <v>225</v>
      </c>
      <c r="J224">
        <v>52.02451412092045</v>
      </c>
      <c r="K224">
        <v>8.3600000000003186E-2</v>
      </c>
    </row>
    <row r="225" spans="1:11" x14ac:dyDescent="0.5">
      <c r="A225" t="s">
        <v>226</v>
      </c>
      <c r="B225">
        <v>37.685122427078852</v>
      </c>
      <c r="C225">
        <v>7.8900000000003051E-2</v>
      </c>
      <c r="E225" t="s">
        <v>226</v>
      </c>
      <c r="F225">
        <v>93.668496010164461</v>
      </c>
      <c r="G225">
        <v>0.10940000000000392</v>
      </c>
      <c r="I225" t="s">
        <v>226</v>
      </c>
      <c r="J225">
        <v>48.229111208122106</v>
      </c>
      <c r="K225">
        <v>0.11100000000000397</v>
      </c>
    </row>
    <row r="226" spans="1:11" x14ac:dyDescent="0.5">
      <c r="A226" t="s">
        <v>227</v>
      </c>
      <c r="B226">
        <v>44.384856852976348</v>
      </c>
      <c r="C226">
        <v>6.6200000000002687E-2</v>
      </c>
      <c r="E226" t="s">
        <v>227</v>
      </c>
      <c r="F226">
        <v>75.701803093879306</v>
      </c>
      <c r="G226">
        <v>0.112200000000004</v>
      </c>
      <c r="I226" t="s">
        <v>227</v>
      </c>
      <c r="J226">
        <v>51.732989867070494</v>
      </c>
      <c r="K226">
        <v>0.10010000000000366</v>
      </c>
    </row>
    <row r="227" spans="1:11" x14ac:dyDescent="0.5">
      <c r="A227" t="s">
        <v>228</v>
      </c>
      <c r="B227">
        <v>51.191052964357908</v>
      </c>
      <c r="C227">
        <v>6.0100000000002519E-2</v>
      </c>
      <c r="E227" t="s">
        <v>228</v>
      </c>
      <c r="F227">
        <v>52.43021002317289</v>
      </c>
      <c r="G227">
        <v>9.1600000000003415E-2</v>
      </c>
      <c r="I227" t="s">
        <v>228</v>
      </c>
      <c r="J227">
        <v>41.343339122292726</v>
      </c>
      <c r="K227">
        <v>9.2200000000003432E-2</v>
      </c>
    </row>
    <row r="228" spans="1:11" x14ac:dyDescent="0.5">
      <c r="A228" t="s">
        <v>229</v>
      </c>
      <c r="B228">
        <v>42.401409420144333</v>
      </c>
      <c r="C228">
        <v>8.5700000000003246E-2</v>
      </c>
      <c r="E228" t="s">
        <v>229</v>
      </c>
      <c r="F228">
        <v>63.166657251300002</v>
      </c>
      <c r="G228">
        <v>0.13600000000000315</v>
      </c>
      <c r="I228" t="s">
        <v>229</v>
      </c>
      <c r="J228">
        <v>41.60196123342093</v>
      </c>
      <c r="K228">
        <v>0.11570000000000411</v>
      </c>
    </row>
    <row r="229" spans="1:11" x14ac:dyDescent="0.5">
      <c r="A229" t="s">
        <v>230</v>
      </c>
      <c r="B229">
        <v>61.362726878568864</v>
      </c>
      <c r="C229">
        <v>4.7499999999656595E-2</v>
      </c>
      <c r="E229" t="s">
        <v>230</v>
      </c>
      <c r="F229">
        <v>62.483982148311888</v>
      </c>
      <c r="G229">
        <v>0.10109999999953168</v>
      </c>
      <c r="I229" t="s">
        <v>230</v>
      </c>
      <c r="J229">
        <v>39.253927253093728</v>
      </c>
      <c r="K229">
        <v>9.7799999999539367E-2</v>
      </c>
    </row>
    <row r="230" spans="1:11" x14ac:dyDescent="0.5">
      <c r="A230" t="s">
        <v>231</v>
      </c>
      <c r="B230">
        <v>43.270453570079894</v>
      </c>
      <c r="C230">
        <v>8.2099999999575957E-2</v>
      </c>
      <c r="E230" t="s">
        <v>231</v>
      </c>
      <c r="F230">
        <v>45.701308530815005</v>
      </c>
      <c r="G230">
        <v>0.11869999999949066</v>
      </c>
      <c r="I230" t="s">
        <v>231</v>
      </c>
      <c r="J230">
        <v>43.796191085903246</v>
      </c>
      <c r="K230">
        <v>0.10969999999951163</v>
      </c>
    </row>
    <row r="231" spans="1:11" x14ac:dyDescent="0.5">
      <c r="A231" t="s">
        <v>232</v>
      </c>
      <c r="B231">
        <v>56.887003709616359</v>
      </c>
      <c r="C231">
        <v>6.5599999999614411E-2</v>
      </c>
      <c r="E231" t="s">
        <v>232</v>
      </c>
      <c r="F231">
        <v>64.62875282700206</v>
      </c>
      <c r="G231">
        <v>0.10819999999951513</v>
      </c>
      <c r="I231" t="s">
        <v>232</v>
      </c>
      <c r="J231">
        <v>42.219233337760102</v>
      </c>
      <c r="K231">
        <v>9.9699999999534938E-2</v>
      </c>
    </row>
    <row r="232" spans="1:11" x14ac:dyDescent="0.5">
      <c r="A232" t="s">
        <v>233</v>
      </c>
      <c r="B232">
        <v>36.989939961033102</v>
      </c>
      <c r="C232">
        <v>7.1799999999599962E-2</v>
      </c>
      <c r="E232" t="s">
        <v>233</v>
      </c>
      <c r="F232">
        <v>54.883726607819874</v>
      </c>
      <c r="G232">
        <v>0.12389999999947854</v>
      </c>
      <c r="I232" t="s">
        <v>233</v>
      </c>
      <c r="J232">
        <v>35.614543371983686</v>
      </c>
      <c r="K232">
        <v>0.12759999999946992</v>
      </c>
    </row>
    <row r="233" spans="1:11" x14ac:dyDescent="0.5">
      <c r="A233" t="s">
        <v>234</v>
      </c>
      <c r="B233">
        <v>69.985017520902758</v>
      </c>
      <c r="C233">
        <v>8.2099999999575957E-2</v>
      </c>
      <c r="E233" t="s">
        <v>234</v>
      </c>
      <c r="F233">
        <v>50.848211549819631</v>
      </c>
      <c r="G233">
        <v>0.10309999999952701</v>
      </c>
      <c r="I233" t="s">
        <v>234</v>
      </c>
      <c r="J233">
        <v>49.49418421375934</v>
      </c>
      <c r="K233">
        <v>0.10449999999952375</v>
      </c>
    </row>
    <row r="234" spans="1:11" x14ac:dyDescent="0.5">
      <c r="A234" t="s">
        <v>235</v>
      </c>
      <c r="B234">
        <v>45.732129880176444</v>
      </c>
      <c r="C234">
        <v>8.2599999999574791E-2</v>
      </c>
      <c r="E234" t="s">
        <v>235</v>
      </c>
      <c r="F234">
        <v>40.933778704608542</v>
      </c>
      <c r="G234">
        <v>9.3299999999549854E-2</v>
      </c>
      <c r="I234" t="s">
        <v>235</v>
      </c>
      <c r="J234">
        <v>38.464209867831926</v>
      </c>
      <c r="K234">
        <v>0.10519999999952212</v>
      </c>
    </row>
    <row r="235" spans="1:11" x14ac:dyDescent="0.5">
      <c r="A235" t="s">
        <v>236</v>
      </c>
      <c r="B235">
        <v>35.77449758470862</v>
      </c>
      <c r="C235">
        <v>7.5799999999590639E-2</v>
      </c>
      <c r="E235" t="s">
        <v>236</v>
      </c>
      <c r="F235">
        <v>38.2408028571881</v>
      </c>
      <c r="G235">
        <v>0.13169999999946036</v>
      </c>
      <c r="I235" t="s">
        <v>236</v>
      </c>
      <c r="J235">
        <v>36.615106536798741</v>
      </c>
      <c r="K235">
        <v>0.10629999999951956</v>
      </c>
    </row>
    <row r="236" spans="1:11" x14ac:dyDescent="0.5">
      <c r="A236" t="s">
        <v>237</v>
      </c>
      <c r="B236">
        <v>57.211432734584179</v>
      </c>
      <c r="C236">
        <v>9.0799999999555681E-2</v>
      </c>
      <c r="E236" t="s">
        <v>237</v>
      </c>
      <c r="F236">
        <v>53.709992550685968</v>
      </c>
      <c r="G236">
        <v>0.11019999999951047</v>
      </c>
      <c r="I236" t="s">
        <v>237</v>
      </c>
      <c r="J236">
        <v>48.241899284181052</v>
      </c>
      <c r="K236">
        <v>0.11259999999950487</v>
      </c>
    </row>
    <row r="237" spans="1:11" x14ac:dyDescent="0.5">
      <c r="A237" t="s">
        <v>238</v>
      </c>
      <c r="B237">
        <v>43.746587693238801</v>
      </c>
      <c r="C237">
        <v>7.6199999999589707E-2</v>
      </c>
      <c r="E237" t="s">
        <v>238</v>
      </c>
      <c r="F237">
        <v>45.289297581886245</v>
      </c>
      <c r="G237">
        <v>0.10739999999951699</v>
      </c>
      <c r="I237" t="s">
        <v>238</v>
      </c>
      <c r="J237">
        <v>37.173147482704756</v>
      </c>
      <c r="K237">
        <v>0.12239999999948203</v>
      </c>
    </row>
    <row r="238" spans="1:11" x14ac:dyDescent="0.5">
      <c r="A238" t="s">
        <v>239</v>
      </c>
      <c r="B238">
        <v>47.67255676203925</v>
      </c>
      <c r="C238">
        <v>6.4499999999616975E-2</v>
      </c>
      <c r="E238" t="s">
        <v>239</v>
      </c>
      <c r="F238">
        <v>66.845169324202985</v>
      </c>
      <c r="G238">
        <v>0.11869999999949066</v>
      </c>
      <c r="I238" t="s">
        <v>239</v>
      </c>
      <c r="J238">
        <v>44.412293715222489</v>
      </c>
      <c r="K238">
        <v>9.6099999999543328E-2</v>
      </c>
    </row>
    <row r="239" spans="1:11" x14ac:dyDescent="0.5">
      <c r="A239" t="s">
        <v>240</v>
      </c>
      <c r="B239">
        <v>41.180229022778299</v>
      </c>
      <c r="C239">
        <v>8.8399999999561274E-2</v>
      </c>
      <c r="E239" t="s">
        <v>240</v>
      </c>
      <c r="F239">
        <v>48.38785238680498</v>
      </c>
      <c r="G239">
        <v>9.4999999999545892E-2</v>
      </c>
      <c r="I239" t="s">
        <v>240</v>
      </c>
      <c r="J239">
        <v>48.307182173332102</v>
      </c>
      <c r="K239">
        <v>0.11139999999950767</v>
      </c>
    </row>
    <row r="240" spans="1:11" x14ac:dyDescent="0.5">
      <c r="A240" t="s">
        <v>241</v>
      </c>
      <c r="B240">
        <v>41.261059589711188</v>
      </c>
      <c r="C240">
        <v>6.0699999999625831E-2</v>
      </c>
      <c r="E240" t="s">
        <v>241</v>
      </c>
      <c r="F240">
        <v>74.354774069626529</v>
      </c>
      <c r="G240">
        <v>0.10089999999953214</v>
      </c>
      <c r="I240" t="s">
        <v>241</v>
      </c>
      <c r="J240">
        <v>49.886476008691346</v>
      </c>
      <c r="K240">
        <v>9.8799999999537036E-2</v>
      </c>
    </row>
    <row r="241" spans="1:11" x14ac:dyDescent="0.5">
      <c r="A241" t="s">
        <v>242</v>
      </c>
      <c r="B241">
        <v>43.656037681527017</v>
      </c>
      <c r="C241">
        <v>7.6299999999589474E-2</v>
      </c>
      <c r="E241" t="s">
        <v>242</v>
      </c>
      <c r="F241">
        <v>59.714678925948633</v>
      </c>
      <c r="G241">
        <v>0.11189999999950651</v>
      </c>
      <c r="I241" t="s">
        <v>242</v>
      </c>
      <c r="J241">
        <v>36.088374455320931</v>
      </c>
      <c r="K241">
        <v>0.11079999999950907</v>
      </c>
    </row>
    <row r="242" spans="1:11" x14ac:dyDescent="0.5">
      <c r="A242" t="s">
        <v>243</v>
      </c>
      <c r="B242">
        <v>49.907303866967602</v>
      </c>
      <c r="C242">
        <v>5.2499999999644942E-2</v>
      </c>
      <c r="E242" t="s">
        <v>243</v>
      </c>
      <c r="F242">
        <v>52.53942903822027</v>
      </c>
      <c r="G242">
        <v>0.11929999999948926</v>
      </c>
      <c r="I242" t="s">
        <v>243</v>
      </c>
      <c r="J242">
        <v>44.131030489046942</v>
      </c>
      <c r="K242">
        <v>0.1112999999995079</v>
      </c>
    </row>
    <row r="243" spans="1:11" x14ac:dyDescent="0.5">
      <c r="A243" t="s">
        <v>244</v>
      </c>
      <c r="B243">
        <v>33.841986525260388</v>
      </c>
      <c r="C243">
        <v>8.7499999999563371E-2</v>
      </c>
      <c r="E243" t="s">
        <v>244</v>
      </c>
      <c r="F243">
        <v>38.781849315481885</v>
      </c>
      <c r="G243">
        <v>8.55999999995678E-2</v>
      </c>
      <c r="I243" t="s">
        <v>244</v>
      </c>
      <c r="J243">
        <v>37.53546250945665</v>
      </c>
      <c r="K243">
        <v>9.309999999955032E-2</v>
      </c>
    </row>
    <row r="244" spans="1:11" x14ac:dyDescent="0.5">
      <c r="A244" t="s">
        <v>245</v>
      </c>
      <c r="B244">
        <v>34.554341365121225</v>
      </c>
      <c r="C244">
        <v>8.2299999999575491E-2</v>
      </c>
      <c r="E244" t="s">
        <v>245</v>
      </c>
      <c r="F244">
        <v>61.305315970810383</v>
      </c>
      <c r="G244">
        <v>0.10339999999952632</v>
      </c>
      <c r="I244" t="s">
        <v>245</v>
      </c>
      <c r="J244">
        <v>38.732322920762044</v>
      </c>
      <c r="K244">
        <v>0.10519999999952212</v>
      </c>
    </row>
    <row r="245" spans="1:11" x14ac:dyDescent="0.5">
      <c r="A245" t="s">
        <v>246</v>
      </c>
      <c r="B245">
        <v>41.84396733932234</v>
      </c>
      <c r="C245">
        <v>8.2899999999574092E-2</v>
      </c>
      <c r="E245" t="s">
        <v>246</v>
      </c>
      <c r="F245">
        <v>80.252938980834358</v>
      </c>
      <c r="G245">
        <v>0.12029999999948693</v>
      </c>
      <c r="I245" t="s">
        <v>246</v>
      </c>
      <c r="J245">
        <v>51.830628384372112</v>
      </c>
      <c r="K245">
        <v>0.11079999999950907</v>
      </c>
    </row>
    <row r="246" spans="1:11" x14ac:dyDescent="0.5">
      <c r="A246" t="s">
        <v>247</v>
      </c>
      <c r="B246">
        <v>35.342828862380138</v>
      </c>
      <c r="C246">
        <v>8.7199999999564071E-2</v>
      </c>
      <c r="E246" t="s">
        <v>247</v>
      </c>
      <c r="F246">
        <v>55.046612767627778</v>
      </c>
      <c r="G246">
        <v>0.10609999999952002</v>
      </c>
      <c r="I246" t="s">
        <v>247</v>
      </c>
      <c r="J246">
        <v>44.863752363861387</v>
      </c>
      <c r="K246">
        <v>0.11879999999949042</v>
      </c>
    </row>
    <row r="247" spans="1:11" x14ac:dyDescent="0.5">
      <c r="A247" t="s">
        <v>248</v>
      </c>
      <c r="B247">
        <v>33.221700563976093</v>
      </c>
      <c r="C247">
        <v>8.3500000000003544E-2</v>
      </c>
      <c r="E247" t="s">
        <v>248</v>
      </c>
      <c r="F247">
        <v>59.600807187270782</v>
      </c>
      <c r="G247">
        <v>0.11890000000000456</v>
      </c>
      <c r="I247" t="s">
        <v>248</v>
      </c>
      <c r="J247">
        <v>39.627760210332717</v>
      </c>
      <c r="K247">
        <v>0.11910000000000456</v>
      </c>
    </row>
    <row r="248" spans="1:11" x14ac:dyDescent="0.5">
      <c r="A248" t="s">
        <v>249</v>
      </c>
      <c r="B248">
        <v>38.402913215248191</v>
      </c>
      <c r="C248">
        <v>5.9300000000002857E-2</v>
      </c>
      <c r="E248" t="s">
        <v>249</v>
      </c>
      <c r="F248">
        <v>54.080194635814216</v>
      </c>
      <c r="G248">
        <v>9.5100000000003876E-2</v>
      </c>
      <c r="I248" t="s">
        <v>249</v>
      </c>
      <c r="J248">
        <v>42.606359213358246</v>
      </c>
      <c r="K248">
        <v>8.2500000000003515E-2</v>
      </c>
    </row>
    <row r="249" spans="1:11" x14ac:dyDescent="0.5">
      <c r="A249" t="s">
        <v>250</v>
      </c>
      <c r="B249">
        <v>42.839185003503928</v>
      </c>
      <c r="C249">
        <v>9.5399999962947069E-2</v>
      </c>
      <c r="E249" t="s">
        <v>250</v>
      </c>
      <c r="F249">
        <v>49.131319822442357</v>
      </c>
      <c r="G249">
        <v>9.0099999962946917E-2</v>
      </c>
      <c r="I249" t="s">
        <v>250</v>
      </c>
      <c r="J249">
        <v>41.836695881982386</v>
      </c>
      <c r="K249">
        <v>8.9699999962946905E-2</v>
      </c>
    </row>
    <row r="250" spans="1:11" x14ac:dyDescent="0.5">
      <c r="A250" t="s">
        <v>251</v>
      </c>
      <c r="B250">
        <v>44.754203965546509</v>
      </c>
      <c r="C250">
        <v>8.2099999962946688E-2</v>
      </c>
      <c r="E250" t="s">
        <v>251</v>
      </c>
      <c r="F250">
        <v>66.170995693184253</v>
      </c>
      <c r="G250">
        <v>0.1207999999629478</v>
      </c>
      <c r="I250" t="s">
        <v>251</v>
      </c>
      <c r="J250">
        <v>41.132215825497482</v>
      </c>
      <c r="K250">
        <v>0.11769999996294771</v>
      </c>
    </row>
    <row r="251" spans="1:11" x14ac:dyDescent="0.5">
      <c r="A251" t="s">
        <v>252</v>
      </c>
      <c r="B251">
        <v>49.242288162920133</v>
      </c>
      <c r="C251">
        <v>7.239999996294641E-2</v>
      </c>
      <c r="E251" t="s">
        <v>252</v>
      </c>
      <c r="F251">
        <v>68.023179230645582</v>
      </c>
      <c r="G251">
        <v>0.12039999996294778</v>
      </c>
      <c r="I251" t="s">
        <v>252</v>
      </c>
      <c r="J251">
        <v>42.921285627263146</v>
      </c>
      <c r="K251">
        <v>0.11679999996294768</v>
      </c>
    </row>
    <row r="252" spans="1:11" x14ac:dyDescent="0.5">
      <c r="A252" t="s">
        <v>253</v>
      </c>
      <c r="B252">
        <v>49.568853482004826</v>
      </c>
      <c r="C252">
        <v>7.3599999960615864E-2</v>
      </c>
      <c r="E252" t="s">
        <v>253</v>
      </c>
      <c r="F252">
        <v>61.529941811982354</v>
      </c>
      <c r="G252">
        <v>0.12349999996061729</v>
      </c>
      <c r="I252" t="s">
        <v>253</v>
      </c>
      <c r="J252">
        <v>43.501568030567078</v>
      </c>
      <c r="K252">
        <v>0.1270999999606171</v>
      </c>
    </row>
    <row r="253" spans="1:11" x14ac:dyDescent="0.5">
      <c r="A253" t="s">
        <v>254</v>
      </c>
      <c r="B253">
        <v>48.083105191701293</v>
      </c>
      <c r="C253">
        <v>8.6999999960616248E-2</v>
      </c>
      <c r="E253" t="s">
        <v>254</v>
      </c>
      <c r="F253">
        <v>48.313014389824644</v>
      </c>
      <c r="G253">
        <v>0.1343999999606163</v>
      </c>
      <c r="I253" t="s">
        <v>254</v>
      </c>
      <c r="J253">
        <v>37.531773877417024</v>
      </c>
      <c r="K253">
        <v>0.12779999996061703</v>
      </c>
    </row>
    <row r="254" spans="1:11" x14ac:dyDescent="0.5">
      <c r="A254" t="s">
        <v>255</v>
      </c>
      <c r="B254">
        <v>36.984055316250085</v>
      </c>
      <c r="C254">
        <v>7.9799999960616042E-2</v>
      </c>
      <c r="E254" t="s">
        <v>255</v>
      </c>
      <c r="F254">
        <v>41.371171613690457</v>
      </c>
      <c r="G254">
        <v>0.13329999996061642</v>
      </c>
      <c r="I254" t="s">
        <v>255</v>
      </c>
      <c r="J254">
        <v>30.061566055867051</v>
      </c>
      <c r="K254">
        <v>9.5999999960616506E-2</v>
      </c>
    </row>
    <row r="255" spans="1:11" x14ac:dyDescent="0.5">
      <c r="A255" t="s">
        <v>256</v>
      </c>
      <c r="B255">
        <v>47.525954345009275</v>
      </c>
      <c r="C255">
        <v>0.12129999996061723</v>
      </c>
      <c r="E255" t="s">
        <v>256</v>
      </c>
      <c r="F255">
        <v>47.605451827677825</v>
      </c>
      <c r="G255">
        <v>0.10099999996061665</v>
      </c>
      <c r="I255" t="s">
        <v>256</v>
      </c>
      <c r="J255">
        <v>35.909955615288936</v>
      </c>
      <c r="K255">
        <v>0.11229999996061697</v>
      </c>
    </row>
    <row r="256" spans="1:11" x14ac:dyDescent="0.5">
      <c r="A256" t="s">
        <v>257</v>
      </c>
      <c r="B256">
        <v>44.004017986448154</v>
      </c>
      <c r="C256">
        <v>8.2599999960616122E-2</v>
      </c>
      <c r="E256" t="s">
        <v>257</v>
      </c>
      <c r="F256">
        <v>50.339302779990561</v>
      </c>
      <c r="G256">
        <v>0.11599999996061708</v>
      </c>
      <c r="I256" t="s">
        <v>257</v>
      </c>
      <c r="J256">
        <v>42.568718226054237</v>
      </c>
      <c r="K256">
        <v>0.11079999996061693</v>
      </c>
    </row>
    <row r="257" spans="1:11" x14ac:dyDescent="0.5">
      <c r="A257" t="s">
        <v>258</v>
      </c>
      <c r="B257">
        <v>36.255226716777813</v>
      </c>
      <c r="C257">
        <v>8.6999999960616248E-2</v>
      </c>
      <c r="E257" t="s">
        <v>258</v>
      </c>
      <c r="F257">
        <v>45.764452846562271</v>
      </c>
      <c r="G257">
        <v>0.1027999999606167</v>
      </c>
      <c r="I257" t="s">
        <v>258</v>
      </c>
      <c r="J257">
        <v>35.913957790420767</v>
      </c>
      <c r="K257">
        <v>9.3199999960616425E-2</v>
      </c>
    </row>
    <row r="258" spans="1:11" x14ac:dyDescent="0.5">
      <c r="A258" t="s">
        <v>259</v>
      </c>
      <c r="B258">
        <v>39.232500223017063</v>
      </c>
      <c r="C258">
        <v>9.1499999960616377E-2</v>
      </c>
      <c r="E258" t="s">
        <v>259</v>
      </c>
      <c r="F258">
        <v>37.250141357772058</v>
      </c>
      <c r="G258">
        <v>0.10029999996061663</v>
      </c>
      <c r="I258" t="s">
        <v>259</v>
      </c>
      <c r="J258">
        <v>34.264922971685557</v>
      </c>
      <c r="K258">
        <v>8.9799999960616328E-2</v>
      </c>
    </row>
    <row r="259" spans="1:11" x14ac:dyDescent="0.5">
      <c r="A259" t="s">
        <v>260</v>
      </c>
      <c r="B259">
        <v>41.359575909734133</v>
      </c>
      <c r="C259">
        <v>6.8799999960615726E-2</v>
      </c>
      <c r="E259" t="s">
        <v>260</v>
      </c>
      <c r="F259">
        <v>50.929104954634859</v>
      </c>
      <c r="G259">
        <v>9.5599999960616494E-2</v>
      </c>
      <c r="I259" t="s">
        <v>260</v>
      </c>
      <c r="J259">
        <v>41.522727716166735</v>
      </c>
      <c r="K259">
        <v>0.10949999996061689</v>
      </c>
    </row>
    <row r="260" spans="1:11" x14ac:dyDescent="0.5">
      <c r="A260" t="s">
        <v>261</v>
      </c>
      <c r="B260">
        <v>37.245527073020497</v>
      </c>
      <c r="C260">
        <v>9.0199999960616339E-2</v>
      </c>
      <c r="E260" t="s">
        <v>261</v>
      </c>
      <c r="F260">
        <v>43.95987779993964</v>
      </c>
      <c r="G260">
        <v>0.10169999996061667</v>
      </c>
      <c r="I260" t="s">
        <v>261</v>
      </c>
      <c r="J260">
        <v>43.155290115071907</v>
      </c>
      <c r="K260">
        <v>9.7699999960616554E-2</v>
      </c>
    </row>
    <row r="261" spans="1:11" x14ac:dyDescent="0.5">
      <c r="A261" t="s">
        <v>262</v>
      </c>
      <c r="B261">
        <v>33.326847298216599</v>
      </c>
      <c r="C261">
        <v>6.2799999960615555E-2</v>
      </c>
      <c r="E261" t="s">
        <v>262</v>
      </c>
      <c r="F261">
        <v>48.626101990893076</v>
      </c>
      <c r="G261">
        <v>8.3099999960616136E-2</v>
      </c>
      <c r="I261" t="s">
        <v>262</v>
      </c>
      <c r="J261">
        <v>40.445214817375856</v>
      </c>
      <c r="K261">
        <v>8.6999999960616248E-2</v>
      </c>
    </row>
    <row r="262" spans="1:11" x14ac:dyDescent="0.5">
      <c r="A262" t="s">
        <v>263</v>
      </c>
      <c r="B262">
        <v>31.484358926337638</v>
      </c>
      <c r="C262">
        <v>9.0799999960616357E-2</v>
      </c>
      <c r="E262" t="s">
        <v>263</v>
      </c>
      <c r="F262">
        <v>66.644893655456357</v>
      </c>
      <c r="G262">
        <v>0.11249999996061698</v>
      </c>
      <c r="I262" t="s">
        <v>263</v>
      </c>
      <c r="J262">
        <v>40.566004553709575</v>
      </c>
      <c r="K262">
        <v>0.11089999996061693</v>
      </c>
    </row>
    <row r="263" spans="1:11" x14ac:dyDescent="0.5">
      <c r="A263" t="s">
        <v>264</v>
      </c>
      <c r="B263">
        <v>43.17396748004699</v>
      </c>
      <c r="C263">
        <v>6.8599999960615721E-2</v>
      </c>
      <c r="E263" t="s">
        <v>264</v>
      </c>
      <c r="F263">
        <v>80.39472464157457</v>
      </c>
      <c r="G263">
        <v>0.11999999996061719</v>
      </c>
      <c r="I263" t="s">
        <v>264</v>
      </c>
      <c r="J263">
        <v>44.603857087555689</v>
      </c>
      <c r="K263">
        <v>0.1252999999606173</v>
      </c>
    </row>
    <row r="264" spans="1:11" x14ac:dyDescent="0.5">
      <c r="A264" t="s">
        <v>265</v>
      </c>
      <c r="B264">
        <v>61.326152981968626</v>
      </c>
      <c r="C264">
        <v>8.1699999960616096E-2</v>
      </c>
      <c r="E264" t="s">
        <v>265</v>
      </c>
      <c r="F264">
        <v>48.956552394622264</v>
      </c>
      <c r="G264">
        <v>0.10369999996061673</v>
      </c>
      <c r="I264" t="s">
        <v>265</v>
      </c>
      <c r="J264">
        <v>43.746890885113153</v>
      </c>
      <c r="K264">
        <v>0.10609999996061679</v>
      </c>
    </row>
    <row r="265" spans="1:11" x14ac:dyDescent="0.5">
      <c r="A265" t="s">
        <v>266</v>
      </c>
      <c r="B265">
        <v>29.085754171630374</v>
      </c>
      <c r="C265">
        <v>9.5399999960616488E-2</v>
      </c>
      <c r="E265" t="s">
        <v>266</v>
      </c>
      <c r="F265">
        <v>51.892794308067451</v>
      </c>
      <c r="G265">
        <v>9.9599999960616609E-2</v>
      </c>
      <c r="I265" t="s">
        <v>266</v>
      </c>
      <c r="J265">
        <v>33.146228612475362</v>
      </c>
      <c r="K265">
        <v>0.10519999996061677</v>
      </c>
    </row>
    <row r="266" spans="1:11" x14ac:dyDescent="0.5">
      <c r="A266" t="s">
        <v>267</v>
      </c>
      <c r="B266">
        <v>43.980689527433128</v>
      </c>
      <c r="C266">
        <v>7.7499999962946556E-2</v>
      </c>
      <c r="E266" t="s">
        <v>267</v>
      </c>
      <c r="F266">
        <v>55.467659885963307</v>
      </c>
      <c r="G266">
        <v>0.10629999996294738</v>
      </c>
      <c r="I266" t="s">
        <v>267</v>
      </c>
      <c r="J266">
        <v>44.416524840458003</v>
      </c>
      <c r="K266">
        <v>0.10179999996294725</v>
      </c>
    </row>
    <row r="267" spans="1:11" x14ac:dyDescent="0.5">
      <c r="A267" t="s">
        <v>268</v>
      </c>
      <c r="B267">
        <v>40.796479013772412</v>
      </c>
      <c r="C267">
        <v>8.3899999962946739E-2</v>
      </c>
      <c r="E267" t="s">
        <v>268</v>
      </c>
      <c r="F267">
        <v>47.108715915642463</v>
      </c>
      <c r="G267">
        <v>0.1359999999629467</v>
      </c>
      <c r="I267" t="s">
        <v>268</v>
      </c>
      <c r="J267">
        <v>42.935815012270297</v>
      </c>
      <c r="K267">
        <v>0.10999999996294749</v>
      </c>
    </row>
    <row r="268" spans="1:11" x14ac:dyDescent="0.5">
      <c r="A268" t="s">
        <v>269</v>
      </c>
      <c r="B268">
        <v>50.020971511686973</v>
      </c>
      <c r="C268">
        <v>9.0499999962946928E-2</v>
      </c>
      <c r="E268" t="s">
        <v>269</v>
      </c>
      <c r="F268">
        <v>51.282392003499396</v>
      </c>
      <c r="G268">
        <v>9.4199999962947034E-2</v>
      </c>
      <c r="I268" t="s">
        <v>269</v>
      </c>
      <c r="J268">
        <v>48.246572745163284</v>
      </c>
      <c r="K268">
        <v>9.5899999962947083E-2</v>
      </c>
    </row>
    <row r="269" spans="1:11" x14ac:dyDescent="0.5">
      <c r="A269" t="s">
        <v>270</v>
      </c>
      <c r="B269">
        <v>36.343789440363054</v>
      </c>
      <c r="C269">
        <v>7.2199999962946404E-2</v>
      </c>
      <c r="E269" t="s">
        <v>270</v>
      </c>
      <c r="F269">
        <v>53.386303777214614</v>
      </c>
      <c r="G269">
        <v>0.10849999996294744</v>
      </c>
      <c r="I269" t="s">
        <v>270</v>
      </c>
      <c r="J269">
        <v>40.475868514559735</v>
      </c>
      <c r="K269">
        <v>0.1102999999629475</v>
      </c>
    </row>
    <row r="270" spans="1:11" x14ac:dyDescent="0.5">
      <c r="A270" t="s">
        <v>271</v>
      </c>
      <c r="B270">
        <v>42.38670549873428</v>
      </c>
      <c r="C270">
        <v>7.589999996294651E-2</v>
      </c>
      <c r="E270" t="s">
        <v>271</v>
      </c>
      <c r="F270">
        <v>48.289399212182346</v>
      </c>
      <c r="G270">
        <v>0.1070999999629474</v>
      </c>
      <c r="I270" t="s">
        <v>271</v>
      </c>
      <c r="J270">
        <v>42.946251237722393</v>
      </c>
      <c r="K270">
        <v>0.11619999996294766</v>
      </c>
    </row>
    <row r="271" spans="1:11" x14ac:dyDescent="0.5">
      <c r="A271" t="s">
        <v>272</v>
      </c>
      <c r="B271">
        <v>35.492994958420034</v>
      </c>
      <c r="C271">
        <v>0.10579999996294737</v>
      </c>
      <c r="E271" t="s">
        <v>272</v>
      </c>
      <c r="F271">
        <v>46.073987823763296</v>
      </c>
      <c r="G271">
        <v>0.10029999996294721</v>
      </c>
      <c r="I271" t="s">
        <v>272</v>
      </c>
      <c r="J271">
        <v>33.859690511573369</v>
      </c>
      <c r="K271">
        <v>0.12669999996294773</v>
      </c>
    </row>
    <row r="272" spans="1:11" x14ac:dyDescent="0.5">
      <c r="A272" t="s">
        <v>273</v>
      </c>
      <c r="B272">
        <v>31.019674730537545</v>
      </c>
      <c r="C272">
        <v>6.5199999962946203E-2</v>
      </c>
      <c r="E272" t="s">
        <v>273</v>
      </c>
      <c r="F272">
        <v>47.562604836395501</v>
      </c>
      <c r="G272">
        <v>8.9799999962946908E-2</v>
      </c>
      <c r="I272" t="s">
        <v>273</v>
      </c>
      <c r="J272">
        <v>35.701375388170696</v>
      </c>
      <c r="K272">
        <v>8.9799999962946908E-2</v>
      </c>
    </row>
    <row r="273" spans="1:23" x14ac:dyDescent="0.5">
      <c r="A273" t="s">
        <v>274</v>
      </c>
      <c r="B273">
        <v>30.198812125381512</v>
      </c>
      <c r="C273">
        <v>8.5899999962946796E-2</v>
      </c>
      <c r="E273" t="s">
        <v>274</v>
      </c>
      <c r="F273">
        <v>38.401944720274081</v>
      </c>
      <c r="G273">
        <v>0.11539999996294764</v>
      </c>
      <c r="I273" t="s">
        <v>274</v>
      </c>
      <c r="J273">
        <v>32.439606200414715</v>
      </c>
      <c r="K273">
        <v>0.1172999999629477</v>
      </c>
    </row>
    <row r="274" spans="1:23" x14ac:dyDescent="0.5">
      <c r="A274" t="s">
        <v>275</v>
      </c>
      <c r="B274">
        <v>37.807745630653805</v>
      </c>
      <c r="C274">
        <v>9.229999996294698E-2</v>
      </c>
      <c r="E274" t="s">
        <v>275</v>
      </c>
      <c r="F274">
        <v>52.782343508636693</v>
      </c>
      <c r="G274">
        <v>0.10639999996294738</v>
      </c>
      <c r="I274" t="s">
        <v>275</v>
      </c>
      <c r="J274">
        <v>40.437771303486755</v>
      </c>
      <c r="K274">
        <v>0.11149999996294753</v>
      </c>
    </row>
    <row r="275" spans="1:23" x14ac:dyDescent="0.5">
      <c r="A275" t="s">
        <v>276</v>
      </c>
      <c r="B275">
        <v>39.630569310933566</v>
      </c>
      <c r="C275">
        <v>6.8799999962946307E-2</v>
      </c>
      <c r="E275" t="s">
        <v>276</v>
      </c>
      <c r="F275">
        <v>51.097337269673496</v>
      </c>
      <c r="G275">
        <v>9.7499999962947129E-2</v>
      </c>
      <c r="I275" t="s">
        <v>276</v>
      </c>
      <c r="J275">
        <v>38.616103389473032</v>
      </c>
      <c r="K275">
        <v>0.1069999999629474</v>
      </c>
      <c r="M275" t="s">
        <v>276</v>
      </c>
      <c r="N275">
        <v>77.031871962405503</v>
      </c>
      <c r="O275">
        <v>0.10719999996294741</v>
      </c>
      <c r="Q275" t="s">
        <v>276</v>
      </c>
      <c r="R275">
        <v>55.449707475761151</v>
      </c>
      <c r="S275">
        <v>8.9799999962946908E-2</v>
      </c>
      <c r="U275" t="s">
        <v>276</v>
      </c>
      <c r="V275">
        <v>65.220046097036416</v>
      </c>
      <c r="W275">
        <v>8.3199999962946719E-2</v>
      </c>
    </row>
    <row r="276" spans="1:23" x14ac:dyDescent="0.5">
      <c r="A276" t="s">
        <v>277</v>
      </c>
      <c r="B276">
        <v>32.569267436720381</v>
      </c>
      <c r="C276">
        <v>6.7499999962946269E-2</v>
      </c>
      <c r="E276" t="s">
        <v>277</v>
      </c>
      <c r="F276">
        <v>43.657471123524317</v>
      </c>
      <c r="G276">
        <v>9.7499999962947129E-2</v>
      </c>
      <c r="I276" t="s">
        <v>277</v>
      </c>
      <c r="J276">
        <v>37.626391021958931</v>
      </c>
      <c r="K276">
        <v>0.10119999996294723</v>
      </c>
      <c r="M276" t="s">
        <v>277</v>
      </c>
      <c r="N276">
        <v>91.863319779342717</v>
      </c>
      <c r="O276">
        <v>0.11009999996294749</v>
      </c>
      <c r="Q276" t="s">
        <v>277</v>
      </c>
      <c r="R276">
        <v>53.277298483206842</v>
      </c>
      <c r="S276">
        <v>8.7399999962946839E-2</v>
      </c>
      <c r="U276" t="s">
        <v>277</v>
      </c>
      <c r="V276">
        <v>57.702194529704101</v>
      </c>
      <c r="W276">
        <v>8.7499999962946842E-2</v>
      </c>
    </row>
    <row r="277" spans="1:23" x14ac:dyDescent="0.5">
      <c r="A277" t="s">
        <v>278</v>
      </c>
      <c r="B277">
        <v>46.092086420174674</v>
      </c>
      <c r="C277">
        <v>7.1100000000002828E-2</v>
      </c>
      <c r="E277" t="s">
        <v>278</v>
      </c>
      <c r="F277">
        <v>54.370176176814709</v>
      </c>
      <c r="G277">
        <v>0.10090000000000368</v>
      </c>
      <c r="I277" t="s">
        <v>278</v>
      </c>
      <c r="J277">
        <v>48.23952018565668</v>
      </c>
      <c r="K277">
        <v>0.10190000000000371</v>
      </c>
      <c r="M277" t="s">
        <v>278</v>
      </c>
      <c r="N277">
        <v>70.61746530958294</v>
      </c>
      <c r="O277">
        <v>0.11310000000000403</v>
      </c>
      <c r="Q277" t="s">
        <v>278</v>
      </c>
      <c r="R277">
        <v>56.598342963341864</v>
      </c>
      <c r="S277">
        <v>0.10620000000000383</v>
      </c>
      <c r="U277" t="s">
        <v>278</v>
      </c>
      <c r="V277">
        <v>52.40948727966186</v>
      </c>
      <c r="W277">
        <v>9.8500000000003612E-2</v>
      </c>
    </row>
    <row r="278" spans="1:23" x14ac:dyDescent="0.5">
      <c r="A278" t="s">
        <v>279</v>
      </c>
      <c r="B278">
        <v>27.998060630667581</v>
      </c>
      <c r="C278">
        <v>9.1499999962946957E-2</v>
      </c>
      <c r="E278" t="s">
        <v>279</v>
      </c>
      <c r="F278">
        <v>49.955233209342012</v>
      </c>
      <c r="G278">
        <v>0.10249999996294727</v>
      </c>
      <c r="I278" t="s">
        <v>279</v>
      </c>
      <c r="J278">
        <v>35.931449485817765</v>
      </c>
      <c r="K278">
        <v>0.10779999996294742</v>
      </c>
    </row>
    <row r="279" spans="1:23" x14ac:dyDescent="0.5">
      <c r="A279" t="s">
        <v>280</v>
      </c>
      <c r="B279">
        <v>74.648794215863049</v>
      </c>
      <c r="C279">
        <v>6.8599999962946301E-2</v>
      </c>
      <c r="E279" t="s">
        <v>280</v>
      </c>
      <c r="F279">
        <v>49.077735772615696</v>
      </c>
      <c r="G279">
        <v>0.11199999996294754</v>
      </c>
      <c r="I279" t="s">
        <v>280</v>
      </c>
      <c r="J279">
        <v>38.077324293491607</v>
      </c>
      <c r="K279">
        <v>0.12189999996294783</v>
      </c>
      <c r="M279" t="s">
        <v>280</v>
      </c>
      <c r="N279">
        <v>97.652281917249582</v>
      </c>
      <c r="O279">
        <v>0.11229999996294755</v>
      </c>
      <c r="Q279" t="s">
        <v>280</v>
      </c>
      <c r="R279">
        <v>62.263841621359717</v>
      </c>
      <c r="S279">
        <v>8.8899999962946882E-2</v>
      </c>
      <c r="U279" t="s">
        <v>280</v>
      </c>
      <c r="V279">
        <v>85.27287055563373</v>
      </c>
      <c r="W279">
        <v>8.7699999962946848E-2</v>
      </c>
    </row>
    <row r="280" spans="1:23" x14ac:dyDescent="0.5">
      <c r="A280" t="s">
        <v>281</v>
      </c>
      <c r="B280">
        <v>43.51681399888318</v>
      </c>
      <c r="C280">
        <v>6.6699999962946246E-2</v>
      </c>
      <c r="E280" t="s">
        <v>281</v>
      </c>
      <c r="F280">
        <v>49.846052650480743</v>
      </c>
      <c r="G280">
        <v>0.10159999996294725</v>
      </c>
      <c r="I280" t="s">
        <v>281</v>
      </c>
      <c r="J280">
        <v>40.086303141390793</v>
      </c>
      <c r="K280">
        <v>0.10889999996294746</v>
      </c>
      <c r="M280" t="s">
        <v>281</v>
      </c>
      <c r="N280">
        <v>57.0189546915093</v>
      </c>
      <c r="O280">
        <v>0.20749999996293883</v>
      </c>
      <c r="Q280" t="s">
        <v>281</v>
      </c>
      <c r="R280">
        <v>42.626885955479608</v>
      </c>
      <c r="S280">
        <v>0.10409999996294732</v>
      </c>
      <c r="U280" t="s">
        <v>281</v>
      </c>
      <c r="V280">
        <v>41.59360773569982</v>
      </c>
      <c r="W280">
        <v>8.8099999962946859E-2</v>
      </c>
    </row>
    <row r="281" spans="1:23" x14ac:dyDescent="0.5">
      <c r="A281" t="s">
        <v>282</v>
      </c>
      <c r="B281">
        <v>41.285092830448882</v>
      </c>
      <c r="C281">
        <v>7.5700000000002959E-2</v>
      </c>
      <c r="E281" t="s">
        <v>282</v>
      </c>
      <c r="F281">
        <v>37.661597158887403</v>
      </c>
      <c r="G281">
        <v>0.10230000000000372</v>
      </c>
      <c r="I281" t="s">
        <v>282</v>
      </c>
      <c r="J281">
        <v>37.859961569364216</v>
      </c>
      <c r="K281">
        <v>0.1051000000000038</v>
      </c>
      <c r="M281" t="s">
        <v>282</v>
      </c>
      <c r="N281">
        <v>70.587106773008045</v>
      </c>
      <c r="O281">
        <v>0.11030000000000395</v>
      </c>
      <c r="Q281" t="s">
        <v>282</v>
      </c>
      <c r="R281">
        <v>46.08196612201904</v>
      </c>
      <c r="S281">
        <v>9.4000000000003484E-2</v>
      </c>
      <c r="U281" t="s">
        <v>282</v>
      </c>
      <c r="V281">
        <v>48.094069995456401</v>
      </c>
      <c r="W281">
        <v>9.1900000000003423E-2</v>
      </c>
    </row>
    <row r="282" spans="1:23" x14ac:dyDescent="0.5">
      <c r="A282" t="s">
        <v>283</v>
      </c>
      <c r="B282">
        <v>106.46199976286061</v>
      </c>
      <c r="C282">
        <v>7.2699999962946418E-2</v>
      </c>
      <c r="E282" t="s">
        <v>283</v>
      </c>
      <c r="F282">
        <v>60.342098897566636</v>
      </c>
      <c r="G282">
        <v>0.11899999996294774</v>
      </c>
      <c r="I282" t="s">
        <v>283</v>
      </c>
      <c r="J282">
        <v>46.370792576963588</v>
      </c>
      <c r="K282">
        <v>0.1103999999629475</v>
      </c>
      <c r="M282" t="s">
        <v>283</v>
      </c>
      <c r="N282">
        <v>61.692015865912374</v>
      </c>
      <c r="O282">
        <v>0.11789999996294771</v>
      </c>
      <c r="Q282" t="s">
        <v>283</v>
      </c>
      <c r="R282">
        <v>42.149924013869665</v>
      </c>
      <c r="S282">
        <v>0.1033999999629473</v>
      </c>
      <c r="U282" t="s">
        <v>283</v>
      </c>
      <c r="V282">
        <v>44.99695581150776</v>
      </c>
      <c r="W282">
        <v>0.10199999996294726</v>
      </c>
    </row>
    <row r="283" spans="1:23" x14ac:dyDescent="0.5">
      <c r="A283" t="s">
        <v>284</v>
      </c>
      <c r="B283">
        <v>50.473662857938351</v>
      </c>
      <c r="C283">
        <v>9.3300000000003463E-2</v>
      </c>
      <c r="E283" t="s">
        <v>284</v>
      </c>
      <c r="F283">
        <v>53.411445868727725</v>
      </c>
      <c r="G283">
        <v>0.11430000000000407</v>
      </c>
      <c r="I283" t="s">
        <v>284</v>
      </c>
      <c r="J283">
        <v>38.214875119440642</v>
      </c>
      <c r="K283">
        <v>0.1014000000000037</v>
      </c>
      <c r="M283" t="s">
        <v>284</v>
      </c>
      <c r="N283">
        <v>79.36443471161148</v>
      </c>
      <c r="O283">
        <v>0.11400000000000406</v>
      </c>
      <c r="Q283" t="s">
        <v>284</v>
      </c>
      <c r="R283">
        <v>45.841772527650605</v>
      </c>
      <c r="S283">
        <v>8.2900000000003166E-2</v>
      </c>
      <c r="U283" t="s">
        <v>284</v>
      </c>
      <c r="V283">
        <v>59.193457052156077</v>
      </c>
      <c r="W283">
        <v>8.9900000000003366E-2</v>
      </c>
    </row>
    <row r="284" spans="1:23" x14ac:dyDescent="0.5">
      <c r="A284" t="s">
        <v>285</v>
      </c>
      <c r="B284">
        <v>46.697529856819443</v>
      </c>
      <c r="C284">
        <v>7.780000000000302E-2</v>
      </c>
      <c r="E284" t="s">
        <v>285</v>
      </c>
      <c r="F284">
        <v>47.260016395090958</v>
      </c>
      <c r="G284">
        <v>9.3300000000003463E-2</v>
      </c>
      <c r="I284" t="s">
        <v>285</v>
      </c>
      <c r="J284">
        <v>40.735519378109842</v>
      </c>
      <c r="K284">
        <v>0.10920000000000392</v>
      </c>
      <c r="M284" t="s">
        <v>285</v>
      </c>
      <c r="N284">
        <v>75.014126693740849</v>
      </c>
      <c r="O284">
        <v>0.1155000000000041</v>
      </c>
      <c r="Q284" t="s">
        <v>285</v>
      </c>
      <c r="R284">
        <v>46.406057096328723</v>
      </c>
      <c r="S284">
        <v>8.6800000000003277E-2</v>
      </c>
      <c r="U284" t="s">
        <v>285</v>
      </c>
      <c r="V284">
        <v>51.557905757461384</v>
      </c>
      <c r="W284">
        <v>8.2800000000003163E-2</v>
      </c>
    </row>
    <row r="285" spans="1:23" x14ac:dyDescent="0.5">
      <c r="A285" t="s">
        <v>286</v>
      </c>
      <c r="B285">
        <v>45.602122877387345</v>
      </c>
      <c r="C285">
        <v>7.0000000000002796E-2</v>
      </c>
      <c r="E285" t="s">
        <v>286</v>
      </c>
      <c r="F285">
        <v>45.334015651411576</v>
      </c>
      <c r="G285">
        <v>0.11090000000000397</v>
      </c>
      <c r="I285" t="s">
        <v>286</v>
      </c>
      <c r="J285">
        <v>49.803835722864626</v>
      </c>
      <c r="K285">
        <v>0.10550000000000381</v>
      </c>
      <c r="M285" t="s">
        <v>286</v>
      </c>
      <c r="N285">
        <v>55.364810439477488</v>
      </c>
      <c r="O285">
        <v>0.11530000000000409</v>
      </c>
      <c r="Q285" t="s">
        <v>286</v>
      </c>
      <c r="R285">
        <v>34.320271386515742</v>
      </c>
      <c r="S285">
        <v>0.10910000000000392</v>
      </c>
      <c r="U285" t="s">
        <v>286</v>
      </c>
      <c r="V285">
        <v>67.891071209508169</v>
      </c>
      <c r="W285">
        <v>9.4900000000003509E-2</v>
      </c>
    </row>
    <row r="286" spans="1:23" x14ac:dyDescent="0.5">
      <c r="A286" t="s">
        <v>287</v>
      </c>
      <c r="B286">
        <v>80.001190161017277</v>
      </c>
      <c r="C286">
        <v>9.0800000000003392E-2</v>
      </c>
      <c r="E286" t="s">
        <v>287</v>
      </c>
      <c r="F286">
        <v>36.880721535240994</v>
      </c>
      <c r="G286">
        <v>0.11790000000000417</v>
      </c>
      <c r="I286" t="s">
        <v>287</v>
      </c>
      <c r="J286">
        <v>38.436307606433154</v>
      </c>
      <c r="K286">
        <v>0.11570000000000411</v>
      </c>
      <c r="M286" t="s">
        <v>287</v>
      </c>
      <c r="N286">
        <v>51.496919533808622</v>
      </c>
      <c r="O286">
        <v>0.11610000000000412</v>
      </c>
      <c r="Q286" t="s">
        <v>287</v>
      </c>
      <c r="R286">
        <v>40.308784820368196</v>
      </c>
      <c r="S286">
        <v>0.10390000000000377</v>
      </c>
      <c r="U286" t="s">
        <v>287</v>
      </c>
      <c r="V286">
        <v>45.562335479473099</v>
      </c>
      <c r="W286">
        <v>0.10200000000000371</v>
      </c>
    </row>
    <row r="287" spans="1:23" x14ac:dyDescent="0.5">
      <c r="A287" t="s">
        <v>288</v>
      </c>
      <c r="B287">
        <v>49.973606865843863</v>
      </c>
      <c r="C287">
        <v>5.6400000000002413E-2</v>
      </c>
      <c r="E287" t="s">
        <v>288</v>
      </c>
      <c r="F287">
        <v>55.591763064349038</v>
      </c>
      <c r="G287">
        <v>9.9300000000003635E-2</v>
      </c>
      <c r="I287" t="s">
        <v>288</v>
      </c>
      <c r="J287">
        <v>38.537052397322441</v>
      </c>
      <c r="K287">
        <v>0.10800000000000388</v>
      </c>
      <c r="M287" t="s">
        <v>288</v>
      </c>
      <c r="N287">
        <v>70.035274318246749</v>
      </c>
      <c r="O287">
        <v>9.7300000000003578E-2</v>
      </c>
      <c r="Q287" t="s">
        <v>288</v>
      </c>
      <c r="R287">
        <v>45.63448894282697</v>
      </c>
      <c r="S287">
        <v>0.10530000000000381</v>
      </c>
      <c r="U287" t="s">
        <v>288</v>
      </c>
      <c r="V287">
        <v>39.725143284644609</v>
      </c>
      <c r="W287">
        <v>0.10230000000000372</v>
      </c>
    </row>
    <row r="288" spans="1:23" x14ac:dyDescent="0.5">
      <c r="A288" t="s">
        <v>289</v>
      </c>
      <c r="B288">
        <v>69.761114777828951</v>
      </c>
      <c r="C288">
        <v>5.4100000000002348E-2</v>
      </c>
      <c r="E288" t="s">
        <v>289</v>
      </c>
      <c r="F288">
        <v>44.751540253174781</v>
      </c>
      <c r="G288">
        <v>9.8300000000003607E-2</v>
      </c>
      <c r="I288" t="s">
        <v>289</v>
      </c>
      <c r="J288">
        <v>40.146996722579097</v>
      </c>
      <c r="K288">
        <v>0.1017000000000037</v>
      </c>
      <c r="M288" t="s">
        <v>289</v>
      </c>
      <c r="N288">
        <v>105.02418280017605</v>
      </c>
      <c r="O288">
        <v>0.10730000000000386</v>
      </c>
      <c r="Q288" t="s">
        <v>289</v>
      </c>
      <c r="R288">
        <v>62.830810360528318</v>
      </c>
      <c r="S288">
        <v>8.6500000000003269E-2</v>
      </c>
      <c r="U288" t="s">
        <v>289</v>
      </c>
      <c r="V288">
        <v>69.628419513705467</v>
      </c>
      <c r="W288">
        <v>8.9800000000003363E-2</v>
      </c>
    </row>
    <row r="289" spans="1:23" x14ac:dyDescent="0.5">
      <c r="A289" t="s">
        <v>290</v>
      </c>
      <c r="B289">
        <v>92.048147374731656</v>
      </c>
      <c r="C289">
        <v>7.5400000000002951E-2</v>
      </c>
      <c r="E289" t="s">
        <v>290</v>
      </c>
      <c r="F289">
        <v>60.858678353106647</v>
      </c>
      <c r="G289">
        <v>0.1014000000000037</v>
      </c>
      <c r="I289" t="s">
        <v>290</v>
      </c>
      <c r="J289">
        <v>50.507259824259819</v>
      </c>
      <c r="K289">
        <v>0.1052000000000038</v>
      </c>
      <c r="M289" t="s">
        <v>290</v>
      </c>
      <c r="N289">
        <v>82.617401883001122</v>
      </c>
      <c r="O289">
        <v>0.10330000000000375</v>
      </c>
      <c r="Q289" t="s">
        <v>290</v>
      </c>
      <c r="R289">
        <v>54.259146730188519</v>
      </c>
      <c r="S289">
        <v>9.0100000000003372E-2</v>
      </c>
      <c r="U289" t="s">
        <v>290</v>
      </c>
      <c r="V289">
        <v>64.169540585665672</v>
      </c>
      <c r="W289">
        <v>8.5100000000003229E-2</v>
      </c>
    </row>
    <row r="290" spans="1:23" x14ac:dyDescent="0.5">
      <c r="A290" t="s">
        <v>291</v>
      </c>
      <c r="B290">
        <v>47.406119608900752</v>
      </c>
      <c r="C290">
        <v>5.4899999962945915E-2</v>
      </c>
      <c r="E290" t="s">
        <v>291</v>
      </c>
      <c r="F290">
        <v>54.431894372840212</v>
      </c>
      <c r="G290">
        <v>8.7399999962946839E-2</v>
      </c>
      <c r="I290" t="s">
        <v>291</v>
      </c>
      <c r="J290">
        <v>39.586092744338352</v>
      </c>
      <c r="K290">
        <v>0.11009999996294749</v>
      </c>
      <c r="M290" t="s">
        <v>291</v>
      </c>
      <c r="N290">
        <v>124.63874892875917</v>
      </c>
      <c r="O290">
        <v>0.17039999996294292</v>
      </c>
      <c r="Q290" t="s">
        <v>291</v>
      </c>
      <c r="R290">
        <v>49.70405702586617</v>
      </c>
      <c r="S290">
        <v>9.8099999962947146E-2</v>
      </c>
      <c r="U290" t="s">
        <v>291</v>
      </c>
      <c r="V290">
        <v>52.065949636109416</v>
      </c>
      <c r="W290">
        <v>6.8199999962946289E-2</v>
      </c>
    </row>
    <row r="291" spans="1:23" x14ac:dyDescent="0.5">
      <c r="A291" t="s">
        <v>292</v>
      </c>
      <c r="B291">
        <v>64.150180452979725</v>
      </c>
      <c r="C291">
        <v>7.2199999962946404E-2</v>
      </c>
      <c r="E291" t="s">
        <v>292</v>
      </c>
      <c r="F291">
        <v>35.940457316294378</v>
      </c>
      <c r="G291">
        <v>0.13109999996294724</v>
      </c>
      <c r="I291" t="s">
        <v>292</v>
      </c>
      <c r="J291">
        <v>30.972986934109993</v>
      </c>
      <c r="K291">
        <v>9.1899999962946968E-2</v>
      </c>
    </row>
    <row r="292" spans="1:23" x14ac:dyDescent="0.5">
      <c r="A292" t="s">
        <v>293</v>
      </c>
      <c r="B292">
        <v>46.120560004821229</v>
      </c>
      <c r="C292">
        <v>7.2400000000002865E-2</v>
      </c>
      <c r="E292" t="s">
        <v>293</v>
      </c>
      <c r="F292">
        <v>52.924550500851005</v>
      </c>
      <c r="G292">
        <v>0.10480000000000379</v>
      </c>
      <c r="I292" t="s">
        <v>293</v>
      </c>
      <c r="J292">
        <v>45.405957238722671</v>
      </c>
      <c r="K292">
        <v>0.10280000000000374</v>
      </c>
      <c r="M292" t="s">
        <v>293</v>
      </c>
      <c r="N292">
        <v>72.870915603032316</v>
      </c>
      <c r="O292">
        <v>0.11500000000000409</v>
      </c>
      <c r="Q292" t="s">
        <v>293</v>
      </c>
      <c r="R292">
        <v>43.449092344929433</v>
      </c>
      <c r="S292">
        <v>8.3500000000003183E-2</v>
      </c>
      <c r="U292" t="s">
        <v>293</v>
      </c>
      <c r="V292">
        <v>56.320814990741795</v>
      </c>
      <c r="W292">
        <v>8.3300000000003177E-2</v>
      </c>
    </row>
    <row r="293" spans="1:23" x14ac:dyDescent="0.5">
      <c r="A293" t="s">
        <v>294</v>
      </c>
      <c r="B293">
        <v>44.334891201643927</v>
      </c>
      <c r="C293">
        <v>8.340000000000318E-2</v>
      </c>
      <c r="E293" t="s">
        <v>294</v>
      </c>
      <c r="F293">
        <v>46.222920298975012</v>
      </c>
      <c r="G293">
        <v>0.1050000000000038</v>
      </c>
      <c r="I293" t="s">
        <v>294</v>
      </c>
      <c r="J293">
        <v>36.03407871582273</v>
      </c>
      <c r="K293">
        <v>0.12840000000000398</v>
      </c>
      <c r="M293" t="s">
        <v>294</v>
      </c>
      <c r="N293">
        <v>86.650446651839388</v>
      </c>
      <c r="O293">
        <v>0.12630000000000421</v>
      </c>
      <c r="Q293" t="s">
        <v>294</v>
      </c>
      <c r="R293">
        <v>42.551962118240631</v>
      </c>
      <c r="S293">
        <v>0.12380000000000434</v>
      </c>
      <c r="U293" t="s">
        <v>294</v>
      </c>
      <c r="V293">
        <v>47.281149360886147</v>
      </c>
      <c r="W293">
        <v>9.5700000000003532E-2</v>
      </c>
    </row>
    <row r="294" spans="1:23" x14ac:dyDescent="0.5">
      <c r="A294" t="s">
        <v>295</v>
      </c>
      <c r="B294">
        <v>70.168431116534236</v>
      </c>
      <c r="C294">
        <v>9.4800000000003506E-2</v>
      </c>
      <c r="E294" t="s">
        <v>295</v>
      </c>
      <c r="F294">
        <v>40.163195190552401</v>
      </c>
      <c r="G294">
        <v>0.11450000000000407</v>
      </c>
      <c r="I294" t="s">
        <v>295</v>
      </c>
      <c r="J294">
        <v>40.577219390643101</v>
      </c>
      <c r="K294">
        <v>0.11320000000000403</v>
      </c>
      <c r="M294" t="s">
        <v>295</v>
      </c>
      <c r="N294">
        <v>65.50788802596071</v>
      </c>
      <c r="O294">
        <v>0.1292000000000039</v>
      </c>
      <c r="Q294" t="s">
        <v>295</v>
      </c>
      <c r="R294">
        <v>45.235724144063916</v>
      </c>
      <c r="S294">
        <v>0.10400000000000377</v>
      </c>
      <c r="U294" t="s">
        <v>295</v>
      </c>
      <c r="V294">
        <v>44.447791356673271</v>
      </c>
      <c r="W294">
        <v>0.1017000000000037</v>
      </c>
    </row>
    <row r="295" spans="1:23" x14ac:dyDescent="0.5">
      <c r="A295" t="s">
        <v>296</v>
      </c>
      <c r="B295">
        <v>37.162876317209566</v>
      </c>
      <c r="C295">
        <v>6.560000000000267E-2</v>
      </c>
      <c r="E295" t="s">
        <v>296</v>
      </c>
      <c r="F295">
        <v>44.984530760046347</v>
      </c>
      <c r="G295">
        <v>9.6900000000003567E-2</v>
      </c>
      <c r="I295" t="s">
        <v>296</v>
      </c>
      <c r="J295">
        <v>33.206027499671563</v>
      </c>
      <c r="K295">
        <v>8.4200000000003203E-2</v>
      </c>
      <c r="M295" t="s">
        <v>296</v>
      </c>
      <c r="N295">
        <v>63.282428948666478</v>
      </c>
      <c r="O295">
        <v>0.10780000000000388</v>
      </c>
      <c r="Q295" t="s">
        <v>296</v>
      </c>
      <c r="R295">
        <v>54.388473734346938</v>
      </c>
      <c r="S295">
        <v>9.11000000000034E-2</v>
      </c>
      <c r="U295" t="s">
        <v>296</v>
      </c>
      <c r="V295">
        <v>59.142172619617455</v>
      </c>
      <c r="W295">
        <v>8.8200000000003317E-2</v>
      </c>
    </row>
    <row r="296" spans="1:23" x14ac:dyDescent="0.5">
      <c r="A296" t="s">
        <v>297</v>
      </c>
      <c r="B296">
        <v>39.438906295419542</v>
      </c>
      <c r="C296">
        <v>8.9100000000003343E-2</v>
      </c>
      <c r="E296" t="s">
        <v>297</v>
      </c>
      <c r="F296">
        <v>39.586510549737277</v>
      </c>
      <c r="G296">
        <v>0.11260000000000402</v>
      </c>
      <c r="I296" t="s">
        <v>297</v>
      </c>
      <c r="J296">
        <v>37.541280892421973</v>
      </c>
      <c r="K296">
        <v>0.1190000000000042</v>
      </c>
      <c r="M296" t="s">
        <v>297</v>
      </c>
      <c r="N296">
        <v>81.281900483738426</v>
      </c>
      <c r="O296">
        <v>0.1156000000000041</v>
      </c>
      <c r="Q296" t="s">
        <v>297</v>
      </c>
      <c r="R296">
        <v>50.63641269676085</v>
      </c>
      <c r="S296">
        <v>0.12290000000000431</v>
      </c>
      <c r="U296" t="s">
        <v>297</v>
      </c>
      <c r="V296">
        <v>45.495251496050258</v>
      </c>
      <c r="W296">
        <v>9.770000000000359E-2</v>
      </c>
    </row>
    <row r="297" spans="1:23" x14ac:dyDescent="0.5">
      <c r="A297" t="s">
        <v>298</v>
      </c>
      <c r="B297">
        <v>37.132476048270249</v>
      </c>
      <c r="C297">
        <v>8.7800000000003306E-2</v>
      </c>
      <c r="E297" t="s">
        <v>298</v>
      </c>
      <c r="F297">
        <v>81.383396122683436</v>
      </c>
      <c r="G297">
        <v>0.13620000000000312</v>
      </c>
      <c r="I297" t="s">
        <v>298</v>
      </c>
      <c r="J297">
        <v>40.675120791384856</v>
      </c>
      <c r="K297">
        <v>0.1156000000000041</v>
      </c>
      <c r="M297" t="s">
        <v>298</v>
      </c>
      <c r="N297">
        <v>80.145277181572368</v>
      </c>
      <c r="O297">
        <v>0.11600000000000411</v>
      </c>
      <c r="Q297" t="s">
        <v>298</v>
      </c>
      <c r="R297">
        <v>47.601813524243546</v>
      </c>
      <c r="S297">
        <v>0.11570000000000411</v>
      </c>
      <c r="U297" t="s">
        <v>298</v>
      </c>
      <c r="V297">
        <v>50.521612633546098</v>
      </c>
      <c r="W297">
        <v>0.10220000000000372</v>
      </c>
    </row>
    <row r="298" spans="1:23" x14ac:dyDescent="0.5">
      <c r="A298" t="s">
        <v>299</v>
      </c>
      <c r="B298">
        <v>37.389884087774924</v>
      </c>
      <c r="C298">
        <v>0.10760000000000387</v>
      </c>
      <c r="E298" t="s">
        <v>299</v>
      </c>
      <c r="F298">
        <v>41.175070421626131</v>
      </c>
      <c r="G298">
        <v>0.10000000000000366</v>
      </c>
      <c r="I298" t="s">
        <v>299</v>
      </c>
      <c r="J298">
        <v>33.930022033252989</v>
      </c>
      <c r="K298">
        <v>0.11710000000000415</v>
      </c>
      <c r="M298" t="s">
        <v>299</v>
      </c>
      <c r="N298">
        <v>62.691191702233034</v>
      </c>
      <c r="O298">
        <v>0.12430000000000435</v>
      </c>
      <c r="Q298" t="s">
        <v>299</v>
      </c>
      <c r="R298">
        <v>36.921696137897776</v>
      </c>
      <c r="S298">
        <v>0.11750000000000416</v>
      </c>
      <c r="U298" t="s">
        <v>299</v>
      </c>
      <c r="V298">
        <v>43.593123451847077</v>
      </c>
      <c r="W298">
        <v>0.10280000000000374</v>
      </c>
    </row>
    <row r="299" spans="1:23" x14ac:dyDescent="0.5">
      <c r="A299" t="s">
        <v>300</v>
      </c>
      <c r="B299">
        <v>39.357817466518213</v>
      </c>
      <c r="C299">
        <v>7.7600000000003014E-2</v>
      </c>
      <c r="E299" t="s">
        <v>300</v>
      </c>
      <c r="F299">
        <v>44.884391474407614</v>
      </c>
      <c r="G299">
        <v>0.10670000000000385</v>
      </c>
      <c r="I299" t="s">
        <v>300</v>
      </c>
      <c r="J299">
        <v>42.159615566637527</v>
      </c>
      <c r="K299">
        <v>0.1084000000000039</v>
      </c>
      <c r="M299" t="s">
        <v>300</v>
      </c>
      <c r="N299">
        <v>63.514384121952837</v>
      </c>
      <c r="O299">
        <v>0.12040000000000424</v>
      </c>
      <c r="Q299" t="s">
        <v>300</v>
      </c>
      <c r="R299">
        <v>39.6634425060357</v>
      </c>
      <c r="S299">
        <v>0.10120000000000369</v>
      </c>
      <c r="U299" t="s">
        <v>300</v>
      </c>
      <c r="V299">
        <v>67.786207217181385</v>
      </c>
      <c r="W299">
        <v>9.5500000000003527E-2</v>
      </c>
    </row>
    <row r="300" spans="1:23" x14ac:dyDescent="0.5">
      <c r="A300" t="s">
        <v>301</v>
      </c>
      <c r="B300">
        <v>36.070881261283752</v>
      </c>
      <c r="C300">
        <v>8.0200000000003088E-2</v>
      </c>
      <c r="E300" t="s">
        <v>301</v>
      </c>
      <c r="F300">
        <v>39.02136773186232</v>
      </c>
      <c r="G300">
        <v>0.10220000000000372</v>
      </c>
      <c r="I300" t="s">
        <v>301</v>
      </c>
      <c r="J300">
        <v>36.32206182367716</v>
      </c>
      <c r="K300">
        <v>0.10910000000000392</v>
      </c>
      <c r="M300" t="s">
        <v>301</v>
      </c>
      <c r="N300">
        <v>85.335361884780255</v>
      </c>
      <c r="O300">
        <v>0.11730000000000415</v>
      </c>
      <c r="Q300" t="s">
        <v>301</v>
      </c>
      <c r="R300">
        <v>44.979362693047662</v>
      </c>
      <c r="S300">
        <v>0.11730000000000415</v>
      </c>
      <c r="U300" t="s">
        <v>301</v>
      </c>
      <c r="V300">
        <v>49.067979636569753</v>
      </c>
      <c r="W300">
        <v>0.10040000000000367</v>
      </c>
    </row>
    <row r="301" spans="1:23" x14ac:dyDescent="0.5">
      <c r="A301" t="s">
        <v>302</v>
      </c>
      <c r="B301">
        <v>41.304911506728054</v>
      </c>
      <c r="C301">
        <v>9.1300000000003406E-2</v>
      </c>
      <c r="E301" t="s">
        <v>302</v>
      </c>
      <c r="F301">
        <v>46.343918375749951</v>
      </c>
      <c r="G301">
        <v>0.10820000000000389</v>
      </c>
      <c r="I301" t="s">
        <v>302</v>
      </c>
      <c r="J301">
        <v>34.984109940601456</v>
      </c>
      <c r="K301">
        <v>0.11070000000000396</v>
      </c>
      <c r="M301" t="s">
        <v>302</v>
      </c>
      <c r="N301">
        <v>81.08094243496555</v>
      </c>
      <c r="O301">
        <v>0.12090000000000425</v>
      </c>
      <c r="Q301" t="s">
        <v>302</v>
      </c>
      <c r="R301">
        <v>42.107262222892729</v>
      </c>
      <c r="S301">
        <v>0.11650000000000413</v>
      </c>
      <c r="U301" t="s">
        <v>302</v>
      </c>
      <c r="V301">
        <v>39.602163055631252</v>
      </c>
      <c r="W301">
        <v>0.10020000000000366</v>
      </c>
    </row>
    <row r="302" spans="1:23" x14ac:dyDescent="0.5">
      <c r="A302" t="s">
        <v>303</v>
      </c>
      <c r="B302">
        <v>26.075120006205619</v>
      </c>
      <c r="C302">
        <v>7.2300000000002862E-2</v>
      </c>
      <c r="E302" t="s">
        <v>303</v>
      </c>
      <c r="F302">
        <v>38.086333979895706</v>
      </c>
      <c r="G302">
        <v>9.6300000000003549E-2</v>
      </c>
      <c r="I302" t="s">
        <v>303</v>
      </c>
      <c r="J302">
        <v>28.64426263660399</v>
      </c>
      <c r="K302">
        <v>0.10890000000000391</v>
      </c>
      <c r="M302" t="s">
        <v>303</v>
      </c>
      <c r="N302">
        <v>39.541350307714303</v>
      </c>
      <c r="O302">
        <v>0.10600000000000383</v>
      </c>
      <c r="Q302" t="s">
        <v>303</v>
      </c>
      <c r="R302">
        <v>28.858352000979178</v>
      </c>
      <c r="S302">
        <v>0.11310000000000403</v>
      </c>
      <c r="U302" t="s">
        <v>303</v>
      </c>
      <c r="V302">
        <v>36.484302141330822</v>
      </c>
      <c r="W302">
        <v>8.2800000000003163E-2</v>
      </c>
    </row>
    <row r="303" spans="1:23" x14ac:dyDescent="0.5">
      <c r="A303" t="s">
        <v>304</v>
      </c>
      <c r="B303">
        <v>34.629887168432099</v>
      </c>
      <c r="C303">
        <v>7.8800000000003048E-2</v>
      </c>
      <c r="E303" t="s">
        <v>304</v>
      </c>
      <c r="F303">
        <v>54.31184704811438</v>
      </c>
      <c r="G303">
        <v>9.7800000000003592E-2</v>
      </c>
      <c r="I303" t="s">
        <v>304</v>
      </c>
      <c r="J303">
        <v>37.494774802079242</v>
      </c>
      <c r="K303">
        <v>0.1017000000000037</v>
      </c>
      <c r="M303" t="s">
        <v>304</v>
      </c>
      <c r="N303">
        <v>94.985483117342753</v>
      </c>
      <c r="O303">
        <v>0.11240000000000401</v>
      </c>
      <c r="Q303" t="s">
        <v>304</v>
      </c>
      <c r="R303">
        <v>48.299922346835523</v>
      </c>
      <c r="S303">
        <v>9.6000000000003541E-2</v>
      </c>
      <c r="U303" t="s">
        <v>304</v>
      </c>
      <c r="V303">
        <v>63.863453206616612</v>
      </c>
      <c r="W303">
        <v>9.1200000000003403E-2</v>
      </c>
    </row>
    <row r="304" spans="1:23" x14ac:dyDescent="0.5">
      <c r="A304" t="s">
        <v>305</v>
      </c>
      <c r="B304">
        <v>41.698530807418891</v>
      </c>
      <c r="C304">
        <v>8.0500000000003097E-2</v>
      </c>
      <c r="E304" t="s">
        <v>305</v>
      </c>
      <c r="F304">
        <v>46.385028590332631</v>
      </c>
      <c r="G304">
        <v>0.10450000000000378</v>
      </c>
      <c r="I304" t="s">
        <v>305</v>
      </c>
      <c r="J304">
        <v>39.215405366256157</v>
      </c>
      <c r="K304">
        <v>0.10370000000000376</v>
      </c>
      <c r="M304" t="s">
        <v>305</v>
      </c>
      <c r="N304">
        <v>75.89664285000822</v>
      </c>
      <c r="O304">
        <v>0.11310000000000403</v>
      </c>
      <c r="Q304" t="s">
        <v>305</v>
      </c>
      <c r="R304">
        <v>47.796145220283535</v>
      </c>
      <c r="S304">
        <v>9.1500000000003412E-2</v>
      </c>
      <c r="U304" t="s">
        <v>305</v>
      </c>
      <c r="V304">
        <v>53.98793490625296</v>
      </c>
      <c r="W304">
        <v>8.5100000000003229E-2</v>
      </c>
    </row>
    <row r="305" spans="1:23" x14ac:dyDescent="0.5">
      <c r="A305" t="s">
        <v>306</v>
      </c>
      <c r="B305">
        <v>36.481235153772616</v>
      </c>
      <c r="C305">
        <v>8.8800000000003335E-2</v>
      </c>
      <c r="E305" t="s">
        <v>306</v>
      </c>
      <c r="F305">
        <v>41.17252787841332</v>
      </c>
      <c r="G305">
        <v>0.10210000000000372</v>
      </c>
      <c r="I305" t="s">
        <v>306</v>
      </c>
      <c r="J305">
        <v>39.811558742745454</v>
      </c>
      <c r="K305">
        <v>0.11480000000000408</v>
      </c>
      <c r="M305" t="s">
        <v>306</v>
      </c>
      <c r="N305">
        <v>59.82708211142532</v>
      </c>
      <c r="O305">
        <v>0.12680000000000416</v>
      </c>
      <c r="Q305" t="s">
        <v>306</v>
      </c>
      <c r="R305">
        <v>47.741557919139701</v>
      </c>
      <c r="S305">
        <v>0.10960000000000393</v>
      </c>
      <c r="U305" t="s">
        <v>306</v>
      </c>
      <c r="V305">
        <v>56.484778705128058</v>
      </c>
      <c r="W305">
        <v>0.10820000000000389</v>
      </c>
    </row>
    <row r="306" spans="1:23" x14ac:dyDescent="0.5">
      <c r="A306" t="s">
        <v>307</v>
      </c>
      <c r="B306">
        <v>36.669517631790349</v>
      </c>
      <c r="C306">
        <v>9.6100000000003544E-2</v>
      </c>
      <c r="E306" t="s">
        <v>307</v>
      </c>
      <c r="F306">
        <v>60.193499154682776</v>
      </c>
      <c r="G306">
        <v>0.10830000000000389</v>
      </c>
      <c r="I306" t="s">
        <v>307</v>
      </c>
      <c r="J306">
        <v>47.722543113688431</v>
      </c>
      <c r="K306">
        <v>0.12280000000000431</v>
      </c>
      <c r="M306" t="s">
        <v>307</v>
      </c>
      <c r="N306">
        <v>62.420542810312575</v>
      </c>
      <c r="O306">
        <v>0.32129999999998277</v>
      </c>
      <c r="Q306" t="s">
        <v>307</v>
      </c>
      <c r="R306">
        <v>35.821695068699746</v>
      </c>
      <c r="S306">
        <v>0.12130000000000427</v>
      </c>
      <c r="U306" t="s">
        <v>307</v>
      </c>
      <c r="V306">
        <v>45.429047538059706</v>
      </c>
      <c r="W306">
        <v>7.9600000000003071E-2</v>
      </c>
    </row>
    <row r="307" spans="1:23" x14ac:dyDescent="0.5">
      <c r="A307" t="s">
        <v>308</v>
      </c>
      <c r="B307">
        <v>42.003914250243731</v>
      </c>
      <c r="C307">
        <v>0.10380000000000376</v>
      </c>
      <c r="E307" t="s">
        <v>308</v>
      </c>
      <c r="F307">
        <v>44.802107429123282</v>
      </c>
      <c r="G307">
        <v>9.8900000000003624E-2</v>
      </c>
      <c r="I307" t="s">
        <v>308</v>
      </c>
      <c r="J307">
        <v>36.593319895635425</v>
      </c>
      <c r="K307">
        <v>8.7900000000003309E-2</v>
      </c>
      <c r="M307" t="s">
        <v>308</v>
      </c>
      <c r="N307">
        <v>67.855385634000584</v>
      </c>
      <c r="O307">
        <v>0.12010000000000423</v>
      </c>
      <c r="Q307" t="s">
        <v>308</v>
      </c>
      <c r="R307">
        <v>46.107538271601911</v>
      </c>
      <c r="S307">
        <v>7.920000000000306E-2</v>
      </c>
      <c r="U307" t="s">
        <v>308</v>
      </c>
      <c r="V307">
        <v>41.748779888217776</v>
      </c>
      <c r="W307">
        <v>7.850000000000304E-2</v>
      </c>
    </row>
    <row r="308" spans="1:23" x14ac:dyDescent="0.5">
      <c r="A308" t="s">
        <v>309</v>
      </c>
      <c r="B308">
        <v>40.024056942984558</v>
      </c>
      <c r="C308">
        <v>8.3200000000003174E-2</v>
      </c>
      <c r="E308" t="s">
        <v>309</v>
      </c>
      <c r="F308">
        <v>70.458773227593682</v>
      </c>
      <c r="G308">
        <v>0.12520000000000434</v>
      </c>
      <c r="I308" t="s">
        <v>309</v>
      </c>
      <c r="J308">
        <v>45.472713562206778</v>
      </c>
      <c r="K308">
        <v>0.11140000000000398</v>
      </c>
      <c r="M308" t="s">
        <v>309</v>
      </c>
      <c r="N308">
        <v>102.62984538606656</v>
      </c>
      <c r="O308">
        <v>0.1155000000000041</v>
      </c>
      <c r="Q308" t="s">
        <v>309</v>
      </c>
      <c r="R308">
        <v>63.304871994727385</v>
      </c>
      <c r="S308">
        <v>9.3500000000003469E-2</v>
      </c>
      <c r="U308" t="s">
        <v>309</v>
      </c>
      <c r="V308">
        <v>69.907732123138317</v>
      </c>
      <c r="W308">
        <v>8.8400000000003323E-2</v>
      </c>
    </row>
    <row r="309" spans="1:23" x14ac:dyDescent="0.5">
      <c r="A309" t="s">
        <v>310</v>
      </c>
      <c r="B309">
        <v>38.49879160139907</v>
      </c>
      <c r="C309">
        <v>7.9400000000003065E-2</v>
      </c>
      <c r="E309" t="s">
        <v>310</v>
      </c>
      <c r="F309">
        <v>38.75927042846854</v>
      </c>
      <c r="G309">
        <v>0.11940000000000421</v>
      </c>
      <c r="I309" t="s">
        <v>310</v>
      </c>
      <c r="J309">
        <v>38.550775930999265</v>
      </c>
      <c r="K309">
        <v>0.11830000000000418</v>
      </c>
      <c r="M309" t="s">
        <v>310</v>
      </c>
      <c r="N309">
        <v>53.932025993482732</v>
      </c>
      <c r="O309">
        <v>0.12120000000000426</v>
      </c>
      <c r="Q309" t="s">
        <v>310</v>
      </c>
      <c r="R309">
        <v>39.362820289872026</v>
      </c>
      <c r="S309">
        <v>0.11050000000000396</v>
      </c>
      <c r="U309" t="s">
        <v>310</v>
      </c>
      <c r="V309">
        <v>48.94745679306579</v>
      </c>
      <c r="W309">
        <v>0.10030000000000366</v>
      </c>
    </row>
    <row r="310" spans="1:23" x14ac:dyDescent="0.5">
      <c r="A310" t="s">
        <v>311</v>
      </c>
      <c r="B310">
        <v>24.330704007117632</v>
      </c>
      <c r="C310">
        <v>0.10819999996294744</v>
      </c>
      <c r="E310" t="s">
        <v>311</v>
      </c>
      <c r="F310">
        <v>32.566557211378807</v>
      </c>
      <c r="G310">
        <v>0.11649999996294767</v>
      </c>
      <c r="I310" t="s">
        <v>311</v>
      </c>
      <c r="J310">
        <v>27.792657290906391</v>
      </c>
      <c r="K310">
        <v>0.11779999996294771</v>
      </c>
    </row>
    <row r="311" spans="1:23" x14ac:dyDescent="0.5">
      <c r="A311" t="s">
        <v>312</v>
      </c>
      <c r="B311">
        <v>31.412941607407177</v>
      </c>
      <c r="C311">
        <v>0.1035999999629473</v>
      </c>
      <c r="E311" t="s">
        <v>312</v>
      </c>
      <c r="F311">
        <v>43.800542627524251</v>
      </c>
      <c r="G311">
        <v>0.1210999999629478</v>
      </c>
      <c r="I311" t="s">
        <v>312</v>
      </c>
      <c r="J311">
        <v>35.143744464413523</v>
      </c>
      <c r="K311">
        <v>0.10749999996294742</v>
      </c>
    </row>
    <row r="312" spans="1:23" x14ac:dyDescent="0.5">
      <c r="A312" t="s">
        <v>313</v>
      </c>
      <c r="B312">
        <v>54.607294112869567</v>
      </c>
      <c r="C312">
        <v>0.10419999996294732</v>
      </c>
      <c r="E312" t="s">
        <v>313</v>
      </c>
      <c r="F312">
        <v>52.632609043525022</v>
      </c>
      <c r="G312">
        <v>9.8299999962947152E-2</v>
      </c>
      <c r="I312" t="s">
        <v>313</v>
      </c>
      <c r="J312">
        <v>37.835214545256299</v>
      </c>
      <c r="K312">
        <v>9.8199999962947149E-2</v>
      </c>
    </row>
    <row r="313" spans="1:23" x14ac:dyDescent="0.5">
      <c r="A313" t="s">
        <v>314</v>
      </c>
      <c r="B313">
        <v>29.503804908039722</v>
      </c>
      <c r="C313">
        <v>0.10940000000000392</v>
      </c>
      <c r="E313" t="s">
        <v>314</v>
      </c>
      <c r="F313">
        <v>32.764067252634383</v>
      </c>
      <c r="G313">
        <v>0.12100000000000426</v>
      </c>
      <c r="I313" t="s">
        <v>314</v>
      </c>
      <c r="J313">
        <v>28.771800123976707</v>
      </c>
      <c r="K313">
        <v>9.1300000000003406E-2</v>
      </c>
      <c r="M313" t="s">
        <v>314</v>
      </c>
      <c r="N313">
        <v>38.261331644557025</v>
      </c>
      <c r="O313">
        <v>0.11170000000000399</v>
      </c>
      <c r="Q313" t="s">
        <v>314</v>
      </c>
      <c r="R313">
        <v>27.958583877358997</v>
      </c>
      <c r="S313">
        <v>0.12830000000000399</v>
      </c>
      <c r="U313" t="s">
        <v>314</v>
      </c>
      <c r="V313">
        <v>30.50919465908223</v>
      </c>
      <c r="W313">
        <v>0.10000000000000366</v>
      </c>
    </row>
    <row r="314" spans="1:23" x14ac:dyDescent="0.5">
      <c r="A314" t="s">
        <v>315</v>
      </c>
      <c r="B314">
        <v>40.98610612535073</v>
      </c>
      <c r="C314">
        <v>9.64999999629471E-2</v>
      </c>
      <c r="E314" t="s">
        <v>315</v>
      </c>
      <c r="F314">
        <v>45.9020549212362</v>
      </c>
      <c r="G314">
        <v>0.10779999996294742</v>
      </c>
      <c r="I314" t="s">
        <v>315</v>
      </c>
      <c r="J314">
        <v>35.681225919893571</v>
      </c>
      <c r="K314">
        <v>0.10649999996294739</v>
      </c>
    </row>
    <row r="315" spans="1:23" x14ac:dyDescent="0.5">
      <c r="A315" t="s">
        <v>316</v>
      </c>
      <c r="B315">
        <v>46.447242819009112</v>
      </c>
      <c r="C315">
        <v>8.200000000000314E-2</v>
      </c>
      <c r="E315" t="s">
        <v>316</v>
      </c>
      <c r="F315">
        <v>65.844239348100871</v>
      </c>
      <c r="G315">
        <v>0.11820000000000418</v>
      </c>
      <c r="I315" t="s">
        <v>316</v>
      </c>
      <c r="J315">
        <v>48.156013400081314</v>
      </c>
      <c r="K315">
        <v>0.11370000000000405</v>
      </c>
      <c r="M315" t="s">
        <v>316</v>
      </c>
      <c r="N315">
        <v>60.66820390947111</v>
      </c>
      <c r="O315">
        <v>0.26749999999998869</v>
      </c>
      <c r="Q315" t="s">
        <v>316</v>
      </c>
      <c r="R315">
        <v>37.526736286113625</v>
      </c>
      <c r="S315">
        <v>0.11000000000000394</v>
      </c>
      <c r="U315" t="s">
        <v>316</v>
      </c>
      <c r="V315">
        <v>47.030583671979095</v>
      </c>
      <c r="W315">
        <v>0.11060000000000396</v>
      </c>
    </row>
    <row r="316" spans="1:23" x14ac:dyDescent="0.5">
      <c r="A316" t="s">
        <v>317</v>
      </c>
      <c r="B316">
        <v>53.273556394204952</v>
      </c>
      <c r="C316">
        <v>0.4589999999999676</v>
      </c>
      <c r="E316" t="s">
        <v>317</v>
      </c>
      <c r="F316">
        <v>53.291926351940724</v>
      </c>
      <c r="G316">
        <v>0.1015000000000037</v>
      </c>
      <c r="I316" t="s">
        <v>317</v>
      </c>
      <c r="J316">
        <v>42.898401254146748</v>
      </c>
      <c r="K316">
        <v>0.10720000000000386</v>
      </c>
      <c r="M316" t="s">
        <v>317</v>
      </c>
      <c r="N316">
        <v>88.218692635561098</v>
      </c>
      <c r="O316">
        <v>0.10550000000000381</v>
      </c>
      <c r="Q316" t="s">
        <v>317</v>
      </c>
      <c r="R316">
        <v>48.066252482067078</v>
      </c>
      <c r="S316">
        <v>7.7100000000002999E-2</v>
      </c>
      <c r="U316" t="s">
        <v>317</v>
      </c>
      <c r="V316">
        <v>53.099692426108099</v>
      </c>
      <c r="W316">
        <v>8.1400000000003123E-2</v>
      </c>
    </row>
    <row r="317" spans="1:23" x14ac:dyDescent="0.5">
      <c r="A317" t="s">
        <v>318</v>
      </c>
      <c r="B317">
        <v>46.802268277669363</v>
      </c>
      <c r="C317">
        <v>7.6700000000002988E-2</v>
      </c>
      <c r="E317" t="s">
        <v>318</v>
      </c>
      <c r="F317">
        <v>92.71655333352669</v>
      </c>
      <c r="G317">
        <v>0.12180000000000428</v>
      </c>
      <c r="I317" t="s">
        <v>318</v>
      </c>
      <c r="J317">
        <v>37.730618534777534</v>
      </c>
      <c r="K317">
        <v>9.5600000000003529E-2</v>
      </c>
      <c r="M317" t="s">
        <v>318</v>
      </c>
      <c r="N317">
        <v>78.128328792102948</v>
      </c>
      <c r="O317">
        <v>0.10420000000000378</v>
      </c>
      <c r="Q317" t="s">
        <v>318</v>
      </c>
      <c r="R317">
        <v>50.847317113123943</v>
      </c>
      <c r="S317">
        <v>0.10750000000000387</v>
      </c>
      <c r="U317" t="s">
        <v>318</v>
      </c>
      <c r="V317">
        <v>66.391827900365172</v>
      </c>
      <c r="W317">
        <v>9.9700000000003647E-2</v>
      </c>
    </row>
    <row r="318" spans="1:23" x14ac:dyDescent="0.5">
      <c r="A318" t="s">
        <v>319</v>
      </c>
      <c r="B318">
        <v>42.412498459273891</v>
      </c>
      <c r="C318">
        <v>8.1600000000003128E-2</v>
      </c>
      <c r="E318" t="s">
        <v>319</v>
      </c>
      <c r="F318">
        <v>47.869083396161024</v>
      </c>
      <c r="G318">
        <v>0.10090000000000368</v>
      </c>
      <c r="I318" t="s">
        <v>319</v>
      </c>
      <c r="J318">
        <v>47.904727928635523</v>
      </c>
      <c r="K318">
        <v>0.1050000000000038</v>
      </c>
      <c r="M318" t="s">
        <v>319</v>
      </c>
      <c r="N318">
        <v>79.902423108182404</v>
      </c>
      <c r="O318">
        <v>0.11080000000000396</v>
      </c>
      <c r="Q318" t="s">
        <v>319</v>
      </c>
      <c r="R318">
        <v>51.676039511059585</v>
      </c>
      <c r="S318">
        <v>8.7400000000003294E-2</v>
      </c>
      <c r="U318" t="s">
        <v>319</v>
      </c>
      <c r="V318">
        <v>55.370175153556943</v>
      </c>
      <c r="W318">
        <v>8.6600000000003272E-2</v>
      </c>
    </row>
    <row r="319" spans="1:23" x14ac:dyDescent="0.5">
      <c r="A319" t="s">
        <v>320</v>
      </c>
      <c r="B319">
        <v>43.129192943572363</v>
      </c>
      <c r="C319">
        <v>9.6900000000003567E-2</v>
      </c>
      <c r="E319" t="s">
        <v>320</v>
      </c>
      <c r="F319">
        <v>47.995904688525385</v>
      </c>
      <c r="G319">
        <v>0.10900000000000391</v>
      </c>
      <c r="I319" t="s">
        <v>320</v>
      </c>
      <c r="J319">
        <v>45.064614643292593</v>
      </c>
      <c r="K319">
        <v>9.910000000000363E-2</v>
      </c>
      <c r="M319" t="s">
        <v>320</v>
      </c>
      <c r="N319">
        <v>58.866056536048077</v>
      </c>
      <c r="O319">
        <v>0.11980000000000422</v>
      </c>
      <c r="Q319" t="s">
        <v>320</v>
      </c>
      <c r="R319">
        <v>42.04265483586525</v>
      </c>
      <c r="S319">
        <v>0.112200000000004</v>
      </c>
      <c r="U319" t="s">
        <v>320</v>
      </c>
      <c r="V319">
        <v>42.819930080939862</v>
      </c>
      <c r="W319">
        <v>9.8200000000003604E-2</v>
      </c>
    </row>
    <row r="320" spans="1:23" x14ac:dyDescent="0.5">
      <c r="A320" t="s">
        <v>321</v>
      </c>
      <c r="B320">
        <v>45.9449518018085</v>
      </c>
      <c r="C320">
        <v>9.1900000000003423E-2</v>
      </c>
      <c r="E320" t="s">
        <v>321</v>
      </c>
      <c r="F320">
        <v>51.055844163285109</v>
      </c>
      <c r="G320">
        <v>0.11880000000000419</v>
      </c>
      <c r="I320" t="s">
        <v>321</v>
      </c>
      <c r="J320">
        <v>41.905613991965801</v>
      </c>
      <c r="K320">
        <v>0.10650000000000384</v>
      </c>
      <c r="M320" t="s">
        <v>321</v>
      </c>
      <c r="N320">
        <v>55.851024226232774</v>
      </c>
      <c r="O320">
        <v>0.10890000000000391</v>
      </c>
      <c r="Q320" t="s">
        <v>321</v>
      </c>
      <c r="R320">
        <v>40.32321671601192</v>
      </c>
      <c r="S320">
        <v>9.840000000000361E-2</v>
      </c>
      <c r="U320" t="s">
        <v>321</v>
      </c>
      <c r="V320">
        <v>44.401526708481548</v>
      </c>
      <c r="W320">
        <v>8.7700000000003303E-2</v>
      </c>
    </row>
    <row r="321" spans="1:23" x14ac:dyDescent="0.5">
      <c r="A321" t="s">
        <v>322</v>
      </c>
      <c r="B321">
        <v>42.636968146421673</v>
      </c>
      <c r="C321">
        <v>7.9000000000003054E-2</v>
      </c>
      <c r="E321" t="s">
        <v>322</v>
      </c>
      <c r="F321">
        <v>38.837417480279591</v>
      </c>
      <c r="G321">
        <v>0.13760000000000297</v>
      </c>
      <c r="I321" t="s">
        <v>322</v>
      </c>
      <c r="J321">
        <v>35.092620171238067</v>
      </c>
      <c r="K321">
        <v>0.10760000000000387</v>
      </c>
      <c r="M321" t="s">
        <v>322</v>
      </c>
      <c r="N321">
        <v>58.503727849304084</v>
      </c>
      <c r="O321">
        <v>0.11260000000000402</v>
      </c>
      <c r="Q321" t="s">
        <v>322</v>
      </c>
      <c r="R321">
        <v>33.114424665550388</v>
      </c>
      <c r="S321">
        <v>8.1200000000003117E-2</v>
      </c>
      <c r="U321" t="s">
        <v>322</v>
      </c>
      <c r="V321">
        <v>45.926954773409733</v>
      </c>
      <c r="W321">
        <v>7.9600000000003071E-2</v>
      </c>
    </row>
    <row r="322" spans="1:23" x14ac:dyDescent="0.5">
      <c r="A322" t="s">
        <v>323</v>
      </c>
      <c r="B322">
        <v>50.374843659396923</v>
      </c>
      <c r="C322">
        <v>7.6500000000002982E-2</v>
      </c>
      <c r="E322" t="s">
        <v>323</v>
      </c>
      <c r="F322">
        <v>47.062714757123118</v>
      </c>
      <c r="G322">
        <v>0.10050000000000367</v>
      </c>
      <c r="I322" t="s">
        <v>323</v>
      </c>
      <c r="J322">
        <v>43.26384084453845</v>
      </c>
      <c r="K322">
        <v>0.10230000000000372</v>
      </c>
      <c r="M322" t="s">
        <v>323</v>
      </c>
      <c r="N322">
        <v>53.940392697458115</v>
      </c>
      <c r="O322">
        <v>0.12010000000000423</v>
      </c>
      <c r="Q322" t="s">
        <v>323</v>
      </c>
      <c r="R322">
        <v>41.195092807441988</v>
      </c>
      <c r="S322">
        <v>8.3900000000003194E-2</v>
      </c>
      <c r="U322" t="s">
        <v>323</v>
      </c>
      <c r="V322">
        <v>45.03550073464546</v>
      </c>
      <c r="W322">
        <v>0.11840000000000418</v>
      </c>
    </row>
    <row r="323" spans="1:23" x14ac:dyDescent="0.5">
      <c r="A323" t="s">
        <v>324</v>
      </c>
      <c r="B323">
        <v>50.674731928673886</v>
      </c>
      <c r="C323">
        <v>4.2400000000002012E-2</v>
      </c>
      <c r="E323" t="s">
        <v>324</v>
      </c>
      <c r="F323">
        <v>48.907716912250478</v>
      </c>
      <c r="G323">
        <v>0.10100000000000368</v>
      </c>
      <c r="I323" t="s">
        <v>324</v>
      </c>
      <c r="J323">
        <v>42.492777131254464</v>
      </c>
      <c r="K323">
        <v>9.3300000000003463E-2</v>
      </c>
      <c r="M323" t="s">
        <v>324</v>
      </c>
      <c r="N323">
        <v>98.874445439375535</v>
      </c>
      <c r="O323">
        <v>0.10290000000000374</v>
      </c>
      <c r="Q323" t="s">
        <v>324</v>
      </c>
      <c r="R323">
        <v>54.601524369311818</v>
      </c>
      <c r="S323">
        <v>9.1500000000003412E-2</v>
      </c>
      <c r="U323" t="s">
        <v>324</v>
      </c>
      <c r="V323">
        <v>77.632830899792808</v>
      </c>
      <c r="W323">
        <v>8.0400000000003094E-2</v>
      </c>
    </row>
    <row r="324" spans="1:23" x14ac:dyDescent="0.5">
      <c r="A324" t="s">
        <v>325</v>
      </c>
      <c r="B324">
        <v>34.876217456556184</v>
      </c>
      <c r="C324">
        <v>8.7900000000003309E-2</v>
      </c>
      <c r="E324" t="s">
        <v>325</v>
      </c>
      <c r="F324">
        <v>51.735780562758855</v>
      </c>
      <c r="G324">
        <v>9.6100000000003544E-2</v>
      </c>
      <c r="I324" t="s">
        <v>325</v>
      </c>
      <c r="J324">
        <v>43.89346213069841</v>
      </c>
      <c r="K324">
        <v>0.10070000000000368</v>
      </c>
      <c r="M324" t="s">
        <v>325</v>
      </c>
      <c r="N324">
        <v>87.782558383550025</v>
      </c>
      <c r="O324">
        <v>0.10420000000000378</v>
      </c>
      <c r="Q324" t="s">
        <v>325</v>
      </c>
      <c r="R324">
        <v>48.833436596681643</v>
      </c>
      <c r="S324">
        <v>0.10820000000000389</v>
      </c>
      <c r="U324" t="s">
        <v>325</v>
      </c>
      <c r="V324">
        <v>43.786401960920458</v>
      </c>
      <c r="W324">
        <v>0.10560000000000382</v>
      </c>
    </row>
    <row r="325" spans="1:23" x14ac:dyDescent="0.5">
      <c r="A325" t="s">
        <v>326</v>
      </c>
      <c r="B325">
        <v>32.836837501601664</v>
      </c>
      <c r="C325">
        <v>8.6000000000003254E-2</v>
      </c>
      <c r="E325" t="s">
        <v>326</v>
      </c>
      <c r="F325">
        <v>45.961563967796508</v>
      </c>
      <c r="G325">
        <v>9.3300000000003463E-2</v>
      </c>
      <c r="I325" t="s">
        <v>326</v>
      </c>
      <c r="J325">
        <v>37.412107817572313</v>
      </c>
      <c r="K325">
        <v>0.10120000000000369</v>
      </c>
      <c r="M325" t="s">
        <v>326</v>
      </c>
      <c r="N325">
        <v>86.642386811929143</v>
      </c>
      <c r="O325">
        <v>0.10620000000000383</v>
      </c>
      <c r="Q325" t="s">
        <v>326</v>
      </c>
      <c r="R325">
        <v>50.593895130025722</v>
      </c>
      <c r="S325">
        <v>0.10750000000000387</v>
      </c>
      <c r="U325" t="s">
        <v>326</v>
      </c>
      <c r="V325">
        <v>53.324144708270509</v>
      </c>
      <c r="W325">
        <v>0.10590000000000382</v>
      </c>
    </row>
    <row r="326" spans="1:23" x14ac:dyDescent="0.5">
      <c r="A326" t="s">
        <v>327</v>
      </c>
      <c r="B326">
        <v>52.122463050959993</v>
      </c>
      <c r="C326">
        <v>8.2500000000003154E-2</v>
      </c>
      <c r="E326" t="s">
        <v>327</v>
      </c>
      <c r="F326">
        <v>36.541313586624227</v>
      </c>
      <c r="G326">
        <v>0.11410000000000406</v>
      </c>
      <c r="I326" t="s">
        <v>327</v>
      </c>
      <c r="J326">
        <v>36.74830373515541</v>
      </c>
      <c r="K326">
        <v>0.12220000000000429</v>
      </c>
      <c r="M326" t="s">
        <v>327</v>
      </c>
      <c r="N326">
        <v>47.797726667624687</v>
      </c>
      <c r="O326">
        <v>0.12710000000000413</v>
      </c>
      <c r="Q326" t="s">
        <v>327</v>
      </c>
      <c r="R326">
        <v>35.965754379891656</v>
      </c>
      <c r="S326">
        <v>0.11580000000000411</v>
      </c>
      <c r="U326" t="s">
        <v>327</v>
      </c>
      <c r="V326">
        <v>45.451199558702818</v>
      </c>
      <c r="W326">
        <v>0.10000000000000366</v>
      </c>
    </row>
    <row r="327" spans="1:23" x14ac:dyDescent="0.5">
      <c r="A327" t="s">
        <v>328</v>
      </c>
      <c r="B327">
        <v>65.039212973558605</v>
      </c>
      <c r="C327">
        <v>6.1800000000002568E-2</v>
      </c>
      <c r="E327" t="s">
        <v>328</v>
      </c>
      <c r="F327">
        <v>50.643818811775894</v>
      </c>
      <c r="G327">
        <v>0.10410000000000377</v>
      </c>
      <c r="I327" t="s">
        <v>328</v>
      </c>
      <c r="J327">
        <v>34.47755477329045</v>
      </c>
      <c r="K327">
        <v>0.1052000000000038</v>
      </c>
      <c r="M327" t="s">
        <v>328</v>
      </c>
      <c r="N327">
        <v>54.632686040567791</v>
      </c>
      <c r="O327">
        <v>0.12360000000000433</v>
      </c>
      <c r="Q327" t="s">
        <v>328</v>
      </c>
      <c r="R327">
        <v>34.348399407830271</v>
      </c>
      <c r="S327">
        <v>0.112100000000004</v>
      </c>
      <c r="U327" t="s">
        <v>328</v>
      </c>
      <c r="V327">
        <v>48.614802908337651</v>
      </c>
      <c r="W327">
        <v>0.11520000000000409</v>
      </c>
    </row>
    <row r="328" spans="1:23" x14ac:dyDescent="0.5">
      <c r="A328" t="s">
        <v>329</v>
      </c>
      <c r="B328">
        <v>29.934559438563454</v>
      </c>
      <c r="C328">
        <v>8.550000000000324E-2</v>
      </c>
      <c r="E328" t="s">
        <v>329</v>
      </c>
      <c r="F328">
        <v>47.188799547207687</v>
      </c>
      <c r="G328">
        <v>0.10640000000000384</v>
      </c>
      <c r="I328" t="s">
        <v>329</v>
      </c>
      <c r="J328">
        <v>37.371194836972272</v>
      </c>
      <c r="K328">
        <v>0.11150000000000398</v>
      </c>
      <c r="M328" t="s">
        <v>329</v>
      </c>
      <c r="N328">
        <v>101.09277674843518</v>
      </c>
      <c r="O328">
        <v>0.20399999999999566</v>
      </c>
      <c r="Q328" t="s">
        <v>329</v>
      </c>
      <c r="R328">
        <v>42.270802265545768</v>
      </c>
      <c r="S328">
        <v>0.12270000000000431</v>
      </c>
      <c r="U328" t="s">
        <v>329</v>
      </c>
      <c r="V328">
        <v>42.426223504112144</v>
      </c>
      <c r="W328">
        <v>9.4200000000003489E-2</v>
      </c>
    </row>
    <row r="329" spans="1:23" x14ac:dyDescent="0.5">
      <c r="A329" t="s">
        <v>330</v>
      </c>
      <c r="B329">
        <v>32.521814191008382</v>
      </c>
      <c r="C329">
        <v>7.7100000000002999E-2</v>
      </c>
      <c r="E329" t="s">
        <v>330</v>
      </c>
      <c r="F329">
        <v>43.86622449604706</v>
      </c>
      <c r="G329">
        <v>0.10580000000000382</v>
      </c>
      <c r="I329" t="s">
        <v>330</v>
      </c>
      <c r="J329">
        <v>45.343906369861614</v>
      </c>
      <c r="K329">
        <v>0.12510000000000435</v>
      </c>
      <c r="M329" t="s">
        <v>330</v>
      </c>
      <c r="N329">
        <v>92.625706392874378</v>
      </c>
      <c r="O329">
        <v>0.12230000000000429</v>
      </c>
      <c r="Q329" t="s">
        <v>330</v>
      </c>
      <c r="R329">
        <v>51.07710656754027</v>
      </c>
      <c r="S329">
        <v>0.12120000000000426</v>
      </c>
      <c r="U329" t="s">
        <v>330</v>
      </c>
      <c r="V329">
        <v>42.814211370697301</v>
      </c>
      <c r="W329">
        <v>0.11720000000000415</v>
      </c>
    </row>
    <row r="330" spans="1:23" x14ac:dyDescent="0.5">
      <c r="A330" t="s">
        <v>331</v>
      </c>
      <c r="B330">
        <v>68.79301063625195</v>
      </c>
      <c r="C330">
        <v>0.12010000000000423</v>
      </c>
      <c r="E330" t="s">
        <v>331</v>
      </c>
      <c r="F330">
        <v>75.835480204085954</v>
      </c>
      <c r="G330">
        <v>0.14260000000000242</v>
      </c>
      <c r="I330" t="s">
        <v>331</v>
      </c>
      <c r="J330">
        <v>32.875014269121294</v>
      </c>
      <c r="K330">
        <v>0.13310000000000347</v>
      </c>
      <c r="M330" t="s">
        <v>331</v>
      </c>
      <c r="N330">
        <v>68.807455206372808</v>
      </c>
      <c r="O330">
        <v>0.12790000000000404</v>
      </c>
      <c r="Q330" t="s">
        <v>331</v>
      </c>
      <c r="R330">
        <v>46.897358279534082</v>
      </c>
      <c r="S330">
        <v>0.12400000000000434</v>
      </c>
      <c r="U330" t="s">
        <v>331</v>
      </c>
      <c r="V330">
        <v>36.02426326829459</v>
      </c>
      <c r="W330">
        <v>0.11000000000000394</v>
      </c>
    </row>
    <row r="331" spans="1:23" x14ac:dyDescent="0.5">
      <c r="A331" t="s">
        <v>332</v>
      </c>
      <c r="B331">
        <v>50.329497233460238</v>
      </c>
      <c r="C331">
        <v>0.10240000000000372</v>
      </c>
      <c r="E331" t="s">
        <v>332</v>
      </c>
      <c r="F331">
        <v>41.857393558480112</v>
      </c>
      <c r="G331">
        <v>0.11590000000000411</v>
      </c>
      <c r="I331" t="s">
        <v>332</v>
      </c>
      <c r="J331">
        <v>37.47534109778185</v>
      </c>
      <c r="K331">
        <v>0.12430000000000435</v>
      </c>
      <c r="M331" t="s">
        <v>332</v>
      </c>
      <c r="N331">
        <v>61.226314123649118</v>
      </c>
      <c r="O331">
        <v>0.12380000000000434</v>
      </c>
      <c r="Q331" t="s">
        <v>332</v>
      </c>
      <c r="R331">
        <v>39.292928582314261</v>
      </c>
      <c r="S331">
        <v>0.12850000000000397</v>
      </c>
      <c r="U331" t="s">
        <v>332</v>
      </c>
      <c r="V331">
        <v>45.447802717093019</v>
      </c>
      <c r="W331">
        <v>0.13030000000000377</v>
      </c>
    </row>
    <row r="332" spans="1:23" x14ac:dyDescent="0.5">
      <c r="A332" t="s">
        <v>333</v>
      </c>
      <c r="B332">
        <v>34.608228120136289</v>
      </c>
      <c r="C332">
        <v>8.200000000000314E-2</v>
      </c>
      <c r="E332" t="s">
        <v>333</v>
      </c>
      <c r="F332">
        <v>50.562261367596193</v>
      </c>
      <c r="G332">
        <v>0.12900000000000392</v>
      </c>
      <c r="I332" t="s">
        <v>333</v>
      </c>
      <c r="J332">
        <v>43.808817596399081</v>
      </c>
      <c r="K332">
        <v>0.12390000000000434</v>
      </c>
      <c r="M332" t="s">
        <v>333</v>
      </c>
      <c r="N332">
        <v>58.765530272985153</v>
      </c>
      <c r="O332">
        <v>0.20639999999999539</v>
      </c>
      <c r="Q332" t="s">
        <v>333</v>
      </c>
      <c r="R332">
        <v>41.852994029914278</v>
      </c>
      <c r="S332">
        <v>0.10680000000000385</v>
      </c>
      <c r="U332" t="s">
        <v>333</v>
      </c>
      <c r="V332">
        <v>56.859090665158035</v>
      </c>
      <c r="W332">
        <v>0.10480000000000379</v>
      </c>
    </row>
    <row r="333" spans="1:23" x14ac:dyDescent="0.5">
      <c r="A333" t="s">
        <v>334</v>
      </c>
      <c r="B333">
        <v>37.238739511963942</v>
      </c>
      <c r="C333">
        <v>7.7600000000003014E-2</v>
      </c>
      <c r="E333" t="s">
        <v>334</v>
      </c>
      <c r="F333">
        <v>41.331733366315277</v>
      </c>
      <c r="G333">
        <v>9.4700000000003504E-2</v>
      </c>
      <c r="I333" t="s">
        <v>334</v>
      </c>
      <c r="J333">
        <v>36.363562624268596</v>
      </c>
      <c r="K333">
        <v>0.10610000000000383</v>
      </c>
      <c r="M333" t="s">
        <v>334</v>
      </c>
      <c r="N333">
        <v>66.756927443812842</v>
      </c>
      <c r="O333">
        <v>0.11230000000000401</v>
      </c>
      <c r="Q333" t="s">
        <v>334</v>
      </c>
      <c r="R333">
        <v>38.405313613926729</v>
      </c>
      <c r="S333">
        <v>0.12010000000000423</v>
      </c>
      <c r="U333" t="s">
        <v>334</v>
      </c>
      <c r="V333">
        <v>38.827553818836662</v>
      </c>
      <c r="W333">
        <v>8.4500000000003211E-2</v>
      </c>
    </row>
    <row r="334" spans="1:23" x14ac:dyDescent="0.5">
      <c r="A334" t="s">
        <v>335</v>
      </c>
      <c r="B334">
        <v>63.510146013555193</v>
      </c>
      <c r="C334">
        <v>8.3700000000003189E-2</v>
      </c>
      <c r="E334" t="s">
        <v>335</v>
      </c>
      <c r="F334">
        <v>42.392764520471097</v>
      </c>
      <c r="G334">
        <v>0.10270000000000373</v>
      </c>
      <c r="I334" t="s">
        <v>335</v>
      </c>
      <c r="J334">
        <v>33.354469240128317</v>
      </c>
      <c r="K334">
        <v>9.5900000000003538E-2</v>
      </c>
      <c r="M334" t="s">
        <v>335</v>
      </c>
      <c r="N334">
        <v>62.453220823858395</v>
      </c>
      <c r="O334">
        <v>0.12540000000000431</v>
      </c>
      <c r="Q334" t="s">
        <v>335</v>
      </c>
      <c r="R334">
        <v>37.837071608612206</v>
      </c>
      <c r="S334">
        <v>0.12880000000000394</v>
      </c>
      <c r="U334" t="s">
        <v>335</v>
      </c>
      <c r="V334">
        <v>45.207290236009662</v>
      </c>
      <c r="W334">
        <v>9.7900000000003595E-2</v>
      </c>
    </row>
    <row r="335" spans="1:23" x14ac:dyDescent="0.5">
      <c r="A335" t="s">
        <v>336</v>
      </c>
      <c r="B335">
        <v>47.782504144581488</v>
      </c>
      <c r="C335">
        <v>7.5700000000002959E-2</v>
      </c>
      <c r="E335" t="s">
        <v>336</v>
      </c>
      <c r="F335">
        <v>38.541640827116204</v>
      </c>
      <c r="G335">
        <v>0.10180000000000371</v>
      </c>
      <c r="I335" t="s">
        <v>336</v>
      </c>
      <c r="J335">
        <v>33.237629267602991</v>
      </c>
      <c r="K335">
        <v>0.10090000000000368</v>
      </c>
      <c r="M335" t="s">
        <v>336</v>
      </c>
      <c r="N335">
        <v>52.86233447200064</v>
      </c>
      <c r="O335">
        <v>0.12370000000000433</v>
      </c>
      <c r="Q335" t="s">
        <v>336</v>
      </c>
      <c r="R335">
        <v>38.229155693053606</v>
      </c>
      <c r="S335">
        <v>0.12600000000000425</v>
      </c>
      <c r="U335" t="s">
        <v>336</v>
      </c>
      <c r="V335">
        <v>39.160045303993009</v>
      </c>
      <c r="W335">
        <v>9.8200000000003604E-2</v>
      </c>
    </row>
    <row r="336" spans="1:23" x14ac:dyDescent="0.5">
      <c r="A336" t="s">
        <v>337</v>
      </c>
      <c r="B336">
        <v>44.025449895637863</v>
      </c>
      <c r="C336">
        <v>5.8500000000002474E-2</v>
      </c>
      <c r="E336" t="s">
        <v>337</v>
      </c>
      <c r="F336">
        <v>48.258101707416898</v>
      </c>
      <c r="G336">
        <v>0.10890000000000391</v>
      </c>
      <c r="I336" t="s">
        <v>337</v>
      </c>
      <c r="J336">
        <v>42.516604478052017</v>
      </c>
      <c r="K336">
        <v>0.10790000000000388</v>
      </c>
      <c r="M336" t="s">
        <v>337</v>
      </c>
      <c r="N336">
        <v>62.471539193739353</v>
      </c>
      <c r="O336">
        <v>0.11610000000000412</v>
      </c>
      <c r="Q336" t="s">
        <v>337</v>
      </c>
      <c r="R336">
        <v>36.736208910938394</v>
      </c>
      <c r="S336">
        <v>0.11610000000000412</v>
      </c>
      <c r="U336" t="s">
        <v>337</v>
      </c>
      <c r="V336">
        <v>46.419618720579344</v>
      </c>
      <c r="W336">
        <v>8.6600000000003272E-2</v>
      </c>
    </row>
    <row r="337" spans="1:23" x14ac:dyDescent="0.5">
      <c r="A337" t="s">
        <v>338</v>
      </c>
      <c r="B337">
        <v>45.559720051042142</v>
      </c>
      <c r="C337">
        <v>8.4600000000003214E-2</v>
      </c>
      <c r="E337" t="s">
        <v>338</v>
      </c>
      <c r="F337">
        <v>48.516745934485797</v>
      </c>
      <c r="G337">
        <v>0.10660000000000384</v>
      </c>
      <c r="I337" t="s">
        <v>338</v>
      </c>
      <c r="J337">
        <v>36.582716312577006</v>
      </c>
      <c r="K337">
        <v>0.10360000000000376</v>
      </c>
      <c r="M337" t="s">
        <v>338</v>
      </c>
      <c r="N337">
        <v>55.931908646824937</v>
      </c>
      <c r="O337">
        <v>0.2471999999999909</v>
      </c>
      <c r="Q337" t="s">
        <v>338</v>
      </c>
      <c r="R337">
        <v>31.771277493519065</v>
      </c>
      <c r="S337">
        <v>0.10480000000000379</v>
      </c>
      <c r="U337" t="s">
        <v>338</v>
      </c>
      <c r="V337">
        <v>41.410094056548928</v>
      </c>
      <c r="W337">
        <v>8.2300000000003148E-2</v>
      </c>
    </row>
    <row r="338" spans="1:23" x14ac:dyDescent="0.5">
      <c r="A338" t="s">
        <v>339</v>
      </c>
      <c r="B338">
        <v>32.758453261010054</v>
      </c>
      <c r="C338">
        <v>8.6800000000003277E-2</v>
      </c>
      <c r="E338" t="s">
        <v>339</v>
      </c>
      <c r="F338">
        <v>48.440151811463586</v>
      </c>
      <c r="G338">
        <v>0.10630000000000384</v>
      </c>
      <c r="I338" t="s">
        <v>339</v>
      </c>
      <c r="J338">
        <v>38.820111659269088</v>
      </c>
      <c r="K338">
        <v>0.10960000000000393</v>
      </c>
      <c r="M338" t="s">
        <v>339</v>
      </c>
      <c r="N338">
        <v>83.075781219189864</v>
      </c>
      <c r="O338">
        <v>0.11590000000000411</v>
      </c>
      <c r="Q338" t="s">
        <v>339</v>
      </c>
      <c r="R338">
        <v>45.275436286977559</v>
      </c>
      <c r="S338">
        <v>9.8600000000003615E-2</v>
      </c>
      <c r="U338" t="s">
        <v>339</v>
      </c>
      <c r="V338">
        <v>46.321579895749927</v>
      </c>
      <c r="W338">
        <v>9.4800000000003506E-2</v>
      </c>
    </row>
    <row r="339" spans="1:23" x14ac:dyDescent="0.5">
      <c r="A339" t="s">
        <v>340</v>
      </c>
      <c r="B339">
        <v>34.454249731033677</v>
      </c>
      <c r="C339">
        <v>9.4100000000003486E-2</v>
      </c>
      <c r="E339" t="s">
        <v>340</v>
      </c>
      <c r="F339">
        <v>50.177302624950094</v>
      </c>
      <c r="G339">
        <v>0.13610000000000314</v>
      </c>
      <c r="I339" t="s">
        <v>340</v>
      </c>
      <c r="J339">
        <v>33.363481275682659</v>
      </c>
      <c r="K339">
        <v>0.12980000000000383</v>
      </c>
      <c r="M339" t="s">
        <v>340</v>
      </c>
      <c r="N339">
        <v>51.248088833319699</v>
      </c>
      <c r="O339">
        <v>0.12190000000000428</v>
      </c>
      <c r="Q339" t="s">
        <v>340</v>
      </c>
      <c r="R339">
        <v>34.629269914773765</v>
      </c>
      <c r="S339">
        <v>0.11300000000000403</v>
      </c>
      <c r="U339" t="s">
        <v>340</v>
      </c>
      <c r="V339">
        <v>43.830453263637388</v>
      </c>
      <c r="W339">
        <v>0.10080000000000368</v>
      </c>
    </row>
    <row r="340" spans="1:23" x14ac:dyDescent="0.5">
      <c r="A340" t="s">
        <v>341</v>
      </c>
      <c r="B340">
        <v>39.039173436728746</v>
      </c>
      <c r="C340">
        <v>7.4900000000002936E-2</v>
      </c>
      <c r="E340" t="s">
        <v>341</v>
      </c>
      <c r="F340">
        <v>46.480921307202443</v>
      </c>
      <c r="G340">
        <v>0.11250000000000401</v>
      </c>
      <c r="I340" t="s">
        <v>341</v>
      </c>
      <c r="J340">
        <v>41.135214352063151</v>
      </c>
      <c r="K340">
        <v>0.112000000000004</v>
      </c>
      <c r="M340" t="s">
        <v>341</v>
      </c>
      <c r="N340">
        <v>56.102864441692603</v>
      </c>
      <c r="O340">
        <v>0.11410000000000406</v>
      </c>
      <c r="Q340" t="s">
        <v>341</v>
      </c>
      <c r="R340">
        <v>34.214867971241418</v>
      </c>
      <c r="S340">
        <v>8.41000000000032E-2</v>
      </c>
      <c r="U340" t="s">
        <v>341</v>
      </c>
      <c r="V340">
        <v>63.783652032676962</v>
      </c>
      <c r="W340">
        <v>8.1800000000003134E-2</v>
      </c>
    </row>
    <row r="341" spans="1:23" x14ac:dyDescent="0.5">
      <c r="A341" t="s">
        <v>342</v>
      </c>
      <c r="B341">
        <v>49.193533787974367</v>
      </c>
      <c r="C341">
        <v>9.0700000000003389E-2</v>
      </c>
      <c r="E341" t="s">
        <v>342</v>
      </c>
      <c r="F341">
        <v>45.34909029781366</v>
      </c>
      <c r="G341">
        <v>0.13850000000000287</v>
      </c>
      <c r="I341" t="s">
        <v>342</v>
      </c>
      <c r="J341">
        <v>41.557270800425471</v>
      </c>
      <c r="K341">
        <v>0.11300000000000403</v>
      </c>
      <c r="M341" t="s">
        <v>342</v>
      </c>
      <c r="N341">
        <v>54.012750073258381</v>
      </c>
      <c r="O341">
        <v>0.12780000000000405</v>
      </c>
      <c r="Q341" t="s">
        <v>342</v>
      </c>
      <c r="R341">
        <v>40.413714917363755</v>
      </c>
      <c r="S341">
        <v>0.11700000000000414</v>
      </c>
      <c r="U341" t="s">
        <v>342</v>
      </c>
      <c r="V341">
        <v>52.351444097703876</v>
      </c>
      <c r="W341">
        <v>9.9900000000003653E-2</v>
      </c>
    </row>
    <row r="342" spans="1:23" x14ac:dyDescent="0.5">
      <c r="A342" t="s">
        <v>343</v>
      </c>
      <c r="B342">
        <v>31.414403817021022</v>
      </c>
      <c r="C342">
        <v>8.4500000000003211E-2</v>
      </c>
      <c r="E342" t="s">
        <v>343</v>
      </c>
      <c r="F342">
        <v>38.825140430984007</v>
      </c>
      <c r="G342">
        <v>0.12180000000000428</v>
      </c>
      <c r="I342" t="s">
        <v>343</v>
      </c>
      <c r="J342">
        <v>31.927849854376436</v>
      </c>
      <c r="K342">
        <v>0.12450000000000436</v>
      </c>
      <c r="M342" t="s">
        <v>343</v>
      </c>
      <c r="N342">
        <v>81.269647572433129</v>
      </c>
      <c r="O342">
        <v>0.12540000000000431</v>
      </c>
      <c r="Q342" t="s">
        <v>343</v>
      </c>
      <c r="R342">
        <v>45.648383925301388</v>
      </c>
      <c r="S342">
        <v>0.11990000000000423</v>
      </c>
      <c r="U342" t="s">
        <v>343</v>
      </c>
      <c r="V342">
        <v>47.074398599618007</v>
      </c>
      <c r="W342">
        <v>0.12280000000000431</v>
      </c>
    </row>
    <row r="343" spans="1:23" x14ac:dyDescent="0.5">
      <c r="A343" t="s">
        <v>344</v>
      </c>
      <c r="B343">
        <v>35.432507203586226</v>
      </c>
      <c r="C343">
        <v>9.8200000000003604E-2</v>
      </c>
      <c r="E343" t="s">
        <v>344</v>
      </c>
      <c r="F343">
        <v>61.873189519986546</v>
      </c>
      <c r="G343">
        <v>0.10240000000000372</v>
      </c>
      <c r="I343" t="s">
        <v>344</v>
      </c>
      <c r="J343">
        <v>37.197982755279241</v>
      </c>
      <c r="K343">
        <v>0.10400000000000377</v>
      </c>
      <c r="M343" t="s">
        <v>344</v>
      </c>
      <c r="N343">
        <v>88.785370644246512</v>
      </c>
      <c r="O343">
        <v>0.10980000000000394</v>
      </c>
      <c r="Q343" t="s">
        <v>344</v>
      </c>
      <c r="R343">
        <v>47.030362918006119</v>
      </c>
      <c r="S343">
        <v>0.10980000000000394</v>
      </c>
      <c r="U343" t="s">
        <v>344</v>
      </c>
      <c r="V343">
        <v>47.049390550150051</v>
      </c>
      <c r="W343">
        <v>8.5400000000003237E-2</v>
      </c>
    </row>
    <row r="344" spans="1:23" x14ac:dyDescent="0.5">
      <c r="A344" t="s">
        <v>345</v>
      </c>
      <c r="B344">
        <v>35.766059525755189</v>
      </c>
      <c r="C344">
        <v>7.3500000000002896E-2</v>
      </c>
      <c r="E344" t="s">
        <v>345</v>
      </c>
      <c r="F344">
        <v>41.083774832303874</v>
      </c>
      <c r="G344">
        <v>8.9200000000003346E-2</v>
      </c>
      <c r="I344" t="s">
        <v>345</v>
      </c>
      <c r="J344">
        <v>33.633788819341248</v>
      </c>
      <c r="K344">
        <v>0.10730000000000386</v>
      </c>
      <c r="M344" t="s">
        <v>345</v>
      </c>
      <c r="N344">
        <v>69.763516053854886</v>
      </c>
      <c r="O344">
        <v>0.22889999999999291</v>
      </c>
      <c r="Q344" t="s">
        <v>345</v>
      </c>
      <c r="R344">
        <v>39.207104032881325</v>
      </c>
      <c r="S344">
        <v>0.10310000000000374</v>
      </c>
      <c r="U344" t="s">
        <v>345</v>
      </c>
      <c r="V344">
        <v>45.99563078585853</v>
      </c>
      <c r="W344">
        <v>8.7300000000003292E-2</v>
      </c>
    </row>
    <row r="345" spans="1:23" x14ac:dyDescent="0.5">
      <c r="A345" t="s">
        <v>346</v>
      </c>
      <c r="B345">
        <v>54.165433040132342</v>
      </c>
      <c r="C345">
        <v>9.2700000000003446E-2</v>
      </c>
      <c r="E345" t="s">
        <v>346</v>
      </c>
      <c r="F345">
        <v>56.394988363449706</v>
      </c>
      <c r="G345">
        <v>0.11850000000000419</v>
      </c>
      <c r="I345" t="s">
        <v>346</v>
      </c>
      <c r="J345">
        <v>41.045425709982744</v>
      </c>
      <c r="K345">
        <v>0.12270000000000431</v>
      </c>
      <c r="M345" t="s">
        <v>346</v>
      </c>
      <c r="N345">
        <v>84.361551747339846</v>
      </c>
      <c r="O345">
        <v>0.11300000000000403</v>
      </c>
      <c r="Q345" t="s">
        <v>346</v>
      </c>
      <c r="R345">
        <v>44.415740646526544</v>
      </c>
      <c r="S345">
        <v>0.11330000000000404</v>
      </c>
      <c r="U345" t="s">
        <v>346</v>
      </c>
      <c r="V345">
        <v>44.084490604595295</v>
      </c>
      <c r="W345">
        <v>0.10250000000000373</v>
      </c>
    </row>
    <row r="346" spans="1:23" x14ac:dyDescent="0.5">
      <c r="A346" t="s">
        <v>347</v>
      </c>
      <c r="B346">
        <v>40.097654134636308</v>
      </c>
      <c r="C346">
        <v>8.1800000000003134E-2</v>
      </c>
      <c r="E346" t="s">
        <v>347</v>
      </c>
      <c r="F346">
        <v>47.766668402626145</v>
      </c>
      <c r="G346">
        <v>0.10930000000000392</v>
      </c>
      <c r="I346" t="s">
        <v>347</v>
      </c>
      <c r="J346">
        <v>36.085092939465305</v>
      </c>
      <c r="K346">
        <v>0.10690000000000385</v>
      </c>
      <c r="M346" t="s">
        <v>347</v>
      </c>
      <c r="N346">
        <v>46.971744444248131</v>
      </c>
      <c r="O346">
        <v>0.12480000000000437</v>
      </c>
      <c r="Q346" t="s">
        <v>347</v>
      </c>
      <c r="R346">
        <v>33.29685828178777</v>
      </c>
      <c r="S346">
        <v>0.12010000000000423</v>
      </c>
      <c r="U346" t="s">
        <v>347</v>
      </c>
      <c r="V346">
        <v>40.412906164984911</v>
      </c>
      <c r="W346">
        <v>9.4600000000003501E-2</v>
      </c>
    </row>
    <row r="347" spans="1:23" x14ac:dyDescent="0.5">
      <c r="A347" t="s">
        <v>348</v>
      </c>
      <c r="B347">
        <v>43.00060419383626</v>
      </c>
      <c r="C347">
        <v>9.3200000000003461E-2</v>
      </c>
      <c r="E347" t="s">
        <v>348</v>
      </c>
      <c r="F347">
        <v>49.899412146300996</v>
      </c>
      <c r="G347">
        <v>0.11310000000000403</v>
      </c>
      <c r="I347" t="s">
        <v>348</v>
      </c>
      <c r="J347">
        <v>45.502909223699753</v>
      </c>
      <c r="K347">
        <v>0.11230000000000401</v>
      </c>
      <c r="M347" t="s">
        <v>348</v>
      </c>
      <c r="N347">
        <v>63.568229128461702</v>
      </c>
      <c r="O347">
        <v>0.12600000000000425</v>
      </c>
      <c r="Q347" t="s">
        <v>348</v>
      </c>
      <c r="R347">
        <v>41.578898647193299</v>
      </c>
      <c r="S347">
        <v>0.11480000000000408</v>
      </c>
      <c r="U347" t="s">
        <v>348</v>
      </c>
      <c r="V347">
        <v>55.293210759299221</v>
      </c>
      <c r="W347">
        <v>0.10400000000000377</v>
      </c>
    </row>
    <row r="348" spans="1:23" x14ac:dyDescent="0.5">
      <c r="A348" t="s">
        <v>349</v>
      </c>
      <c r="B348">
        <v>44.358774099776866</v>
      </c>
      <c r="C348">
        <v>7.7200000000003002E-2</v>
      </c>
      <c r="E348" t="s">
        <v>349</v>
      </c>
      <c r="F348">
        <v>49.256585420938741</v>
      </c>
      <c r="G348">
        <v>0.12070000000000425</v>
      </c>
      <c r="I348" t="s">
        <v>349</v>
      </c>
      <c r="J348">
        <v>46.943709033429549</v>
      </c>
      <c r="K348">
        <v>0.10630000000000384</v>
      </c>
      <c r="M348" t="s">
        <v>349</v>
      </c>
      <c r="N348">
        <v>54.486614949643915</v>
      </c>
      <c r="O348">
        <v>0.10060000000000367</v>
      </c>
      <c r="Q348" t="s">
        <v>349</v>
      </c>
      <c r="R348">
        <v>44.724235372542708</v>
      </c>
      <c r="S348">
        <v>0.11450000000000407</v>
      </c>
      <c r="U348" t="s">
        <v>349</v>
      </c>
      <c r="V348">
        <v>65.469036679880404</v>
      </c>
      <c r="W348">
        <v>0.11250000000000401</v>
      </c>
    </row>
    <row r="349" spans="1:23" x14ac:dyDescent="0.5">
      <c r="A349" t="s">
        <v>350</v>
      </c>
      <c r="B349">
        <v>52.718932594649502</v>
      </c>
      <c r="C349">
        <v>7.5700000000002959E-2</v>
      </c>
      <c r="E349" t="s">
        <v>350</v>
      </c>
      <c r="F349">
        <v>39.940209149326179</v>
      </c>
      <c r="G349">
        <v>0.11480000000000408</v>
      </c>
      <c r="I349" t="s">
        <v>350</v>
      </c>
      <c r="J349">
        <v>39.371076592482943</v>
      </c>
      <c r="K349">
        <v>0.11130000000000398</v>
      </c>
      <c r="M349" t="s">
        <v>350</v>
      </c>
      <c r="N349">
        <v>52.317939614646406</v>
      </c>
      <c r="O349">
        <v>0.11310000000000403</v>
      </c>
      <c r="Q349" t="s">
        <v>350</v>
      </c>
      <c r="R349">
        <v>42.474369379401985</v>
      </c>
      <c r="S349">
        <v>0.11780000000000417</v>
      </c>
      <c r="U349" t="s">
        <v>350</v>
      </c>
      <c r="V349">
        <v>52.700491330632168</v>
      </c>
      <c r="W349">
        <v>0.11330000000000404</v>
      </c>
    </row>
    <row r="350" spans="1:23" x14ac:dyDescent="0.5">
      <c r="A350" t="s">
        <v>351</v>
      </c>
      <c r="B350">
        <v>70.518292167206027</v>
      </c>
      <c r="C350">
        <v>9.0100000000003372E-2</v>
      </c>
      <c r="E350" t="s">
        <v>351</v>
      </c>
      <c r="F350">
        <v>38.40947548126379</v>
      </c>
      <c r="G350">
        <v>0.10760000000000387</v>
      </c>
      <c r="I350" t="s">
        <v>351</v>
      </c>
      <c r="J350">
        <v>40.913010693996078</v>
      </c>
      <c r="K350">
        <v>0.1052000000000038</v>
      </c>
      <c r="M350" t="s">
        <v>351</v>
      </c>
      <c r="N350">
        <v>58.920324905125369</v>
      </c>
      <c r="O350">
        <v>0.12670000000000417</v>
      </c>
      <c r="Q350" t="s">
        <v>351</v>
      </c>
      <c r="R350">
        <v>45.170199611078949</v>
      </c>
      <c r="S350">
        <v>0.10070000000000368</v>
      </c>
      <c r="U350" t="s">
        <v>351</v>
      </c>
      <c r="V350">
        <v>52.575730935411428</v>
      </c>
      <c r="W350">
        <v>9.9300000000003635E-2</v>
      </c>
    </row>
    <row r="351" spans="1:23" x14ac:dyDescent="0.5">
      <c r="A351" t="s">
        <v>352</v>
      </c>
      <c r="B351">
        <v>37.944602136650914</v>
      </c>
      <c r="C351">
        <v>9.2200000000003432E-2</v>
      </c>
      <c r="E351" t="s">
        <v>352</v>
      </c>
      <c r="F351">
        <v>43.866311126770839</v>
      </c>
      <c r="G351">
        <v>0.12000000000000423</v>
      </c>
      <c r="I351" t="s">
        <v>352</v>
      </c>
      <c r="J351">
        <v>39.477852274712099</v>
      </c>
      <c r="K351">
        <v>0.10610000000000383</v>
      </c>
      <c r="M351" t="s">
        <v>352</v>
      </c>
      <c r="N351">
        <v>44.719295788989747</v>
      </c>
      <c r="O351">
        <v>0.26229999999998926</v>
      </c>
      <c r="Q351" t="s">
        <v>352</v>
      </c>
      <c r="R351">
        <v>36.309489026000811</v>
      </c>
      <c r="S351">
        <v>0.11600000000000411</v>
      </c>
      <c r="U351" t="s">
        <v>352</v>
      </c>
      <c r="V351">
        <v>41.330605269732843</v>
      </c>
      <c r="W351">
        <v>0.10410000000000377</v>
      </c>
    </row>
    <row r="352" spans="1:23" x14ac:dyDescent="0.5">
      <c r="A352" t="s">
        <v>353</v>
      </c>
      <c r="B352">
        <v>51.955734343710681</v>
      </c>
      <c r="C352">
        <v>7.7700000000003017E-2</v>
      </c>
      <c r="E352" t="s">
        <v>353</v>
      </c>
      <c r="F352">
        <v>37.109296468174215</v>
      </c>
      <c r="G352">
        <v>0.12200000000000429</v>
      </c>
      <c r="I352" t="s">
        <v>353</v>
      </c>
      <c r="J352">
        <v>35.028779650986138</v>
      </c>
      <c r="K352">
        <v>0.10800000000000388</v>
      </c>
      <c r="M352" t="s">
        <v>353</v>
      </c>
      <c r="N352">
        <v>55.10548646093887</v>
      </c>
      <c r="O352">
        <v>0.12430000000000435</v>
      </c>
      <c r="Q352" t="s">
        <v>353</v>
      </c>
      <c r="R352">
        <v>40.629381065136386</v>
      </c>
      <c r="S352">
        <v>0.1156000000000041</v>
      </c>
      <c r="U352" t="s">
        <v>353</v>
      </c>
      <c r="V352">
        <v>43.614219190451507</v>
      </c>
      <c r="W352">
        <v>0.11280000000000402</v>
      </c>
    </row>
    <row r="353" spans="1:23" x14ac:dyDescent="0.5">
      <c r="A353" t="s">
        <v>354</v>
      </c>
      <c r="B353">
        <v>34.424123146004952</v>
      </c>
      <c r="C353">
        <v>9.4000000000003484E-2</v>
      </c>
      <c r="E353" t="s">
        <v>354</v>
      </c>
      <c r="F353">
        <v>36.754617693560846</v>
      </c>
      <c r="G353">
        <v>0.10400000000000377</v>
      </c>
      <c r="I353" t="s">
        <v>354</v>
      </c>
      <c r="J353">
        <v>39.88043562158898</v>
      </c>
      <c r="K353">
        <v>0.11360000000000404</v>
      </c>
      <c r="M353" t="s">
        <v>354</v>
      </c>
      <c r="N353">
        <v>58.834657338431832</v>
      </c>
      <c r="O353">
        <v>0.12980000000000383</v>
      </c>
      <c r="Q353" t="s">
        <v>354</v>
      </c>
      <c r="R353">
        <v>42.100386328135038</v>
      </c>
      <c r="S353">
        <v>0.11680000000000414</v>
      </c>
      <c r="U353" t="s">
        <v>354</v>
      </c>
      <c r="V353">
        <v>48.698684015750445</v>
      </c>
      <c r="W353">
        <v>0.10750000000000387</v>
      </c>
    </row>
    <row r="354" spans="1:23" x14ac:dyDescent="0.5">
      <c r="A354" t="s">
        <v>355</v>
      </c>
      <c r="B354">
        <v>68.783728841998496</v>
      </c>
      <c r="C354">
        <v>7.1700000000002845E-2</v>
      </c>
      <c r="E354" t="s">
        <v>355</v>
      </c>
      <c r="F354">
        <v>49.290829161506466</v>
      </c>
      <c r="G354">
        <v>0.10960000000000393</v>
      </c>
      <c r="I354" t="s">
        <v>355</v>
      </c>
      <c r="J354">
        <v>47.314390941570977</v>
      </c>
      <c r="K354">
        <v>0.11850000000000419</v>
      </c>
      <c r="M354" t="s">
        <v>355</v>
      </c>
      <c r="N354">
        <v>51.150416628732877</v>
      </c>
      <c r="O354">
        <v>0.11630000000000412</v>
      </c>
      <c r="Q354" t="s">
        <v>355</v>
      </c>
      <c r="R354">
        <v>35.047452415368241</v>
      </c>
      <c r="S354">
        <v>0.10960000000000393</v>
      </c>
      <c r="U354" t="s">
        <v>355</v>
      </c>
      <c r="V354">
        <v>43.41712166931481</v>
      </c>
      <c r="W354">
        <v>9.3000000000003455E-2</v>
      </c>
    </row>
    <row r="355" spans="1:23" x14ac:dyDescent="0.5">
      <c r="A355" t="s">
        <v>356</v>
      </c>
      <c r="B355">
        <v>27.178638761019762</v>
      </c>
      <c r="C355">
        <v>9.5800000000003535E-2</v>
      </c>
      <c r="E355" t="s">
        <v>356</v>
      </c>
      <c r="F355">
        <v>27.631444987059403</v>
      </c>
      <c r="G355">
        <v>0.13990000000000272</v>
      </c>
      <c r="I355" t="s">
        <v>356</v>
      </c>
      <c r="J355">
        <v>27.080336457995138</v>
      </c>
      <c r="K355">
        <v>0.10750000000000387</v>
      </c>
      <c r="M355" t="s">
        <v>356</v>
      </c>
      <c r="N355">
        <v>40.709287789248826</v>
      </c>
      <c r="O355">
        <v>0.12050000000000424</v>
      </c>
      <c r="Q355" t="s">
        <v>356</v>
      </c>
      <c r="R355">
        <v>29.691628851762886</v>
      </c>
      <c r="S355">
        <v>0.12080000000000425</v>
      </c>
      <c r="U355" t="s">
        <v>356</v>
      </c>
      <c r="V355">
        <v>35.3585855610797</v>
      </c>
      <c r="W355">
        <v>0.1051000000000038</v>
      </c>
    </row>
    <row r="356" spans="1:23" x14ac:dyDescent="0.5">
      <c r="A356" t="s">
        <v>357</v>
      </c>
      <c r="B356">
        <v>49.719863234168535</v>
      </c>
      <c r="C356">
        <v>8.1800000000003134E-2</v>
      </c>
      <c r="E356" t="s">
        <v>357</v>
      </c>
      <c r="F356">
        <v>51.923766835880429</v>
      </c>
      <c r="G356">
        <v>0.12720000000000412</v>
      </c>
      <c r="I356" t="s">
        <v>357</v>
      </c>
      <c r="J356">
        <v>47.300436125855889</v>
      </c>
      <c r="K356">
        <v>0.12080000000000425</v>
      </c>
      <c r="M356" t="s">
        <v>357</v>
      </c>
      <c r="N356">
        <v>59.292588834732804</v>
      </c>
      <c r="O356">
        <v>0.11710000000000415</v>
      </c>
      <c r="Q356" t="s">
        <v>357</v>
      </c>
      <c r="R356">
        <v>43.221077745716464</v>
      </c>
      <c r="S356">
        <v>0.10960000000000393</v>
      </c>
      <c r="U356" t="s">
        <v>357</v>
      </c>
      <c r="V356">
        <v>42.002630626972568</v>
      </c>
      <c r="W356">
        <v>0.1155000000000041</v>
      </c>
    </row>
    <row r="357" spans="1:23" x14ac:dyDescent="0.5">
      <c r="A357" t="s">
        <v>358</v>
      </c>
      <c r="B357">
        <v>39.077687548099888</v>
      </c>
      <c r="C357">
        <v>8.270000000000316E-2</v>
      </c>
      <c r="E357" t="s">
        <v>358</v>
      </c>
      <c r="F357">
        <v>50.066893356836395</v>
      </c>
      <c r="G357">
        <v>0.10320000000000375</v>
      </c>
      <c r="I357" t="s">
        <v>358</v>
      </c>
      <c r="J357">
        <v>33.4664513112671</v>
      </c>
      <c r="K357">
        <v>0.10960000000000393</v>
      </c>
      <c r="M357" t="s">
        <v>358</v>
      </c>
      <c r="N357">
        <v>49.032178467474047</v>
      </c>
      <c r="O357">
        <v>0.12950000000000386</v>
      </c>
      <c r="Q357" t="s">
        <v>358</v>
      </c>
      <c r="R357">
        <v>39.899395261407307</v>
      </c>
      <c r="S357">
        <v>0.11800000000000417</v>
      </c>
      <c r="U357" t="s">
        <v>358</v>
      </c>
      <c r="V357">
        <v>45.401621170459784</v>
      </c>
      <c r="W357">
        <v>0.10320000000000375</v>
      </c>
    </row>
    <row r="358" spans="1:23" x14ac:dyDescent="0.5">
      <c r="A358" t="s">
        <v>359</v>
      </c>
      <c r="B358">
        <v>40.412001488287721</v>
      </c>
      <c r="C358">
        <v>8.7100000000003286E-2</v>
      </c>
      <c r="E358" t="s">
        <v>359</v>
      </c>
      <c r="F358">
        <v>53.592038846791979</v>
      </c>
      <c r="G358">
        <v>9.5700000000003532E-2</v>
      </c>
      <c r="I358" t="s">
        <v>359</v>
      </c>
      <c r="J358">
        <v>43.932405673262345</v>
      </c>
      <c r="K358">
        <v>0.112100000000004</v>
      </c>
      <c r="M358" t="s">
        <v>359</v>
      </c>
      <c r="N358">
        <v>159.58816249207737</v>
      </c>
      <c r="O358">
        <v>0.29479999999998568</v>
      </c>
      <c r="Q358" t="s">
        <v>359</v>
      </c>
      <c r="R358">
        <v>35.653187978592186</v>
      </c>
      <c r="S358">
        <v>0.11140000000000398</v>
      </c>
      <c r="U358" t="s">
        <v>359</v>
      </c>
      <c r="V358">
        <v>43.159513552801947</v>
      </c>
      <c r="W358">
        <v>9.1000000000003398E-2</v>
      </c>
    </row>
    <row r="359" spans="1:23" x14ac:dyDescent="0.5">
      <c r="A359" t="s">
        <v>360</v>
      </c>
      <c r="B359">
        <v>72.951682380244662</v>
      </c>
      <c r="C359">
        <v>7.9100000000003057E-2</v>
      </c>
      <c r="E359" t="s">
        <v>360</v>
      </c>
      <c r="F359">
        <v>47.533937713581786</v>
      </c>
      <c r="G359">
        <v>9.6900000000003567E-2</v>
      </c>
      <c r="I359" t="s">
        <v>360</v>
      </c>
      <c r="J359">
        <v>36.838468557022402</v>
      </c>
      <c r="K359">
        <v>0.1084000000000039</v>
      </c>
      <c r="M359" t="s">
        <v>360</v>
      </c>
      <c r="N359">
        <v>44.145501210442191</v>
      </c>
      <c r="O359">
        <v>0.11090000000000397</v>
      </c>
      <c r="Q359" t="s">
        <v>360</v>
      </c>
      <c r="R359">
        <v>33.481335278434734</v>
      </c>
      <c r="S359">
        <v>8.2500000000003154E-2</v>
      </c>
      <c r="U359" t="s">
        <v>360</v>
      </c>
      <c r="V359">
        <v>43.174105512604648</v>
      </c>
      <c r="W359">
        <v>7.4900000000002936E-2</v>
      </c>
    </row>
    <row r="360" spans="1:23" x14ac:dyDescent="0.5">
      <c r="A360" t="s">
        <v>361</v>
      </c>
      <c r="B360">
        <v>30.145817779583911</v>
      </c>
      <c r="C360">
        <v>9.0600000000003386E-2</v>
      </c>
      <c r="E360" t="s">
        <v>361</v>
      </c>
      <c r="F360">
        <v>42.1328782745531</v>
      </c>
      <c r="G360">
        <v>9.7200000000003575E-2</v>
      </c>
      <c r="I360" t="s">
        <v>361</v>
      </c>
      <c r="J360">
        <v>35.344309114763057</v>
      </c>
      <c r="K360">
        <v>0.10010000000000366</v>
      </c>
      <c r="M360" t="s">
        <v>361</v>
      </c>
      <c r="N360">
        <v>52.496927249841526</v>
      </c>
      <c r="O360">
        <v>0.23409999999999234</v>
      </c>
      <c r="Q360" t="s">
        <v>361</v>
      </c>
      <c r="R360">
        <v>35.046803969036944</v>
      </c>
      <c r="S360">
        <v>0.12100000000000426</v>
      </c>
      <c r="U360" t="s">
        <v>361</v>
      </c>
      <c r="V360">
        <v>38.925433902399519</v>
      </c>
      <c r="W360">
        <v>9.7900000000003595E-2</v>
      </c>
    </row>
    <row r="361" spans="1:23" x14ac:dyDescent="0.5">
      <c r="A361" t="s">
        <v>362</v>
      </c>
      <c r="B361">
        <v>41.050601592276905</v>
      </c>
      <c r="C361">
        <v>6.8300000000002747E-2</v>
      </c>
      <c r="E361" t="s">
        <v>362</v>
      </c>
      <c r="F361">
        <v>42.127531515059722</v>
      </c>
      <c r="G361">
        <v>0.11920000000000421</v>
      </c>
      <c r="I361" t="s">
        <v>362</v>
      </c>
      <c r="J361">
        <v>39.860205172732201</v>
      </c>
      <c r="K361">
        <v>0.11810000000000417</v>
      </c>
      <c r="M361" t="s">
        <v>362</v>
      </c>
      <c r="N361">
        <v>48.17966741047352</v>
      </c>
      <c r="O361">
        <v>0.12360000000000433</v>
      </c>
      <c r="Q361" t="s">
        <v>362</v>
      </c>
      <c r="R361">
        <v>34.509890804479603</v>
      </c>
      <c r="S361">
        <v>0.10730000000000386</v>
      </c>
      <c r="U361" t="s">
        <v>362</v>
      </c>
      <c r="V361">
        <v>53.217911674928594</v>
      </c>
      <c r="W361">
        <v>0.10210000000000372</v>
      </c>
    </row>
    <row r="362" spans="1:23" x14ac:dyDescent="0.5">
      <c r="A362" t="s">
        <v>363</v>
      </c>
      <c r="B362">
        <v>39.498244994432788</v>
      </c>
      <c r="C362">
        <v>6.9200000000002773E-2</v>
      </c>
      <c r="E362" t="s">
        <v>363</v>
      </c>
      <c r="F362">
        <v>43.399945846595394</v>
      </c>
      <c r="G362">
        <v>0.13510000000000325</v>
      </c>
      <c r="I362" t="s">
        <v>363</v>
      </c>
      <c r="J362">
        <v>33.551157284152602</v>
      </c>
      <c r="K362">
        <v>8.5300000000003234E-2</v>
      </c>
      <c r="M362" t="s">
        <v>363</v>
      </c>
      <c r="N362">
        <v>50.941917965556833</v>
      </c>
      <c r="O362">
        <v>0.11570000000000411</v>
      </c>
      <c r="Q362" t="s">
        <v>363</v>
      </c>
      <c r="R362">
        <v>36.043624419310028</v>
      </c>
      <c r="S362">
        <v>0.10880000000000391</v>
      </c>
      <c r="U362" t="s">
        <v>363</v>
      </c>
      <c r="V362">
        <v>43.205011010631054</v>
      </c>
      <c r="W362">
        <v>8.9200000000003346E-2</v>
      </c>
    </row>
    <row r="363" spans="1:23" x14ac:dyDescent="0.5">
      <c r="A363" t="s">
        <v>364</v>
      </c>
      <c r="B363">
        <v>38.694587779940335</v>
      </c>
      <c r="C363">
        <v>6.6600000000002699E-2</v>
      </c>
      <c r="E363" t="s">
        <v>364</v>
      </c>
      <c r="F363">
        <v>53.216534931085832</v>
      </c>
      <c r="G363">
        <v>0.11630000000000412</v>
      </c>
      <c r="I363" t="s">
        <v>364</v>
      </c>
      <c r="J363">
        <v>36.604778939989977</v>
      </c>
      <c r="K363">
        <v>0.10360000000000376</v>
      </c>
      <c r="M363" t="s">
        <v>364</v>
      </c>
      <c r="N363">
        <v>53.833574969972723</v>
      </c>
      <c r="O363">
        <v>0.11370000000000405</v>
      </c>
      <c r="Q363" t="s">
        <v>364</v>
      </c>
      <c r="R363">
        <v>34.910438498496923</v>
      </c>
      <c r="S363">
        <v>9.6100000000003544E-2</v>
      </c>
      <c r="U363" t="s">
        <v>364</v>
      </c>
      <c r="V363">
        <v>46.235166077512687</v>
      </c>
      <c r="W363">
        <v>9.0000000000003369E-2</v>
      </c>
    </row>
    <row r="364" spans="1:23" x14ac:dyDescent="0.5">
      <c r="A364" t="s">
        <v>365</v>
      </c>
      <c r="B364">
        <v>46.790630004346845</v>
      </c>
      <c r="C364">
        <v>7.8800000000003048E-2</v>
      </c>
      <c r="E364" t="s">
        <v>365</v>
      </c>
      <c r="F364">
        <v>42.506514739117648</v>
      </c>
      <c r="G364">
        <v>0.12440000000000435</v>
      </c>
      <c r="I364" t="s">
        <v>365</v>
      </c>
      <c r="J364">
        <v>38.050572505717412</v>
      </c>
      <c r="K364">
        <v>0.10020000000000366</v>
      </c>
      <c r="M364" t="s">
        <v>365</v>
      </c>
      <c r="N364">
        <v>62.357379065423224</v>
      </c>
      <c r="O364">
        <v>0.10780000000000388</v>
      </c>
      <c r="Q364" t="s">
        <v>365</v>
      </c>
      <c r="R364">
        <v>43.725433721815463</v>
      </c>
      <c r="S364">
        <v>0.10230000000000372</v>
      </c>
      <c r="U364" t="s">
        <v>365</v>
      </c>
      <c r="V364">
        <v>49.020199753366597</v>
      </c>
      <c r="W364">
        <v>0.10430000000000378</v>
      </c>
    </row>
    <row r="365" spans="1:23" x14ac:dyDescent="0.5">
      <c r="A365" t="s">
        <v>366</v>
      </c>
      <c r="B365">
        <v>36.519531369619976</v>
      </c>
      <c r="C365">
        <v>7.5200000000002945E-2</v>
      </c>
      <c r="E365" t="s">
        <v>366</v>
      </c>
      <c r="F365">
        <v>48.998041088499996</v>
      </c>
      <c r="G365">
        <v>0.11070000000000396</v>
      </c>
      <c r="I365" t="s">
        <v>366</v>
      </c>
      <c r="J365">
        <v>42.733750159690736</v>
      </c>
      <c r="K365">
        <v>0.11000000000000394</v>
      </c>
      <c r="M365" t="s">
        <v>366</v>
      </c>
      <c r="N365">
        <v>62.249470053783718</v>
      </c>
      <c r="O365">
        <v>0.12060000000000425</v>
      </c>
      <c r="Q365" t="s">
        <v>366</v>
      </c>
      <c r="R365">
        <v>38.676876607491359</v>
      </c>
      <c r="S365">
        <v>0.11090000000000397</v>
      </c>
      <c r="U365" t="s">
        <v>366</v>
      </c>
      <c r="V365">
        <v>51.525440488432011</v>
      </c>
      <c r="W365">
        <v>9.6900000000003567E-2</v>
      </c>
    </row>
    <row r="366" spans="1:23" x14ac:dyDescent="0.5">
      <c r="A366" t="s">
        <v>367</v>
      </c>
      <c r="B366">
        <v>38.857829509425947</v>
      </c>
      <c r="C366">
        <v>7.050000000000281E-2</v>
      </c>
      <c r="E366" t="s">
        <v>367</v>
      </c>
      <c r="F366">
        <v>40.496142140348439</v>
      </c>
      <c r="G366">
        <v>8.690000000000328E-2</v>
      </c>
      <c r="I366" t="s">
        <v>367</v>
      </c>
      <c r="J366">
        <v>45.168495070204656</v>
      </c>
      <c r="K366">
        <v>9.7600000000003587E-2</v>
      </c>
      <c r="M366" t="s">
        <v>367</v>
      </c>
      <c r="N366">
        <v>63.265664286685769</v>
      </c>
      <c r="O366">
        <v>0.23699999999999202</v>
      </c>
      <c r="Q366" t="s">
        <v>367</v>
      </c>
      <c r="R366">
        <v>40.183967189786529</v>
      </c>
      <c r="S366">
        <v>0.10990000000000394</v>
      </c>
      <c r="U366" t="s">
        <v>367</v>
      </c>
      <c r="V366">
        <v>46.021300901822322</v>
      </c>
      <c r="W366">
        <v>0.10910000000000392</v>
      </c>
    </row>
    <row r="367" spans="1:23" x14ac:dyDescent="0.5">
      <c r="A367" t="s">
        <v>368</v>
      </c>
      <c r="B367">
        <v>32.827087700681822</v>
      </c>
      <c r="C367">
        <v>0.11020000000000395</v>
      </c>
      <c r="E367" t="s">
        <v>368</v>
      </c>
      <c r="F367">
        <v>72.223959381036536</v>
      </c>
      <c r="G367">
        <v>0.13330000000000344</v>
      </c>
      <c r="I367" t="s">
        <v>368</v>
      </c>
      <c r="J367">
        <v>31.439627721350682</v>
      </c>
      <c r="K367">
        <v>0.1346000000000033</v>
      </c>
      <c r="M367" t="s">
        <v>368</v>
      </c>
      <c r="N367">
        <v>61.343734234313111</v>
      </c>
      <c r="O367">
        <v>0.11170000000000399</v>
      </c>
      <c r="Q367" t="s">
        <v>368</v>
      </c>
      <c r="R367">
        <v>41.117270759490943</v>
      </c>
      <c r="S367">
        <v>0.10180000000000371</v>
      </c>
      <c r="U367" t="s">
        <v>368</v>
      </c>
      <c r="V367">
        <v>39.948160802732424</v>
      </c>
      <c r="W367">
        <v>0.11640000000000413</v>
      </c>
    </row>
    <row r="368" spans="1:23" x14ac:dyDescent="0.5">
      <c r="A368" t="s">
        <v>369</v>
      </c>
      <c r="B368">
        <v>48.776651331537401</v>
      </c>
      <c r="C368">
        <v>0.11710000000000415</v>
      </c>
      <c r="E368" t="s">
        <v>369</v>
      </c>
      <c r="F368">
        <v>53.012991643099781</v>
      </c>
      <c r="G368">
        <v>0.12700000000000414</v>
      </c>
      <c r="I368" t="s">
        <v>369</v>
      </c>
      <c r="J368">
        <v>36.66250479176027</v>
      </c>
      <c r="K368">
        <v>0.13700000000000304</v>
      </c>
      <c r="M368" t="s">
        <v>369</v>
      </c>
      <c r="N368">
        <v>55.728924252686895</v>
      </c>
      <c r="O368">
        <v>0.12770000000000406</v>
      </c>
      <c r="Q368" t="s">
        <v>369</v>
      </c>
      <c r="R368">
        <v>44.805196567978101</v>
      </c>
      <c r="S368">
        <v>0.12760000000000407</v>
      </c>
      <c r="U368" t="s">
        <v>369</v>
      </c>
      <c r="V368">
        <v>37.5866005914299</v>
      </c>
      <c r="W368">
        <v>0.11630000000000412</v>
      </c>
    </row>
    <row r="369" spans="1:23" x14ac:dyDescent="0.5">
      <c r="A369" t="s">
        <v>370</v>
      </c>
      <c r="B369">
        <v>99.791237818914666</v>
      </c>
      <c r="C369">
        <v>7.6200000000002974E-2</v>
      </c>
      <c r="E369" t="s">
        <v>370</v>
      </c>
      <c r="F369">
        <v>42.396503790956515</v>
      </c>
      <c r="G369">
        <v>0.10460000000000379</v>
      </c>
      <c r="I369" t="s">
        <v>370</v>
      </c>
      <c r="J369">
        <v>30.989503562155775</v>
      </c>
      <c r="K369">
        <v>0.10650000000000384</v>
      </c>
      <c r="M369" t="s">
        <v>370</v>
      </c>
      <c r="N369">
        <v>71.734848622223865</v>
      </c>
      <c r="O369">
        <v>0.12090000000000425</v>
      </c>
      <c r="Q369" t="s">
        <v>370</v>
      </c>
      <c r="R369">
        <v>45.241532660674025</v>
      </c>
      <c r="S369">
        <v>0.12700000000000414</v>
      </c>
      <c r="U369" t="s">
        <v>370</v>
      </c>
      <c r="V369">
        <v>42.285429227293378</v>
      </c>
      <c r="W369">
        <v>9.8100000000003601E-2</v>
      </c>
    </row>
    <row r="370" spans="1:23" x14ac:dyDescent="0.5">
      <c r="A370" t="s">
        <v>371</v>
      </c>
      <c r="B370">
        <v>38.670116032222523</v>
      </c>
      <c r="C370">
        <v>7.2900000000002879E-2</v>
      </c>
      <c r="E370" t="s">
        <v>371</v>
      </c>
      <c r="F370">
        <v>43.135729091029113</v>
      </c>
      <c r="G370">
        <v>9.7600000000003587E-2</v>
      </c>
      <c r="I370" t="s">
        <v>371</v>
      </c>
      <c r="J370">
        <v>39.373003902489117</v>
      </c>
      <c r="K370">
        <v>0.10570000000000382</v>
      </c>
      <c r="M370" t="s">
        <v>371</v>
      </c>
      <c r="N370">
        <v>40.404650018022863</v>
      </c>
      <c r="O370">
        <v>0.11080000000000396</v>
      </c>
      <c r="Q370" t="s">
        <v>371</v>
      </c>
      <c r="R370">
        <v>35.629651500461179</v>
      </c>
      <c r="S370">
        <v>0.11780000000000417</v>
      </c>
      <c r="U370" t="s">
        <v>371</v>
      </c>
      <c r="V370">
        <v>42.930866490052935</v>
      </c>
      <c r="W370">
        <v>0.11700000000000414</v>
      </c>
    </row>
    <row r="371" spans="1:23" x14ac:dyDescent="0.5">
      <c r="A371" t="s">
        <v>372</v>
      </c>
      <c r="B371">
        <v>24.27665254098315</v>
      </c>
      <c r="C371">
        <v>9.2200000000003432E-2</v>
      </c>
      <c r="E371" t="s">
        <v>372</v>
      </c>
      <c r="F371">
        <v>35.507461848514289</v>
      </c>
      <c r="G371">
        <v>0.10350000000000376</v>
      </c>
      <c r="I371" t="s">
        <v>372</v>
      </c>
      <c r="J371">
        <v>30.095738913985265</v>
      </c>
      <c r="K371">
        <v>0.12120000000000426</v>
      </c>
      <c r="M371" t="s">
        <v>372</v>
      </c>
      <c r="N371">
        <v>33.333869346858812</v>
      </c>
      <c r="O371">
        <v>0.10610000000000383</v>
      </c>
      <c r="Q371" t="s">
        <v>372</v>
      </c>
      <c r="R371">
        <v>27.542885690680247</v>
      </c>
      <c r="S371">
        <v>8.6600000000003272E-2</v>
      </c>
      <c r="U371" t="s">
        <v>372</v>
      </c>
      <c r="V371">
        <v>38.379248828058302</v>
      </c>
      <c r="W371">
        <v>8.2100000000003143E-2</v>
      </c>
    </row>
    <row r="372" spans="1:23" x14ac:dyDescent="0.5">
      <c r="A372" t="s">
        <v>373</v>
      </c>
      <c r="B372">
        <v>47.772279888160064</v>
      </c>
      <c r="C372">
        <v>6.9900000000002793E-2</v>
      </c>
      <c r="E372" t="s">
        <v>373</v>
      </c>
      <c r="F372">
        <v>56.645535849227493</v>
      </c>
      <c r="G372">
        <v>0.10960000000000393</v>
      </c>
      <c r="I372" t="s">
        <v>373</v>
      </c>
      <c r="J372">
        <v>47.101036987515542</v>
      </c>
      <c r="K372">
        <v>0.10390000000000377</v>
      </c>
      <c r="M372" t="s">
        <v>373</v>
      </c>
      <c r="N372">
        <v>42.595899188458709</v>
      </c>
      <c r="O372">
        <v>0.24009999999999168</v>
      </c>
      <c r="Q372" t="s">
        <v>373</v>
      </c>
      <c r="R372">
        <v>35.780064690519367</v>
      </c>
      <c r="S372">
        <v>9.9200000000003632E-2</v>
      </c>
      <c r="U372" t="s">
        <v>373</v>
      </c>
      <c r="V372">
        <v>41.141600682716856</v>
      </c>
      <c r="W372">
        <v>0.10540000000000381</v>
      </c>
    </row>
    <row r="373" spans="1:23" x14ac:dyDescent="0.5">
      <c r="A373" t="s">
        <v>374</v>
      </c>
      <c r="B373">
        <v>32.850071047337764</v>
      </c>
      <c r="C373">
        <v>6.7200000000002716E-2</v>
      </c>
      <c r="E373" t="s">
        <v>374</v>
      </c>
      <c r="F373">
        <v>37.419414821649632</v>
      </c>
      <c r="G373">
        <v>9.3100000000003458E-2</v>
      </c>
      <c r="I373" t="s">
        <v>374</v>
      </c>
      <c r="J373">
        <v>33.738252277008144</v>
      </c>
      <c r="K373">
        <v>9.6200000000003547E-2</v>
      </c>
      <c r="M373" t="s">
        <v>374</v>
      </c>
      <c r="N373">
        <v>39.691757805287963</v>
      </c>
      <c r="O373">
        <v>0.13560000000000319</v>
      </c>
      <c r="Q373" t="s">
        <v>374</v>
      </c>
      <c r="R373">
        <v>31.535985249724867</v>
      </c>
      <c r="S373">
        <v>0.12510000000000435</v>
      </c>
      <c r="U373" t="s">
        <v>374</v>
      </c>
      <c r="V373">
        <v>40.369007837397739</v>
      </c>
      <c r="W373">
        <v>8.8800000000003335E-2</v>
      </c>
    </row>
    <row r="374" spans="1:23" x14ac:dyDescent="0.5">
      <c r="A374" t="s">
        <v>375</v>
      </c>
      <c r="B374">
        <v>38.032430151792113</v>
      </c>
      <c r="C374">
        <v>7.3500000000002896E-2</v>
      </c>
      <c r="E374" t="s">
        <v>375</v>
      </c>
      <c r="F374">
        <v>41.239452277611385</v>
      </c>
      <c r="G374">
        <v>0.13650000000000309</v>
      </c>
      <c r="I374" t="s">
        <v>375</v>
      </c>
      <c r="J374">
        <v>37.974119567396542</v>
      </c>
      <c r="K374">
        <v>0.12660000000000418</v>
      </c>
      <c r="M374" t="s">
        <v>375</v>
      </c>
      <c r="N374">
        <v>53.387839119563807</v>
      </c>
      <c r="O374">
        <v>0.12720000000000412</v>
      </c>
      <c r="Q374" t="s">
        <v>375</v>
      </c>
      <c r="R374">
        <v>37.943012455941144</v>
      </c>
      <c r="S374">
        <v>9.4200000000003489E-2</v>
      </c>
      <c r="U374" t="s">
        <v>375</v>
      </c>
      <c r="V374">
        <v>54.103073332123287</v>
      </c>
      <c r="W374">
        <v>9.040000000000338E-2</v>
      </c>
    </row>
    <row r="375" spans="1:23" x14ac:dyDescent="0.5">
      <c r="A375" t="s">
        <v>376</v>
      </c>
      <c r="B375">
        <v>41.822718107249337</v>
      </c>
      <c r="C375">
        <v>0.11110000000000397</v>
      </c>
      <c r="E375" t="s">
        <v>376</v>
      </c>
      <c r="F375">
        <v>43.339090883603994</v>
      </c>
      <c r="G375">
        <v>0.10600000000000383</v>
      </c>
      <c r="I375" t="s">
        <v>376</v>
      </c>
      <c r="J375">
        <v>29.635662573558648</v>
      </c>
      <c r="K375">
        <v>0.11460000000000407</v>
      </c>
      <c r="M375" t="s">
        <v>376</v>
      </c>
      <c r="N375">
        <v>39.197282152035662</v>
      </c>
      <c r="O375">
        <v>0.12200000000000429</v>
      </c>
      <c r="Q375" t="s">
        <v>376</v>
      </c>
      <c r="R375">
        <v>30.932754820528881</v>
      </c>
      <c r="S375">
        <v>0.13670000000000307</v>
      </c>
      <c r="U375" t="s">
        <v>376</v>
      </c>
      <c r="V375">
        <v>27.290404185036707</v>
      </c>
      <c r="W375">
        <v>0.10410000000000377</v>
      </c>
    </row>
    <row r="376" spans="1:23" x14ac:dyDescent="0.5">
      <c r="A376" t="s">
        <v>377</v>
      </c>
      <c r="B376">
        <v>37.426403669894036</v>
      </c>
      <c r="C376">
        <v>8.8400000000003323E-2</v>
      </c>
      <c r="E376" t="s">
        <v>377</v>
      </c>
      <c r="F376">
        <v>46.00825665374559</v>
      </c>
      <c r="G376">
        <v>0.10270000000000373</v>
      </c>
      <c r="I376" t="s">
        <v>377</v>
      </c>
      <c r="J376">
        <v>40.955720199482357</v>
      </c>
      <c r="K376">
        <v>0.10580000000000382</v>
      </c>
      <c r="M376" t="s">
        <v>377</v>
      </c>
      <c r="N376">
        <v>80.846268921579366</v>
      </c>
      <c r="O376">
        <v>0.12510000000000435</v>
      </c>
      <c r="Q376" t="s">
        <v>377</v>
      </c>
      <c r="R376">
        <v>47.272675805969072</v>
      </c>
      <c r="S376">
        <v>0.11240000000000401</v>
      </c>
      <c r="U376" t="s">
        <v>377</v>
      </c>
      <c r="V376">
        <v>49.358864588318021</v>
      </c>
      <c r="W376">
        <v>0.1084000000000039</v>
      </c>
    </row>
    <row r="377" spans="1:23" x14ac:dyDescent="0.5">
      <c r="A377" t="s">
        <v>378</v>
      </c>
      <c r="B377">
        <v>50.955420518900475</v>
      </c>
      <c r="C377">
        <v>6.9700000000002788E-2</v>
      </c>
      <c r="E377" t="s">
        <v>378</v>
      </c>
      <c r="F377">
        <v>44.690870283809886</v>
      </c>
      <c r="G377">
        <v>0.14310000000000236</v>
      </c>
      <c r="I377" t="s">
        <v>378</v>
      </c>
      <c r="J377">
        <v>37.702127723550241</v>
      </c>
      <c r="K377">
        <v>0.10210000000000372</v>
      </c>
      <c r="M377" t="s">
        <v>378</v>
      </c>
      <c r="N377">
        <v>40.781700411609613</v>
      </c>
      <c r="O377">
        <v>0.11970000000000422</v>
      </c>
      <c r="Q377" t="s">
        <v>378</v>
      </c>
      <c r="R377">
        <v>47.692096242300615</v>
      </c>
      <c r="S377">
        <v>0.1017000000000037</v>
      </c>
      <c r="U377" t="s">
        <v>378</v>
      </c>
      <c r="V377">
        <v>45.996074806985938</v>
      </c>
      <c r="W377">
        <v>9.1500000000003412E-2</v>
      </c>
    </row>
    <row r="378" spans="1:23" x14ac:dyDescent="0.5">
      <c r="A378" t="s">
        <v>379</v>
      </c>
      <c r="B378">
        <v>46.449851612461273</v>
      </c>
      <c r="C378">
        <v>8.1700000000003131E-2</v>
      </c>
      <c r="E378" t="s">
        <v>379</v>
      </c>
      <c r="F378">
        <v>62.519052607645925</v>
      </c>
      <c r="G378">
        <v>0.12500000000000436</v>
      </c>
      <c r="I378" t="s">
        <v>379</v>
      </c>
      <c r="J378">
        <v>42.287254564002176</v>
      </c>
      <c r="K378">
        <v>0.11020000000000395</v>
      </c>
      <c r="M378" t="s">
        <v>379</v>
      </c>
      <c r="N378">
        <v>45.098062069854244</v>
      </c>
      <c r="O378">
        <v>0.11080000000000396</v>
      </c>
      <c r="Q378" t="s">
        <v>379</v>
      </c>
      <c r="R378">
        <v>42.34224280808774</v>
      </c>
      <c r="S378">
        <v>9.5600000000003529E-2</v>
      </c>
      <c r="U378" t="s">
        <v>379</v>
      </c>
      <c r="V378">
        <v>53.056670237313284</v>
      </c>
      <c r="W378">
        <v>8.8100000000003315E-2</v>
      </c>
    </row>
    <row r="379" spans="1:23" x14ac:dyDescent="0.5">
      <c r="A379" t="s">
        <v>380</v>
      </c>
      <c r="B379">
        <v>57.457627091954457</v>
      </c>
      <c r="C379">
        <v>9.0000000000003369E-2</v>
      </c>
      <c r="E379" t="s">
        <v>380</v>
      </c>
      <c r="F379">
        <v>37.820777432614598</v>
      </c>
      <c r="G379">
        <v>0.1190000000000042</v>
      </c>
      <c r="I379" t="s">
        <v>380</v>
      </c>
      <c r="J379">
        <v>41.087004386854851</v>
      </c>
      <c r="K379">
        <v>0.1225000000000043</v>
      </c>
      <c r="M379" t="s">
        <v>380</v>
      </c>
      <c r="N379">
        <v>38.854680816953305</v>
      </c>
      <c r="O379">
        <v>0.12390000000000434</v>
      </c>
      <c r="Q379" t="s">
        <v>380</v>
      </c>
      <c r="R379">
        <v>32.041138890105977</v>
      </c>
      <c r="S379">
        <v>0.11090000000000397</v>
      </c>
      <c r="U379" t="s">
        <v>380</v>
      </c>
      <c r="V379">
        <v>46.682545683225101</v>
      </c>
      <c r="W379">
        <v>0.10940000000000392</v>
      </c>
    </row>
    <row r="380" spans="1:23" x14ac:dyDescent="0.5">
      <c r="A380" t="s">
        <v>381</v>
      </c>
      <c r="B380">
        <v>43.812534228223193</v>
      </c>
      <c r="C380">
        <v>9.8300000000003607E-2</v>
      </c>
      <c r="E380" t="s">
        <v>381</v>
      </c>
      <c r="F380">
        <v>37.170362856377309</v>
      </c>
      <c r="G380">
        <v>0.10660000000000384</v>
      </c>
      <c r="I380" t="s">
        <v>381</v>
      </c>
      <c r="J380">
        <v>36.120865016360511</v>
      </c>
      <c r="K380">
        <v>0.10770000000000388</v>
      </c>
      <c r="M380" t="s">
        <v>381</v>
      </c>
      <c r="N380">
        <v>56.283144884690735</v>
      </c>
      <c r="O380">
        <v>0.12810000000000402</v>
      </c>
      <c r="Q380" t="s">
        <v>381</v>
      </c>
      <c r="R380">
        <v>37.126320126565766</v>
      </c>
      <c r="S380">
        <v>9.7400000000003581E-2</v>
      </c>
      <c r="U380" t="s">
        <v>381</v>
      </c>
      <c r="V380">
        <v>54.462719466418889</v>
      </c>
      <c r="W380">
        <v>9.0100000000003372E-2</v>
      </c>
    </row>
    <row r="381" spans="1:23" x14ac:dyDescent="0.5">
      <c r="A381" t="s">
        <v>382</v>
      </c>
      <c r="B381">
        <v>39.831890910904896</v>
      </c>
      <c r="C381">
        <v>8.3600000000003186E-2</v>
      </c>
      <c r="E381" t="s">
        <v>382</v>
      </c>
      <c r="F381">
        <v>48.791891989186141</v>
      </c>
      <c r="G381">
        <v>0.10390000000000377</v>
      </c>
      <c r="I381" t="s">
        <v>382</v>
      </c>
      <c r="J381">
        <v>41.853457303620338</v>
      </c>
      <c r="K381">
        <v>0.10230000000000372</v>
      </c>
      <c r="M381" t="s">
        <v>382</v>
      </c>
      <c r="N381">
        <v>77.193155930773983</v>
      </c>
      <c r="O381">
        <v>5.0300000000002239E-2</v>
      </c>
      <c r="Q381" t="s">
        <v>382</v>
      </c>
      <c r="R381">
        <v>43.369466941818466</v>
      </c>
      <c r="S381">
        <v>9.9000000000003627E-2</v>
      </c>
      <c r="U381" t="s">
        <v>382</v>
      </c>
      <c r="V381">
        <v>69.068272931184865</v>
      </c>
      <c r="W381">
        <v>8.9500000000003355E-2</v>
      </c>
    </row>
    <row r="382" spans="1:23" x14ac:dyDescent="0.5">
      <c r="A382" t="s">
        <v>383</v>
      </c>
      <c r="B382">
        <v>112.63637360102864</v>
      </c>
      <c r="C382">
        <v>0.10250000000000373</v>
      </c>
      <c r="E382" t="s">
        <v>383</v>
      </c>
      <c r="F382">
        <v>31.936775997687757</v>
      </c>
      <c r="G382">
        <v>0.14770000000000186</v>
      </c>
      <c r="I382" t="s">
        <v>383</v>
      </c>
      <c r="J382">
        <v>26.65113920125566</v>
      </c>
      <c r="K382">
        <v>0.11660000000000413</v>
      </c>
      <c r="M382" t="s">
        <v>383</v>
      </c>
      <c r="N382">
        <v>39.873021847940635</v>
      </c>
      <c r="O382">
        <v>0.13790000000000294</v>
      </c>
      <c r="Q382" t="s">
        <v>383</v>
      </c>
      <c r="R382">
        <v>32.570780652055049</v>
      </c>
      <c r="S382">
        <v>0.11980000000000422</v>
      </c>
      <c r="U382" t="s">
        <v>383</v>
      </c>
      <c r="V382">
        <v>32.367535799029902</v>
      </c>
      <c r="W382">
        <v>0.10310000000000374</v>
      </c>
    </row>
    <row r="383" spans="1:23" x14ac:dyDescent="0.5">
      <c r="A383" t="s">
        <v>384</v>
      </c>
      <c r="B383">
        <v>35.954511470399495</v>
      </c>
      <c r="C383">
        <v>8.6300000000003263E-2</v>
      </c>
      <c r="E383" t="s">
        <v>384</v>
      </c>
      <c r="F383">
        <v>45.692295281970985</v>
      </c>
      <c r="G383">
        <v>0.10460000000000379</v>
      </c>
      <c r="I383" t="s">
        <v>384</v>
      </c>
      <c r="J383">
        <v>33.254894324086926</v>
      </c>
      <c r="K383">
        <v>0.10680000000000385</v>
      </c>
      <c r="M383" t="s">
        <v>384</v>
      </c>
      <c r="N383">
        <v>56.219928954542468</v>
      </c>
      <c r="O383">
        <v>0.12650000000000419</v>
      </c>
      <c r="Q383" t="s">
        <v>384</v>
      </c>
      <c r="R383">
        <v>42.353919989635692</v>
      </c>
      <c r="S383">
        <v>0.12130000000000427</v>
      </c>
      <c r="U383" t="s">
        <v>384</v>
      </c>
      <c r="V383">
        <v>40.365765782861679</v>
      </c>
      <c r="W383">
        <v>0.11280000000000402</v>
      </c>
    </row>
    <row r="384" spans="1:23" x14ac:dyDescent="0.5">
      <c r="A384" t="s">
        <v>385</v>
      </c>
      <c r="B384">
        <v>64.790311055555904</v>
      </c>
      <c r="C384">
        <v>8.4500000000003211E-2</v>
      </c>
      <c r="E384" t="s">
        <v>385</v>
      </c>
      <c r="F384">
        <v>47.703393222954162</v>
      </c>
      <c r="G384">
        <v>9.1300000000003406E-2</v>
      </c>
      <c r="I384" t="s">
        <v>385</v>
      </c>
      <c r="J384">
        <v>41.51877850746736</v>
      </c>
      <c r="K384">
        <v>9.11000000000034E-2</v>
      </c>
      <c r="M384" t="s">
        <v>385</v>
      </c>
      <c r="N384">
        <v>86.345374364885842</v>
      </c>
      <c r="O384">
        <v>0.10330000000000375</v>
      </c>
      <c r="Q384" t="s">
        <v>385</v>
      </c>
      <c r="R384">
        <v>52.563240367994062</v>
      </c>
      <c r="S384">
        <v>9.1900000000003423E-2</v>
      </c>
      <c r="U384" t="s">
        <v>385</v>
      </c>
      <c r="V384">
        <v>45.023977204085007</v>
      </c>
      <c r="W384">
        <v>8.8800000000003335E-2</v>
      </c>
    </row>
    <row r="385" spans="1:23" x14ac:dyDescent="0.5">
      <c r="A385" t="s">
        <v>386</v>
      </c>
      <c r="B385">
        <v>33.104479640216525</v>
      </c>
      <c r="C385">
        <v>8.0900000000003108E-2</v>
      </c>
      <c r="E385" t="s">
        <v>386</v>
      </c>
      <c r="F385">
        <v>37.531280182501291</v>
      </c>
      <c r="G385">
        <v>9.7300000000003578E-2</v>
      </c>
      <c r="I385" t="s">
        <v>386</v>
      </c>
      <c r="J385">
        <v>30.889336022956609</v>
      </c>
      <c r="K385">
        <v>0.10940000000000392</v>
      </c>
      <c r="M385" t="s">
        <v>386</v>
      </c>
      <c r="N385">
        <v>51.540530519954991</v>
      </c>
      <c r="O385">
        <v>0.12770000000000406</v>
      </c>
      <c r="Q385" t="s">
        <v>386</v>
      </c>
      <c r="R385">
        <v>36.876195222744002</v>
      </c>
      <c r="S385">
        <v>0.12000000000000423</v>
      </c>
      <c r="U385" t="s">
        <v>386</v>
      </c>
      <c r="V385">
        <v>38.656774741298968</v>
      </c>
      <c r="W385">
        <v>9.8500000000003612E-2</v>
      </c>
    </row>
    <row r="386" spans="1:23" x14ac:dyDescent="0.5">
      <c r="A386" t="s">
        <v>387</v>
      </c>
      <c r="B386">
        <v>38.13836941067153</v>
      </c>
      <c r="C386">
        <v>7.2500000000002868E-2</v>
      </c>
      <c r="E386" t="s">
        <v>387</v>
      </c>
      <c r="F386">
        <v>42.564042294107523</v>
      </c>
      <c r="G386">
        <v>9.4800000000003506E-2</v>
      </c>
      <c r="I386" t="s">
        <v>387</v>
      </c>
      <c r="J386">
        <v>40.590606143290536</v>
      </c>
      <c r="K386">
        <v>8.6800000000003277E-2</v>
      </c>
      <c r="M386" t="s">
        <v>387</v>
      </c>
      <c r="N386">
        <v>88.190896611984371</v>
      </c>
      <c r="O386">
        <v>0.10530000000000381</v>
      </c>
      <c r="Q386" t="s">
        <v>387</v>
      </c>
      <c r="R386">
        <v>42.166103934227571</v>
      </c>
      <c r="S386">
        <v>0.11380000000000405</v>
      </c>
      <c r="U386" t="s">
        <v>387</v>
      </c>
      <c r="V386">
        <v>45.085241206011503</v>
      </c>
      <c r="W386">
        <v>8.6400000000003266E-2</v>
      </c>
    </row>
    <row r="387" spans="1:23" x14ac:dyDescent="0.5">
      <c r="A387" t="s">
        <v>388</v>
      </c>
      <c r="B387">
        <v>41.432594433365281</v>
      </c>
      <c r="C387">
        <v>9.1800000000003421E-2</v>
      </c>
      <c r="E387" t="s">
        <v>388</v>
      </c>
      <c r="F387">
        <v>55.780543666980805</v>
      </c>
      <c r="G387">
        <v>0.10610000000000383</v>
      </c>
      <c r="I387" t="s">
        <v>388</v>
      </c>
      <c r="J387">
        <v>38.056519183474634</v>
      </c>
      <c r="K387">
        <v>0.11160000000000399</v>
      </c>
      <c r="M387" t="s">
        <v>388</v>
      </c>
      <c r="N387">
        <v>64.124555159757477</v>
      </c>
      <c r="O387">
        <v>0.11110000000000397</v>
      </c>
      <c r="Q387" t="s">
        <v>388</v>
      </c>
      <c r="R387">
        <v>42.676493830897165</v>
      </c>
      <c r="S387">
        <v>0.11300000000000403</v>
      </c>
      <c r="U387" t="s">
        <v>388</v>
      </c>
      <c r="V387">
        <v>43.650884368513729</v>
      </c>
      <c r="W387">
        <v>8.8700000000003332E-2</v>
      </c>
    </row>
    <row r="388" spans="1:23" x14ac:dyDescent="0.5">
      <c r="A388" t="s">
        <v>389</v>
      </c>
      <c r="B388">
        <v>43.849132291517229</v>
      </c>
      <c r="C388">
        <v>8.1000000000003111E-2</v>
      </c>
      <c r="E388" t="s">
        <v>389</v>
      </c>
      <c r="F388">
        <v>53.623487360782349</v>
      </c>
      <c r="G388">
        <v>0.1189000000000042</v>
      </c>
      <c r="I388" t="s">
        <v>389</v>
      </c>
      <c r="J388">
        <v>42.19248328441811</v>
      </c>
      <c r="K388">
        <v>9.8700000000003618E-2</v>
      </c>
      <c r="M388" t="s">
        <v>389</v>
      </c>
      <c r="N388">
        <v>67.262119580745207</v>
      </c>
      <c r="O388">
        <v>0.11070000000000396</v>
      </c>
      <c r="Q388" t="s">
        <v>389</v>
      </c>
      <c r="R388">
        <v>46.318634846453158</v>
      </c>
      <c r="S388">
        <v>0.10040000000000367</v>
      </c>
      <c r="U388" t="s">
        <v>389</v>
      </c>
      <c r="V388">
        <v>42.615513553134804</v>
      </c>
      <c r="W388">
        <v>9.1200000000003403E-2</v>
      </c>
    </row>
    <row r="389" spans="1:23" x14ac:dyDescent="0.5">
      <c r="A389" t="s">
        <v>390</v>
      </c>
      <c r="B389">
        <v>39.508473974235649</v>
      </c>
      <c r="C389">
        <v>7.0600000000002813E-2</v>
      </c>
      <c r="E389" t="s">
        <v>390</v>
      </c>
      <c r="F389">
        <v>39.543820622459251</v>
      </c>
      <c r="G389">
        <v>0.12190000000000428</v>
      </c>
      <c r="I389" t="s">
        <v>390</v>
      </c>
      <c r="J389">
        <v>37.414995636602484</v>
      </c>
      <c r="K389">
        <v>0.1015000000000037</v>
      </c>
      <c r="M389" t="s">
        <v>390</v>
      </c>
      <c r="N389">
        <v>63.393891754563626</v>
      </c>
      <c r="O389">
        <v>0.112100000000004</v>
      </c>
      <c r="Q389" t="s">
        <v>390</v>
      </c>
      <c r="R389">
        <v>37.980373732357407</v>
      </c>
      <c r="S389">
        <v>9.5500000000003527E-2</v>
      </c>
      <c r="U389" t="s">
        <v>390</v>
      </c>
      <c r="V389">
        <v>56.135890375977617</v>
      </c>
      <c r="W389">
        <v>8.8000000000003312E-2</v>
      </c>
    </row>
    <row r="390" spans="1:23" x14ac:dyDescent="0.5">
      <c r="A390" t="s">
        <v>391</v>
      </c>
      <c r="B390">
        <v>42.079130259340992</v>
      </c>
      <c r="C390">
        <v>8.2100000000003143E-2</v>
      </c>
      <c r="E390" t="s">
        <v>391</v>
      </c>
      <c r="F390">
        <v>44.263138903551337</v>
      </c>
      <c r="G390">
        <v>9.0700000000003389E-2</v>
      </c>
      <c r="I390" t="s">
        <v>391</v>
      </c>
      <c r="J390">
        <v>39.498930884196021</v>
      </c>
      <c r="K390">
        <v>9.3000000000003455E-2</v>
      </c>
      <c r="M390" t="s">
        <v>391</v>
      </c>
      <c r="N390">
        <v>66.687602558744601</v>
      </c>
      <c r="O390">
        <v>0.11040000000000395</v>
      </c>
      <c r="Q390" t="s">
        <v>391</v>
      </c>
      <c r="R390">
        <v>47.088276341701885</v>
      </c>
      <c r="S390">
        <v>8.8600000000003329E-2</v>
      </c>
      <c r="U390" t="s">
        <v>391</v>
      </c>
      <c r="V390">
        <v>54.308872036805951</v>
      </c>
      <c r="W390">
        <v>8.5000000000003226E-2</v>
      </c>
    </row>
    <row r="391" spans="1:23" x14ac:dyDescent="0.5">
      <c r="A391" t="s">
        <v>392</v>
      </c>
      <c r="B391">
        <v>52.51098695740594</v>
      </c>
      <c r="C391">
        <v>8.1200000000003117E-2</v>
      </c>
      <c r="E391" t="s">
        <v>392</v>
      </c>
      <c r="F391">
        <v>59.32566343392601</v>
      </c>
      <c r="G391">
        <v>0.13320000000000345</v>
      </c>
      <c r="I391" t="s">
        <v>392</v>
      </c>
      <c r="J391">
        <v>38.186350766147115</v>
      </c>
      <c r="K391">
        <v>0.11050000000000396</v>
      </c>
      <c r="M391" t="s">
        <v>392</v>
      </c>
      <c r="N391">
        <v>54.783433802536813</v>
      </c>
      <c r="O391">
        <v>0.12610000000000424</v>
      </c>
      <c r="Q391" t="s">
        <v>392</v>
      </c>
      <c r="R391">
        <v>35.742844624283592</v>
      </c>
      <c r="S391">
        <v>0.10810000000000389</v>
      </c>
      <c r="U391" t="s">
        <v>392</v>
      </c>
      <c r="V391">
        <v>53.790612692820034</v>
      </c>
      <c r="W391">
        <v>0.10540000000000381</v>
      </c>
    </row>
    <row r="392" spans="1:23" x14ac:dyDescent="0.5">
      <c r="A392" t="s">
        <v>393</v>
      </c>
      <c r="B392">
        <v>31.218444820163306</v>
      </c>
      <c r="C392">
        <v>7.8200000000003031E-2</v>
      </c>
      <c r="E392" t="s">
        <v>393</v>
      </c>
      <c r="F392">
        <v>59.638627238354694</v>
      </c>
      <c r="G392">
        <v>0.12040000000000424</v>
      </c>
      <c r="I392" t="s">
        <v>393</v>
      </c>
      <c r="J392">
        <v>36.018508172041045</v>
      </c>
      <c r="K392">
        <v>0.10590000000000382</v>
      </c>
      <c r="M392" t="s">
        <v>393</v>
      </c>
      <c r="N392">
        <v>42.598411751500194</v>
      </c>
      <c r="O392">
        <v>0.12690000000000415</v>
      </c>
      <c r="Q392" t="s">
        <v>393</v>
      </c>
      <c r="R392">
        <v>31.992652814829626</v>
      </c>
      <c r="S392">
        <v>0.12210000000000429</v>
      </c>
      <c r="U392" t="s">
        <v>393</v>
      </c>
      <c r="V392">
        <v>43.135649523766688</v>
      </c>
      <c r="W392">
        <v>8.690000000000328E-2</v>
      </c>
    </row>
    <row r="393" spans="1:23" x14ac:dyDescent="0.5">
      <c r="A393" t="s">
        <v>394</v>
      </c>
      <c r="B393">
        <v>66.573415895968779</v>
      </c>
      <c r="C393">
        <v>7.9700000000003074E-2</v>
      </c>
      <c r="E393" t="s">
        <v>394</v>
      </c>
      <c r="F393">
        <v>47.961269556341804</v>
      </c>
      <c r="G393">
        <v>0.13300000000000348</v>
      </c>
      <c r="I393" t="s">
        <v>394</v>
      </c>
      <c r="J393">
        <v>40.72848443113962</v>
      </c>
      <c r="K393">
        <v>0.10090000000000368</v>
      </c>
      <c r="M393" t="s">
        <v>394</v>
      </c>
      <c r="N393">
        <v>67.806224058806066</v>
      </c>
      <c r="O393">
        <v>0.11590000000000411</v>
      </c>
      <c r="Q393" t="s">
        <v>394</v>
      </c>
      <c r="R393">
        <v>44.079957549815376</v>
      </c>
      <c r="S393">
        <v>9.3200000000003461E-2</v>
      </c>
      <c r="U393" t="s">
        <v>394</v>
      </c>
      <c r="V393">
        <v>54.158323866429228</v>
      </c>
      <c r="W393">
        <v>9.8500000000003612E-2</v>
      </c>
    </row>
    <row r="394" spans="1:23" x14ac:dyDescent="0.5">
      <c r="A394" t="s">
        <v>395</v>
      </c>
      <c r="B394">
        <v>45.46075747283416</v>
      </c>
      <c r="C394">
        <v>7.9800000000003077E-2</v>
      </c>
      <c r="E394" t="s">
        <v>395</v>
      </c>
      <c r="F394">
        <v>41.016772083257877</v>
      </c>
      <c r="G394">
        <v>0.13120000000000367</v>
      </c>
      <c r="I394" t="s">
        <v>395</v>
      </c>
      <c r="J394">
        <v>39.066445800456393</v>
      </c>
      <c r="K394">
        <v>9.910000000000363E-2</v>
      </c>
      <c r="M394" t="s">
        <v>395</v>
      </c>
      <c r="N394">
        <v>65.365157763822097</v>
      </c>
      <c r="O394">
        <v>0.11480000000000408</v>
      </c>
      <c r="Q394" t="s">
        <v>395</v>
      </c>
      <c r="R394">
        <v>40.616187805808586</v>
      </c>
      <c r="S394">
        <v>9.3100000000003458E-2</v>
      </c>
      <c r="U394" t="s">
        <v>395</v>
      </c>
      <c r="V394">
        <v>49.617202219826574</v>
      </c>
      <c r="W394">
        <v>8.7100000000003286E-2</v>
      </c>
    </row>
    <row r="395" spans="1:23" x14ac:dyDescent="0.5">
      <c r="A395" t="s">
        <v>396</v>
      </c>
      <c r="B395">
        <v>33.529734010635714</v>
      </c>
      <c r="C395">
        <v>0.10120000000000369</v>
      </c>
      <c r="E395" t="s">
        <v>396</v>
      </c>
      <c r="F395">
        <v>41.112434524253196</v>
      </c>
      <c r="G395">
        <v>9.7400000000003581E-2</v>
      </c>
      <c r="I395" t="s">
        <v>396</v>
      </c>
      <c r="J395">
        <v>37.917403142876573</v>
      </c>
      <c r="K395">
        <v>8.8500000000003326E-2</v>
      </c>
      <c r="M395" t="s">
        <v>396</v>
      </c>
      <c r="N395">
        <v>56.796617977300635</v>
      </c>
      <c r="O395">
        <v>0.12180000000000428</v>
      </c>
      <c r="Q395" t="s">
        <v>396</v>
      </c>
      <c r="R395">
        <v>83.057643134813617</v>
      </c>
      <c r="S395">
        <v>0.12390000000000434</v>
      </c>
      <c r="U395" t="s">
        <v>396</v>
      </c>
      <c r="V395">
        <v>41.610712355427779</v>
      </c>
      <c r="W395">
        <v>9.1500000000003412E-2</v>
      </c>
    </row>
    <row r="396" spans="1:23" x14ac:dyDescent="0.5">
      <c r="A396" t="s">
        <v>397</v>
      </c>
      <c r="B396">
        <v>54.715823275531868</v>
      </c>
      <c r="C396">
        <v>7.5400000000002951E-2</v>
      </c>
      <c r="E396" t="s">
        <v>397</v>
      </c>
      <c r="F396">
        <v>40.499015920681224</v>
      </c>
      <c r="G396">
        <v>9.8700000000003618E-2</v>
      </c>
      <c r="I396" t="s">
        <v>397</v>
      </c>
      <c r="J396">
        <v>39.689910759843045</v>
      </c>
      <c r="K396">
        <v>9.6500000000003555E-2</v>
      </c>
      <c r="M396" t="s">
        <v>397</v>
      </c>
      <c r="N396">
        <v>60.517369694895429</v>
      </c>
      <c r="O396">
        <v>0.11130000000000398</v>
      </c>
      <c r="Q396" t="s">
        <v>397</v>
      </c>
      <c r="R396">
        <v>45.213039421875969</v>
      </c>
      <c r="S396">
        <v>0.10400000000000377</v>
      </c>
      <c r="U396" t="s">
        <v>397</v>
      </c>
      <c r="V396">
        <v>48.410286746414428</v>
      </c>
      <c r="W396">
        <v>8.4300000000003206E-2</v>
      </c>
    </row>
    <row r="397" spans="1:23" x14ac:dyDescent="0.5">
      <c r="A397" t="s">
        <v>398</v>
      </c>
      <c r="B397">
        <v>31.801326617828092</v>
      </c>
      <c r="C397">
        <v>8.970000000000336E-2</v>
      </c>
      <c r="E397" t="s">
        <v>398</v>
      </c>
      <c r="F397">
        <v>40.46833252384404</v>
      </c>
      <c r="G397">
        <v>0.10080000000000368</v>
      </c>
      <c r="I397" t="s">
        <v>398</v>
      </c>
      <c r="J397">
        <v>35.427314710497441</v>
      </c>
      <c r="K397">
        <v>0.10220000000000372</v>
      </c>
      <c r="M397" t="s">
        <v>398</v>
      </c>
      <c r="N397">
        <v>49.421094443864568</v>
      </c>
      <c r="O397">
        <v>0.11860000000000419</v>
      </c>
      <c r="Q397" t="s">
        <v>398</v>
      </c>
      <c r="R397">
        <v>49.972237166746801</v>
      </c>
      <c r="S397">
        <v>0.12010000000000423</v>
      </c>
      <c r="U397" t="s">
        <v>398</v>
      </c>
      <c r="V397">
        <v>43.079449101164833</v>
      </c>
      <c r="W397">
        <v>8.7700000000003303E-2</v>
      </c>
    </row>
    <row r="398" spans="1:23" x14ac:dyDescent="0.5">
      <c r="A398" t="s">
        <v>399</v>
      </c>
      <c r="B398">
        <v>27.947334849318423</v>
      </c>
      <c r="C398">
        <v>0.10630000000000384</v>
      </c>
      <c r="E398" t="s">
        <v>399</v>
      </c>
      <c r="F398">
        <v>37.678345220209152</v>
      </c>
      <c r="G398">
        <v>0.10060000000000367</v>
      </c>
      <c r="I398" t="s">
        <v>399</v>
      </c>
      <c r="J398">
        <v>39.003724924157567</v>
      </c>
      <c r="K398">
        <v>9.3000000000003455E-2</v>
      </c>
      <c r="M398" t="s">
        <v>399</v>
      </c>
      <c r="N398">
        <v>48.632218323885418</v>
      </c>
      <c r="O398">
        <v>0.12320000000000432</v>
      </c>
      <c r="Q398" t="s">
        <v>399</v>
      </c>
      <c r="R398">
        <v>35.03829732781756</v>
      </c>
      <c r="S398">
        <v>0.12800000000000403</v>
      </c>
      <c r="U398" t="s">
        <v>399</v>
      </c>
      <c r="V398">
        <v>36.923588531638103</v>
      </c>
      <c r="W398">
        <v>9.910000000000363E-2</v>
      </c>
    </row>
    <row r="399" spans="1:23" x14ac:dyDescent="0.5">
      <c r="A399" t="s">
        <v>400</v>
      </c>
      <c r="B399">
        <v>41.796280417697595</v>
      </c>
      <c r="C399">
        <v>7.6500000000002982E-2</v>
      </c>
      <c r="E399" t="s">
        <v>400</v>
      </c>
      <c r="F399">
        <v>51.135842340468194</v>
      </c>
      <c r="G399">
        <v>0.13170000000000362</v>
      </c>
      <c r="I399" t="s">
        <v>400</v>
      </c>
      <c r="J399">
        <v>38.730187921197626</v>
      </c>
      <c r="K399">
        <v>0.13130000000000366</v>
      </c>
      <c r="M399" t="s">
        <v>400</v>
      </c>
      <c r="N399">
        <v>64.698507767402276</v>
      </c>
      <c r="O399">
        <v>0.12960000000000385</v>
      </c>
      <c r="Q399" t="s">
        <v>400</v>
      </c>
      <c r="R399">
        <v>56.457987926048297</v>
      </c>
      <c r="S399">
        <v>0.13090000000000371</v>
      </c>
      <c r="U399" t="s">
        <v>400</v>
      </c>
      <c r="V399">
        <v>60.85492934989454</v>
      </c>
      <c r="W399">
        <v>9.8300000000003607E-2</v>
      </c>
    </row>
    <row r="400" spans="1:23" x14ac:dyDescent="0.5">
      <c r="A400" t="s">
        <v>401</v>
      </c>
      <c r="B400">
        <v>40.70620694562912</v>
      </c>
      <c r="C400">
        <v>8.970000000000336E-2</v>
      </c>
      <c r="E400" t="s">
        <v>401</v>
      </c>
      <c r="F400">
        <v>38.153497642386085</v>
      </c>
      <c r="G400">
        <v>0.13210000000000358</v>
      </c>
      <c r="I400" t="s">
        <v>401</v>
      </c>
      <c r="J400">
        <v>32.779935453360878</v>
      </c>
      <c r="K400">
        <v>0.12390000000000434</v>
      </c>
      <c r="M400" t="s">
        <v>401</v>
      </c>
      <c r="N400">
        <v>48.86988355477596</v>
      </c>
      <c r="O400">
        <v>0.10940000000000392</v>
      </c>
      <c r="Q400" t="s">
        <v>401</v>
      </c>
      <c r="R400">
        <v>69.650042673246844</v>
      </c>
      <c r="S400">
        <v>8.5000000000003226E-2</v>
      </c>
      <c r="U400" t="s">
        <v>401</v>
      </c>
      <c r="V400">
        <v>30.778242325220031</v>
      </c>
      <c r="W400">
        <v>8.270000000000316E-2</v>
      </c>
    </row>
    <row r="401" spans="1:23" x14ac:dyDescent="0.5">
      <c r="A401" t="s">
        <v>402</v>
      </c>
      <c r="B401">
        <v>44.670370589782969</v>
      </c>
      <c r="C401">
        <v>7.1100000000002828E-2</v>
      </c>
      <c r="E401" t="s">
        <v>402</v>
      </c>
      <c r="F401">
        <v>550.91612267245614</v>
      </c>
      <c r="G401">
        <v>0.12140000000000427</v>
      </c>
      <c r="I401" t="s">
        <v>402</v>
      </c>
      <c r="J401">
        <v>35.647230900790809</v>
      </c>
      <c r="K401">
        <v>0.10590000000000382</v>
      </c>
      <c r="M401" t="s">
        <v>402</v>
      </c>
      <c r="N401">
        <v>65.20390304578757</v>
      </c>
      <c r="O401">
        <v>0.11710000000000415</v>
      </c>
      <c r="Q401" t="s">
        <v>402</v>
      </c>
      <c r="R401">
        <v>42.623216442825886</v>
      </c>
      <c r="S401">
        <v>0.10460000000000379</v>
      </c>
      <c r="U401" t="s">
        <v>402</v>
      </c>
      <c r="V401">
        <v>49.106040304616378</v>
      </c>
      <c r="W401">
        <v>8.9800000000003363E-2</v>
      </c>
    </row>
    <row r="402" spans="1:23" x14ac:dyDescent="0.5">
      <c r="A402" t="s">
        <v>403</v>
      </c>
      <c r="B402">
        <v>47.397939333352632</v>
      </c>
      <c r="C402">
        <v>7.9100000000003057E-2</v>
      </c>
      <c r="E402" t="s">
        <v>403</v>
      </c>
      <c r="F402">
        <v>43.797017346217608</v>
      </c>
      <c r="G402">
        <v>0.10000000000000366</v>
      </c>
      <c r="I402" t="s">
        <v>403</v>
      </c>
      <c r="J402">
        <v>44.466934827952684</v>
      </c>
      <c r="K402">
        <v>9.9600000000003644E-2</v>
      </c>
      <c r="M402" t="s">
        <v>403</v>
      </c>
      <c r="N402">
        <v>72.930971515042771</v>
      </c>
      <c r="O402">
        <v>0.10780000000000388</v>
      </c>
      <c r="Q402" t="s">
        <v>403</v>
      </c>
      <c r="R402">
        <v>70.635379284471526</v>
      </c>
      <c r="S402">
        <v>9.2400000000003438E-2</v>
      </c>
      <c r="U402" t="s">
        <v>403</v>
      </c>
      <c r="V402">
        <v>58.43533576666939</v>
      </c>
      <c r="W402">
        <v>8.550000000000324E-2</v>
      </c>
    </row>
    <row r="403" spans="1:23" x14ac:dyDescent="0.5">
      <c r="A403" t="s">
        <v>404</v>
      </c>
      <c r="B403">
        <v>27.898498838890063</v>
      </c>
      <c r="C403">
        <v>8.9300000000003349E-2</v>
      </c>
      <c r="E403" t="s">
        <v>404</v>
      </c>
      <c r="F403">
        <v>29.273602707204525</v>
      </c>
      <c r="G403">
        <v>0.13300000000000348</v>
      </c>
      <c r="I403" t="s">
        <v>404</v>
      </c>
      <c r="J403">
        <v>29.467038978471098</v>
      </c>
      <c r="K403">
        <v>0.10020000000000366</v>
      </c>
      <c r="M403" t="s">
        <v>404</v>
      </c>
      <c r="N403">
        <v>41.559647997909138</v>
      </c>
      <c r="O403">
        <v>0.12200000000000429</v>
      </c>
      <c r="Q403" t="s">
        <v>404</v>
      </c>
      <c r="R403">
        <v>33.706009574110809</v>
      </c>
      <c r="S403">
        <v>0.10890000000000391</v>
      </c>
      <c r="U403" t="s">
        <v>404</v>
      </c>
      <c r="V403">
        <v>32.607908749477211</v>
      </c>
      <c r="W403">
        <v>0.10190000000000371</v>
      </c>
    </row>
    <row r="404" spans="1:23" x14ac:dyDescent="0.5">
      <c r="A404" t="s">
        <v>405</v>
      </c>
      <c r="B404">
        <v>31.241883533937447</v>
      </c>
      <c r="C404">
        <v>0.11240000000000401</v>
      </c>
      <c r="E404" t="s">
        <v>405</v>
      </c>
      <c r="F404">
        <v>35.861086163732523</v>
      </c>
      <c r="G404">
        <v>0.13290000000000349</v>
      </c>
      <c r="I404" t="s">
        <v>405</v>
      </c>
      <c r="J404">
        <v>30.163753417004568</v>
      </c>
      <c r="K404">
        <v>0.13420000000000334</v>
      </c>
      <c r="M404" t="s">
        <v>405</v>
      </c>
      <c r="N404">
        <v>42.532851506457035</v>
      </c>
      <c r="O404">
        <v>0.14000000000000271</v>
      </c>
      <c r="Q404" t="s">
        <v>405</v>
      </c>
      <c r="R404">
        <v>32.292475212848409</v>
      </c>
      <c r="S404">
        <v>0.12680000000000416</v>
      </c>
      <c r="U404" t="s">
        <v>405</v>
      </c>
      <c r="V404">
        <v>36.940641258546229</v>
      </c>
      <c r="W404">
        <v>0.1050000000000038</v>
      </c>
    </row>
    <row r="405" spans="1:23" x14ac:dyDescent="0.5">
      <c r="A405" t="s">
        <v>406</v>
      </c>
      <c r="B405">
        <v>45.462536145804144</v>
      </c>
      <c r="C405">
        <v>0.10020000000000366</v>
      </c>
      <c r="E405" t="s">
        <v>406</v>
      </c>
      <c r="F405">
        <v>43.502457831097225</v>
      </c>
      <c r="G405">
        <v>0.10750000000000387</v>
      </c>
      <c r="I405" t="s">
        <v>406</v>
      </c>
      <c r="J405">
        <v>30.048836654323821</v>
      </c>
      <c r="K405">
        <v>0.12230000000000429</v>
      </c>
      <c r="M405" t="s">
        <v>406</v>
      </c>
      <c r="N405">
        <v>42.702236326310612</v>
      </c>
      <c r="O405">
        <v>0.14220000000000246</v>
      </c>
      <c r="Q405" t="s">
        <v>406</v>
      </c>
      <c r="R405">
        <v>30.073672221347884</v>
      </c>
      <c r="S405">
        <v>0.14060000000000264</v>
      </c>
      <c r="U405" t="s">
        <v>406</v>
      </c>
      <c r="V405">
        <v>34.289940361510006</v>
      </c>
      <c r="W405">
        <v>0.10380000000000376</v>
      </c>
    </row>
    <row r="406" spans="1:23" x14ac:dyDescent="0.5">
      <c r="A406" t="s">
        <v>407</v>
      </c>
      <c r="B406">
        <v>56.049164985760065</v>
      </c>
      <c r="C406">
        <v>7.0200000000002802E-2</v>
      </c>
      <c r="E406" t="s">
        <v>407</v>
      </c>
      <c r="F406">
        <v>40.669714065221626</v>
      </c>
      <c r="G406">
        <v>0.10630000000000384</v>
      </c>
      <c r="I406" t="s">
        <v>407</v>
      </c>
      <c r="J406">
        <v>29.283912414237598</v>
      </c>
      <c r="K406">
        <v>0.12790000000000404</v>
      </c>
      <c r="M406" t="s">
        <v>407</v>
      </c>
      <c r="N406">
        <v>46.198321116065685</v>
      </c>
      <c r="O406">
        <v>0.12090000000000425</v>
      </c>
      <c r="Q406" t="s">
        <v>407</v>
      </c>
      <c r="R406">
        <v>30.35627332031558</v>
      </c>
      <c r="S406">
        <v>0.13180000000000361</v>
      </c>
      <c r="U406" t="s">
        <v>407</v>
      </c>
      <c r="V406">
        <v>29.321384045169864</v>
      </c>
      <c r="W406">
        <v>9.9200000000003632E-2</v>
      </c>
    </row>
    <row r="407" spans="1:23" x14ac:dyDescent="0.5">
      <c r="A407" t="s">
        <v>408</v>
      </c>
      <c r="B407">
        <v>29.69762568570048</v>
      </c>
      <c r="C407">
        <v>8.0900000000003108E-2</v>
      </c>
      <c r="E407" t="s">
        <v>408</v>
      </c>
      <c r="F407">
        <v>36.278179815082147</v>
      </c>
      <c r="G407">
        <v>0.12370000000000433</v>
      </c>
      <c r="I407" t="s">
        <v>408</v>
      </c>
      <c r="J407">
        <v>35.105580879140909</v>
      </c>
      <c r="K407">
        <v>0.11570000000000411</v>
      </c>
      <c r="M407" t="s">
        <v>408</v>
      </c>
      <c r="N407">
        <v>54.293814584098925</v>
      </c>
      <c r="O407">
        <v>0.11680000000000414</v>
      </c>
      <c r="Q407" t="s">
        <v>408</v>
      </c>
      <c r="R407">
        <v>35.345465536284969</v>
      </c>
      <c r="S407">
        <v>0.10890000000000391</v>
      </c>
      <c r="U407" t="s">
        <v>408</v>
      </c>
      <c r="V407">
        <v>43.886622266091273</v>
      </c>
      <c r="W407">
        <v>0.1050000000000038</v>
      </c>
    </row>
    <row r="408" spans="1:23" x14ac:dyDescent="0.5">
      <c r="A408" t="s">
        <v>409</v>
      </c>
      <c r="B408">
        <v>43.862840277393168</v>
      </c>
      <c r="C408">
        <v>8.4300000000003206E-2</v>
      </c>
      <c r="E408" t="s">
        <v>409</v>
      </c>
      <c r="F408">
        <v>45.473509049126278</v>
      </c>
      <c r="G408">
        <v>0.10410000000000377</v>
      </c>
      <c r="I408" t="s">
        <v>409</v>
      </c>
      <c r="J408">
        <v>37.515647620069025</v>
      </c>
      <c r="K408">
        <v>0.11620000000000412</v>
      </c>
      <c r="M408" t="s">
        <v>409</v>
      </c>
      <c r="N408">
        <v>66.890053152497941</v>
      </c>
      <c r="O408">
        <v>0.12510000000000435</v>
      </c>
      <c r="Q408" t="s">
        <v>409</v>
      </c>
      <c r="R408">
        <v>69.923189450112034</v>
      </c>
      <c r="S408">
        <v>0.10800000000000388</v>
      </c>
      <c r="U408" t="s">
        <v>409</v>
      </c>
      <c r="V408">
        <v>45.503204007484726</v>
      </c>
      <c r="W408">
        <v>9.4700000000003504E-2</v>
      </c>
    </row>
    <row r="409" spans="1:23" x14ac:dyDescent="0.5">
      <c r="A409" t="s">
        <v>410</v>
      </c>
      <c r="B409">
        <v>25.667824086943082</v>
      </c>
      <c r="C409">
        <v>0.10930000000000392</v>
      </c>
      <c r="E409" t="s">
        <v>410</v>
      </c>
      <c r="F409">
        <v>40.982877333069737</v>
      </c>
      <c r="G409">
        <v>9.910000000000363E-2</v>
      </c>
      <c r="I409" t="s">
        <v>410</v>
      </c>
      <c r="J409">
        <v>40.901811394659404</v>
      </c>
      <c r="K409">
        <v>9.0900000000003395E-2</v>
      </c>
      <c r="M409" t="s">
        <v>410</v>
      </c>
      <c r="N409">
        <v>47.943328497649382</v>
      </c>
      <c r="O409">
        <v>0.11430000000000407</v>
      </c>
      <c r="Q409" t="s">
        <v>410</v>
      </c>
      <c r="R409">
        <v>32.972807136811831</v>
      </c>
      <c r="S409">
        <v>0.12380000000000434</v>
      </c>
      <c r="U409" t="s">
        <v>410</v>
      </c>
      <c r="V409">
        <v>34.758677026231176</v>
      </c>
      <c r="W409">
        <v>9.9400000000003638E-2</v>
      </c>
    </row>
    <row r="410" spans="1:23" x14ac:dyDescent="0.5">
      <c r="A410" t="s">
        <v>411</v>
      </c>
      <c r="B410">
        <v>58.373840281262851</v>
      </c>
      <c r="C410">
        <v>7.1400000000002836E-2</v>
      </c>
      <c r="E410" t="s">
        <v>411</v>
      </c>
      <c r="F410">
        <v>38.797533609735886</v>
      </c>
      <c r="G410">
        <v>0.10440000000000378</v>
      </c>
      <c r="I410" t="s">
        <v>411</v>
      </c>
      <c r="J410">
        <v>42.829707626436644</v>
      </c>
      <c r="K410">
        <v>0.10470000000000379</v>
      </c>
      <c r="M410" t="s">
        <v>411</v>
      </c>
      <c r="N410">
        <v>49.688928149633192</v>
      </c>
      <c r="O410">
        <v>0.11920000000000421</v>
      </c>
      <c r="Q410" t="s">
        <v>411</v>
      </c>
      <c r="R410">
        <v>45.758664531825637</v>
      </c>
      <c r="S410">
        <v>9.840000000000361E-2</v>
      </c>
      <c r="U410" t="s">
        <v>411</v>
      </c>
      <c r="V410">
        <v>63.329829767890935</v>
      </c>
      <c r="W410">
        <v>9.4300000000003492E-2</v>
      </c>
    </row>
    <row r="411" spans="1:23" x14ac:dyDescent="0.5">
      <c r="A411" t="s">
        <v>412</v>
      </c>
      <c r="B411">
        <v>29.136684839707964</v>
      </c>
      <c r="C411">
        <v>7.3800000000002905E-2</v>
      </c>
      <c r="E411" t="s">
        <v>412</v>
      </c>
      <c r="F411">
        <v>48.387863628146327</v>
      </c>
      <c r="G411">
        <v>0.12880000000000394</v>
      </c>
      <c r="I411" t="s">
        <v>412</v>
      </c>
      <c r="J411">
        <v>31.816508940697418</v>
      </c>
      <c r="K411">
        <v>0.11020000000000395</v>
      </c>
      <c r="M411" t="s">
        <v>412</v>
      </c>
      <c r="N411">
        <v>36.344889870671871</v>
      </c>
      <c r="O411">
        <v>0.1364000000000031</v>
      </c>
      <c r="Q411" t="s">
        <v>412</v>
      </c>
      <c r="R411">
        <v>49.831919703453032</v>
      </c>
      <c r="S411">
        <v>0.12090000000000425</v>
      </c>
      <c r="U411" t="s">
        <v>412</v>
      </c>
      <c r="V411">
        <v>40.709837683864926</v>
      </c>
      <c r="W411">
        <v>9.0900000000003395E-2</v>
      </c>
    </row>
    <row r="412" spans="1:23" x14ac:dyDescent="0.5">
      <c r="A412" t="s">
        <v>413</v>
      </c>
      <c r="B412">
        <v>33.672115275423607</v>
      </c>
      <c r="C412">
        <v>0.10100000000000368</v>
      </c>
      <c r="E412" t="s">
        <v>413</v>
      </c>
      <c r="F412">
        <v>41.511729122056899</v>
      </c>
      <c r="G412">
        <v>0.11140000000000398</v>
      </c>
      <c r="I412" t="s">
        <v>413</v>
      </c>
      <c r="J412">
        <v>34.963957209850989</v>
      </c>
      <c r="K412">
        <v>0.12310000000000432</v>
      </c>
      <c r="M412" t="s">
        <v>413</v>
      </c>
      <c r="N412">
        <v>48.170749767040917</v>
      </c>
      <c r="O412">
        <v>0.13580000000000317</v>
      </c>
      <c r="Q412" t="s">
        <v>413</v>
      </c>
      <c r="R412">
        <v>37.372153632279883</v>
      </c>
      <c r="S412">
        <v>0.13130000000000366</v>
      </c>
      <c r="U412" t="s">
        <v>413</v>
      </c>
      <c r="V412">
        <v>41.378109546877468</v>
      </c>
      <c r="W412">
        <v>0.10900000000000391</v>
      </c>
    </row>
    <row r="413" spans="1:23" x14ac:dyDescent="0.5">
      <c r="A413" t="s">
        <v>414</v>
      </c>
      <c r="B413">
        <v>41.366238483356909</v>
      </c>
      <c r="C413">
        <v>7.2400000000002865E-2</v>
      </c>
      <c r="E413" t="s">
        <v>414</v>
      </c>
      <c r="F413">
        <v>100.95371301445341</v>
      </c>
      <c r="G413">
        <v>0.14070000000000263</v>
      </c>
      <c r="I413" t="s">
        <v>414</v>
      </c>
      <c r="J413">
        <v>42.430781267029779</v>
      </c>
      <c r="K413">
        <v>0.13890000000000283</v>
      </c>
      <c r="M413" t="s">
        <v>414</v>
      </c>
      <c r="N413">
        <v>53.160030183020965</v>
      </c>
      <c r="O413">
        <v>0.13390000000000338</v>
      </c>
      <c r="Q413" t="s">
        <v>414</v>
      </c>
      <c r="R413">
        <v>54.731679359821605</v>
      </c>
      <c r="S413">
        <v>9.7000000000003569E-2</v>
      </c>
      <c r="U413" t="s">
        <v>414</v>
      </c>
      <c r="V413">
        <v>37.097229739468283</v>
      </c>
      <c r="W413">
        <v>0.11470000000000408</v>
      </c>
    </row>
    <row r="414" spans="1:23" x14ac:dyDescent="0.5">
      <c r="A414" t="s">
        <v>415</v>
      </c>
      <c r="B414">
        <v>32.186270025406259</v>
      </c>
      <c r="C414">
        <v>8.6300000000003263E-2</v>
      </c>
      <c r="E414" t="s">
        <v>415</v>
      </c>
      <c r="F414">
        <v>44.541997395858871</v>
      </c>
      <c r="G414">
        <v>0.11010000000000394</v>
      </c>
      <c r="I414" t="s">
        <v>415</v>
      </c>
      <c r="J414">
        <v>36.242196009938155</v>
      </c>
      <c r="K414">
        <v>0.12230000000000429</v>
      </c>
      <c r="M414" t="s">
        <v>415</v>
      </c>
      <c r="N414">
        <v>54.498535708865752</v>
      </c>
      <c r="O414">
        <v>0.11730000000000415</v>
      </c>
      <c r="Q414" t="s">
        <v>415</v>
      </c>
      <c r="R414">
        <v>36.896604687792276</v>
      </c>
      <c r="S414">
        <v>0.1224000000000043</v>
      </c>
      <c r="U414" t="s">
        <v>415</v>
      </c>
      <c r="V414">
        <v>35.956681204889399</v>
      </c>
      <c r="W414">
        <v>0.10290000000000374</v>
      </c>
    </row>
    <row r="415" spans="1:23" x14ac:dyDescent="0.5">
      <c r="A415" t="s">
        <v>416</v>
      </c>
      <c r="B415">
        <v>36.836054145225255</v>
      </c>
      <c r="C415">
        <v>6.6100000000002684E-2</v>
      </c>
      <c r="E415" t="s">
        <v>416</v>
      </c>
      <c r="F415">
        <v>51.263250488663729</v>
      </c>
      <c r="G415">
        <v>9.7800000000003592E-2</v>
      </c>
      <c r="I415" t="s">
        <v>416</v>
      </c>
      <c r="J415">
        <v>40.774750046467027</v>
      </c>
      <c r="K415">
        <v>0.11990000000000423</v>
      </c>
      <c r="M415" t="s">
        <v>416</v>
      </c>
      <c r="N415">
        <v>66.002747359059299</v>
      </c>
      <c r="O415">
        <v>0.12540000000000431</v>
      </c>
      <c r="Q415" t="s">
        <v>416</v>
      </c>
      <c r="R415">
        <v>40.267210515399533</v>
      </c>
      <c r="S415">
        <v>0.1191000000000042</v>
      </c>
      <c r="U415" t="s">
        <v>416</v>
      </c>
      <c r="V415">
        <v>47.453044802298166</v>
      </c>
      <c r="W415">
        <v>0.10290000000000374</v>
      </c>
    </row>
    <row r="416" spans="1:23" x14ac:dyDescent="0.5">
      <c r="A416" t="s">
        <v>417</v>
      </c>
      <c r="B416">
        <v>33.045967939475446</v>
      </c>
      <c r="C416">
        <v>9.8800000000003621E-2</v>
      </c>
      <c r="E416" t="s">
        <v>417</v>
      </c>
      <c r="F416">
        <v>47.673879107511247</v>
      </c>
      <c r="G416">
        <v>0.11620000000000412</v>
      </c>
      <c r="I416" t="s">
        <v>417</v>
      </c>
      <c r="J416">
        <v>39.151185356241214</v>
      </c>
      <c r="K416">
        <v>0.11930000000000421</v>
      </c>
      <c r="M416" t="s">
        <v>417</v>
      </c>
      <c r="N416">
        <v>49.640973974900582</v>
      </c>
      <c r="O416">
        <v>0.13070000000000373</v>
      </c>
      <c r="Q416" t="s">
        <v>417</v>
      </c>
      <c r="R416">
        <v>34.486756094413629</v>
      </c>
      <c r="S416">
        <v>0.11850000000000419</v>
      </c>
      <c r="U416" t="s">
        <v>417</v>
      </c>
      <c r="V416">
        <v>43.120284147594852</v>
      </c>
      <c r="W416">
        <v>0.10550000000000381</v>
      </c>
    </row>
    <row r="417" spans="1:23" x14ac:dyDescent="0.5">
      <c r="A417" t="s">
        <v>418</v>
      </c>
      <c r="B417">
        <v>40.538982224944242</v>
      </c>
      <c r="C417">
        <v>7.8400000000003037E-2</v>
      </c>
      <c r="E417" t="s">
        <v>418</v>
      </c>
      <c r="F417">
        <v>43.271854006970521</v>
      </c>
      <c r="G417">
        <v>0.10290000000000374</v>
      </c>
      <c r="I417" t="s">
        <v>418</v>
      </c>
      <c r="J417">
        <v>36.750180650949225</v>
      </c>
      <c r="K417">
        <v>0.11960000000000422</v>
      </c>
      <c r="M417" t="s">
        <v>418</v>
      </c>
      <c r="N417">
        <v>52.112838520463924</v>
      </c>
      <c r="O417">
        <v>0.12840000000000398</v>
      </c>
      <c r="Q417" t="s">
        <v>418</v>
      </c>
      <c r="R417">
        <v>41.014370166389661</v>
      </c>
      <c r="S417">
        <v>0.10280000000000374</v>
      </c>
      <c r="U417" t="s">
        <v>418</v>
      </c>
      <c r="V417">
        <v>51.718717561576256</v>
      </c>
      <c r="W417">
        <v>0.10640000000000384</v>
      </c>
    </row>
    <row r="418" spans="1:23" x14ac:dyDescent="0.5">
      <c r="A418" t="s">
        <v>419</v>
      </c>
      <c r="B418">
        <v>38.475977708511422</v>
      </c>
      <c r="C418">
        <v>6.980000000000279E-2</v>
      </c>
      <c r="E418" t="s">
        <v>419</v>
      </c>
      <c r="F418">
        <v>55.428286185728972</v>
      </c>
      <c r="G418">
        <v>0.12660000000000418</v>
      </c>
      <c r="I418" t="s">
        <v>419</v>
      </c>
      <c r="J418">
        <v>38.173928017386956</v>
      </c>
      <c r="K418">
        <v>0.12580000000000427</v>
      </c>
      <c r="M418" t="s">
        <v>419</v>
      </c>
      <c r="N418">
        <v>60.164395421009985</v>
      </c>
      <c r="O418">
        <v>0.12300000000000431</v>
      </c>
      <c r="Q418" t="s">
        <v>419</v>
      </c>
      <c r="R418">
        <v>39.855169207979074</v>
      </c>
      <c r="S418">
        <v>0.10080000000000368</v>
      </c>
      <c r="U418" t="s">
        <v>419</v>
      </c>
      <c r="V418">
        <v>67.170325838632323</v>
      </c>
      <c r="W418">
        <v>9.4000000000003484E-2</v>
      </c>
    </row>
    <row r="419" spans="1:23" x14ac:dyDescent="0.5">
      <c r="A419" t="s">
        <v>420</v>
      </c>
      <c r="B419">
        <v>32.902736481040577</v>
      </c>
      <c r="C419">
        <v>6.350000000000261E-2</v>
      </c>
      <c r="E419" t="s">
        <v>420</v>
      </c>
      <c r="F419">
        <v>39.95521858835631</v>
      </c>
      <c r="G419">
        <v>0.13530000000000322</v>
      </c>
      <c r="I419" t="s">
        <v>420</v>
      </c>
      <c r="J419">
        <v>39.169541269761055</v>
      </c>
      <c r="K419">
        <v>0.11130000000000398</v>
      </c>
      <c r="M419" t="s">
        <v>420</v>
      </c>
      <c r="N419">
        <v>57.938302420865874</v>
      </c>
      <c r="O419">
        <v>0.12120000000000426</v>
      </c>
      <c r="Q419" t="s">
        <v>420</v>
      </c>
      <c r="R419">
        <v>56.202650083940767</v>
      </c>
      <c r="S419">
        <v>0.12980000000000383</v>
      </c>
      <c r="U419" t="s">
        <v>420</v>
      </c>
      <c r="V419">
        <v>55.719075209813425</v>
      </c>
      <c r="W419">
        <v>9.6900000000003567E-2</v>
      </c>
    </row>
    <row r="420" spans="1:23" x14ac:dyDescent="0.5">
      <c r="A420" t="s">
        <v>421</v>
      </c>
      <c r="B420">
        <v>36.832609716760572</v>
      </c>
      <c r="C420">
        <v>7.120000000000283E-2</v>
      </c>
      <c r="E420" t="s">
        <v>421</v>
      </c>
      <c r="F420">
        <v>40.515841487451119</v>
      </c>
      <c r="G420">
        <v>0.1017000000000037</v>
      </c>
      <c r="I420" t="s">
        <v>421</v>
      </c>
      <c r="J420">
        <v>44.517695124638934</v>
      </c>
      <c r="K420">
        <v>0.12190000000000428</v>
      </c>
      <c r="M420" t="s">
        <v>421</v>
      </c>
      <c r="N420">
        <v>62.529892019581617</v>
      </c>
      <c r="O420">
        <v>0.1346000000000033</v>
      </c>
      <c r="Q420" t="s">
        <v>421</v>
      </c>
      <c r="R420">
        <v>68.484749038599873</v>
      </c>
      <c r="S420">
        <v>0.13740000000000299</v>
      </c>
      <c r="U420" t="s">
        <v>421</v>
      </c>
      <c r="V420">
        <v>55.561960190200033</v>
      </c>
      <c r="W420">
        <v>0.10340000000000375</v>
      </c>
    </row>
    <row r="421" spans="1:23" x14ac:dyDescent="0.5">
      <c r="A421" t="s">
        <v>422</v>
      </c>
      <c r="B421">
        <v>41.291217179430831</v>
      </c>
      <c r="C421">
        <v>7.1300000000002833E-2</v>
      </c>
      <c r="E421" t="s">
        <v>422</v>
      </c>
      <c r="F421">
        <v>41.96091301964988</v>
      </c>
      <c r="G421">
        <v>0.12820000000000401</v>
      </c>
      <c r="I421" t="s">
        <v>422</v>
      </c>
      <c r="J421">
        <v>37.362936715060137</v>
      </c>
      <c r="K421">
        <v>0.10580000000000382</v>
      </c>
      <c r="M421" t="s">
        <v>422</v>
      </c>
      <c r="N421">
        <v>73.164017834429615</v>
      </c>
      <c r="O421">
        <v>0.12200000000000429</v>
      </c>
      <c r="Q421" t="s">
        <v>422</v>
      </c>
      <c r="R421">
        <v>89.823768966565595</v>
      </c>
      <c r="S421">
        <v>0.1225000000000043</v>
      </c>
      <c r="U421" t="s">
        <v>422</v>
      </c>
      <c r="V421">
        <v>46.635659550405975</v>
      </c>
      <c r="W421">
        <v>9.4200000000003489E-2</v>
      </c>
    </row>
    <row r="422" spans="1:23" x14ac:dyDescent="0.5">
      <c r="A422" t="s">
        <v>423</v>
      </c>
      <c r="B422">
        <v>34.478030418411031</v>
      </c>
      <c r="C422">
        <v>7.0300000000002805E-2</v>
      </c>
      <c r="E422" t="s">
        <v>423</v>
      </c>
      <c r="F422">
        <v>40.256307219933632</v>
      </c>
      <c r="G422">
        <v>0.11990000000000423</v>
      </c>
      <c r="I422" t="s">
        <v>423</v>
      </c>
      <c r="J422">
        <v>42.572861058725913</v>
      </c>
      <c r="K422">
        <v>0.1016000000000037</v>
      </c>
      <c r="M422" t="s">
        <v>423</v>
      </c>
      <c r="N422">
        <v>59.564853038233586</v>
      </c>
      <c r="O422">
        <v>0.23649999999999208</v>
      </c>
      <c r="Q422" t="s">
        <v>423</v>
      </c>
      <c r="R422">
        <v>111.34990163484477</v>
      </c>
      <c r="S422">
        <v>7.8900000000003051E-2</v>
      </c>
      <c r="U422" t="s">
        <v>423</v>
      </c>
      <c r="V422">
        <v>48.354746067974524</v>
      </c>
      <c r="W422">
        <v>7.7100000000002999E-2</v>
      </c>
    </row>
    <row r="423" spans="1:23" x14ac:dyDescent="0.5">
      <c r="A423" t="s">
        <v>424</v>
      </c>
      <c r="B423">
        <v>30.739944595756114</v>
      </c>
      <c r="C423">
        <v>6.8300000000002747E-2</v>
      </c>
      <c r="E423" t="s">
        <v>424</v>
      </c>
      <c r="F423">
        <v>54.739509205360562</v>
      </c>
      <c r="G423">
        <v>0.11170000000000399</v>
      </c>
      <c r="I423" t="s">
        <v>424</v>
      </c>
      <c r="J423">
        <v>52.264459760973736</v>
      </c>
      <c r="K423">
        <v>0.10270000000000373</v>
      </c>
      <c r="M423" t="s">
        <v>424</v>
      </c>
      <c r="N423">
        <v>44.824575486591378</v>
      </c>
      <c r="O423">
        <v>9.5000000000003512E-2</v>
      </c>
      <c r="Q423" t="s">
        <v>424</v>
      </c>
      <c r="R423">
        <v>111.18731569118128</v>
      </c>
      <c r="S423">
        <v>8.0800000000003105E-2</v>
      </c>
      <c r="U423" t="s">
        <v>424</v>
      </c>
      <c r="V423">
        <v>50.679263032206983</v>
      </c>
      <c r="W423">
        <v>7.8800000000003048E-2</v>
      </c>
    </row>
    <row r="424" spans="1:23" x14ac:dyDescent="0.5">
      <c r="A424" t="s">
        <v>425</v>
      </c>
      <c r="B424">
        <v>23.426896891363743</v>
      </c>
      <c r="C424">
        <v>8.8000000000003312E-2</v>
      </c>
      <c r="E424" t="s">
        <v>425</v>
      </c>
      <c r="F424">
        <v>38.342002100152762</v>
      </c>
      <c r="G424">
        <v>0.10550000000000381</v>
      </c>
      <c r="I424" t="s">
        <v>425</v>
      </c>
      <c r="J424">
        <v>31.972626077430661</v>
      </c>
      <c r="K424">
        <v>9.770000000000359E-2</v>
      </c>
      <c r="M424" t="s">
        <v>425</v>
      </c>
      <c r="N424">
        <v>39.634705405600123</v>
      </c>
      <c r="O424">
        <v>0.27119999999998828</v>
      </c>
      <c r="Q424" t="s">
        <v>425</v>
      </c>
      <c r="R424">
        <v>60.704025299106881</v>
      </c>
      <c r="S424">
        <v>9.4700000000003504E-2</v>
      </c>
      <c r="U424" t="s">
        <v>425</v>
      </c>
      <c r="V424">
        <v>37.969605032056776</v>
      </c>
      <c r="W424">
        <v>9.2500000000003441E-2</v>
      </c>
    </row>
    <row r="425" spans="1:23" x14ac:dyDescent="0.5">
      <c r="A425" t="s">
        <v>426</v>
      </c>
      <c r="B425">
        <v>44.668795342756788</v>
      </c>
      <c r="C425">
        <v>6.9200000000002773E-2</v>
      </c>
      <c r="E425" t="s">
        <v>426</v>
      </c>
      <c r="F425">
        <v>58.869576716171828</v>
      </c>
      <c r="G425">
        <v>0.12430000000000435</v>
      </c>
      <c r="I425" t="s">
        <v>426</v>
      </c>
      <c r="J425">
        <v>46.212513751496537</v>
      </c>
      <c r="K425">
        <v>0.11630000000000412</v>
      </c>
      <c r="M425" t="s">
        <v>426</v>
      </c>
      <c r="N425">
        <v>104.4704216378319</v>
      </c>
      <c r="O425">
        <v>0.30229999999998486</v>
      </c>
      <c r="Q425" t="s">
        <v>426</v>
      </c>
      <c r="R425">
        <v>70.37407476643321</v>
      </c>
      <c r="S425">
        <v>0.11820000000000418</v>
      </c>
      <c r="U425" t="s">
        <v>426</v>
      </c>
      <c r="V425">
        <v>45.401272742351672</v>
      </c>
      <c r="W425">
        <v>9.2100000000003429E-2</v>
      </c>
    </row>
    <row r="426" spans="1:23" x14ac:dyDescent="0.5">
      <c r="A426" t="s">
        <v>427</v>
      </c>
      <c r="B426">
        <v>56.733105055113846</v>
      </c>
      <c r="C426">
        <v>6.8900000000002765E-2</v>
      </c>
      <c r="E426" t="s">
        <v>427</v>
      </c>
      <c r="F426">
        <v>63.498096920940561</v>
      </c>
      <c r="G426">
        <v>0.12000000000000423</v>
      </c>
      <c r="I426" t="s">
        <v>427</v>
      </c>
      <c r="J426">
        <v>42.679599041102975</v>
      </c>
      <c r="K426">
        <v>0.11130000000000398</v>
      </c>
      <c r="M426" t="s">
        <v>427</v>
      </c>
      <c r="N426">
        <v>71.642594689663611</v>
      </c>
      <c r="O426">
        <v>0.11710000000000415</v>
      </c>
      <c r="Q426" t="s">
        <v>427</v>
      </c>
      <c r="R426">
        <v>48.289142366589402</v>
      </c>
      <c r="S426">
        <v>9.980000000000365E-2</v>
      </c>
      <c r="U426" t="s">
        <v>427</v>
      </c>
      <c r="V426">
        <v>51.096723188928074</v>
      </c>
      <c r="W426">
        <v>7.6800000000002991E-2</v>
      </c>
    </row>
    <row r="427" spans="1:23" x14ac:dyDescent="0.5">
      <c r="A427" t="s">
        <v>428</v>
      </c>
      <c r="B427">
        <v>66.584728036936255</v>
      </c>
      <c r="C427">
        <v>6.4300000000002633E-2</v>
      </c>
      <c r="E427" t="s">
        <v>428</v>
      </c>
      <c r="F427">
        <v>87.953057776308881</v>
      </c>
      <c r="G427">
        <v>0.1226000000000043</v>
      </c>
      <c r="I427" t="s">
        <v>428</v>
      </c>
      <c r="J427">
        <v>35.645755092491704</v>
      </c>
      <c r="K427">
        <v>9.840000000000361E-2</v>
      </c>
      <c r="M427" t="s">
        <v>428</v>
      </c>
      <c r="N427">
        <v>52.891247596169407</v>
      </c>
      <c r="O427">
        <v>0.23729999999999199</v>
      </c>
      <c r="Q427" t="s">
        <v>428</v>
      </c>
      <c r="R427">
        <v>47.246808303052468</v>
      </c>
      <c r="S427">
        <v>9.2300000000003435E-2</v>
      </c>
      <c r="U427" t="s">
        <v>428</v>
      </c>
      <c r="V427">
        <v>53.039718174716313</v>
      </c>
      <c r="W427">
        <v>8.8900000000003337E-2</v>
      </c>
    </row>
    <row r="428" spans="1:23" x14ac:dyDescent="0.5">
      <c r="A428" t="s">
        <v>429</v>
      </c>
      <c r="B428">
        <v>36.117998925517831</v>
      </c>
      <c r="C428">
        <v>9.6500000000003555E-2</v>
      </c>
      <c r="E428" t="s">
        <v>429</v>
      </c>
      <c r="F428">
        <v>43.41025071897662</v>
      </c>
      <c r="G428">
        <v>0.10100000000000368</v>
      </c>
      <c r="I428" t="s">
        <v>429</v>
      </c>
      <c r="J428">
        <v>38.073104243206565</v>
      </c>
      <c r="K428">
        <v>0.11530000000000409</v>
      </c>
      <c r="M428" t="s">
        <v>429</v>
      </c>
      <c r="N428">
        <v>53.705259918610921</v>
      </c>
      <c r="O428">
        <v>0.12410000000000435</v>
      </c>
      <c r="Q428" t="s">
        <v>429</v>
      </c>
      <c r="R428">
        <v>39.224383454424711</v>
      </c>
      <c r="S428">
        <v>0.11670000000000413</v>
      </c>
      <c r="U428" t="s">
        <v>429</v>
      </c>
      <c r="V428">
        <v>44.571667858470192</v>
      </c>
      <c r="W428">
        <v>9.840000000000361E-2</v>
      </c>
    </row>
    <row r="429" spans="1:23" x14ac:dyDescent="0.5">
      <c r="A429" t="s">
        <v>430</v>
      </c>
      <c r="B429">
        <v>38.429763665896807</v>
      </c>
      <c r="C429">
        <v>9.7000000000003569E-2</v>
      </c>
      <c r="E429" t="s">
        <v>430</v>
      </c>
      <c r="F429">
        <v>117.39780969013958</v>
      </c>
      <c r="G429">
        <v>0.4762999999999657</v>
      </c>
      <c r="I429" t="s">
        <v>430</v>
      </c>
      <c r="J429">
        <v>35.669449436507755</v>
      </c>
      <c r="K429">
        <v>0.11410000000000406</v>
      </c>
      <c r="M429" t="s">
        <v>430</v>
      </c>
      <c r="N429">
        <v>63.001820484004369</v>
      </c>
      <c r="O429">
        <v>0.1255000000000043</v>
      </c>
      <c r="Q429" t="s">
        <v>430</v>
      </c>
      <c r="R429">
        <v>46.616786783318119</v>
      </c>
      <c r="S429">
        <v>0.12110000000000426</v>
      </c>
      <c r="U429" t="s">
        <v>430</v>
      </c>
      <c r="V429">
        <v>35.824996129829216</v>
      </c>
      <c r="W429">
        <v>0.11480000000000408</v>
      </c>
    </row>
    <row r="430" spans="1:23" x14ac:dyDescent="0.5">
      <c r="A430" t="s">
        <v>431</v>
      </c>
      <c r="B430">
        <v>46.101836057575944</v>
      </c>
      <c r="C430">
        <v>7.0300000000002805E-2</v>
      </c>
      <c r="E430" t="s">
        <v>431</v>
      </c>
      <c r="F430">
        <v>62.495271990302719</v>
      </c>
      <c r="G430">
        <v>0.1224000000000043</v>
      </c>
      <c r="I430" t="s">
        <v>431</v>
      </c>
      <c r="J430">
        <v>41.287823709756751</v>
      </c>
      <c r="K430">
        <v>0.11070000000000396</v>
      </c>
      <c r="M430" t="s">
        <v>431</v>
      </c>
      <c r="N430">
        <v>73.708174654612151</v>
      </c>
      <c r="O430">
        <v>0.12010000000000423</v>
      </c>
      <c r="Q430" t="s">
        <v>431</v>
      </c>
      <c r="R430">
        <v>53.926035764604372</v>
      </c>
      <c r="S430">
        <v>0.11180000000000399</v>
      </c>
      <c r="U430" t="s">
        <v>431</v>
      </c>
      <c r="V430">
        <v>66.70817263337355</v>
      </c>
      <c r="W430">
        <v>8.3100000000003171E-2</v>
      </c>
    </row>
    <row r="431" spans="1:23" x14ac:dyDescent="0.5">
      <c r="A431" t="s">
        <v>432</v>
      </c>
      <c r="B431">
        <v>46.625768419500432</v>
      </c>
      <c r="C431">
        <v>8.3600000000003186E-2</v>
      </c>
      <c r="E431" t="s">
        <v>432</v>
      </c>
      <c r="F431">
        <v>43.305618231351467</v>
      </c>
      <c r="G431">
        <v>0.11160000000000399</v>
      </c>
      <c r="I431" t="s">
        <v>432</v>
      </c>
      <c r="J431">
        <v>39.019049262033739</v>
      </c>
      <c r="K431">
        <v>9.8900000000003624E-2</v>
      </c>
      <c r="M431" t="s">
        <v>432</v>
      </c>
      <c r="N431">
        <v>74.407847726017565</v>
      </c>
      <c r="O431">
        <v>0.11520000000000409</v>
      </c>
      <c r="Q431" t="s">
        <v>432</v>
      </c>
      <c r="R431">
        <v>64.450074879571531</v>
      </c>
      <c r="S431">
        <v>9.5300000000003521E-2</v>
      </c>
      <c r="U431" t="s">
        <v>432</v>
      </c>
      <c r="V431">
        <v>43.964331344584259</v>
      </c>
      <c r="W431">
        <v>8.1000000000003111E-2</v>
      </c>
    </row>
    <row r="432" spans="1:23" x14ac:dyDescent="0.5">
      <c r="A432" t="s">
        <v>433</v>
      </c>
      <c r="B432">
        <v>52.872153647516562</v>
      </c>
      <c r="C432">
        <v>7.1300000000002833E-2</v>
      </c>
      <c r="E432" t="s">
        <v>433</v>
      </c>
      <c r="F432">
        <v>39.66429657959057</v>
      </c>
      <c r="G432">
        <v>0.10210000000000372</v>
      </c>
      <c r="I432" t="s">
        <v>433</v>
      </c>
      <c r="J432">
        <v>34.049603164442374</v>
      </c>
      <c r="K432">
        <v>0.10300000000000374</v>
      </c>
      <c r="M432" t="s">
        <v>433</v>
      </c>
      <c r="N432">
        <v>63.020147296766652</v>
      </c>
      <c r="O432">
        <v>0.11160000000000399</v>
      </c>
      <c r="Q432" t="s">
        <v>433</v>
      </c>
      <c r="R432">
        <v>89.954331589663227</v>
      </c>
      <c r="S432">
        <v>9.7000000000003569E-2</v>
      </c>
      <c r="U432" t="s">
        <v>433</v>
      </c>
      <c r="V432">
        <v>48.491104319428302</v>
      </c>
      <c r="W432">
        <v>9.5800000000003535E-2</v>
      </c>
    </row>
    <row r="433" spans="1:23" x14ac:dyDescent="0.5">
      <c r="A433" t="s">
        <v>434</v>
      </c>
      <c r="B433">
        <v>40.836426979319548</v>
      </c>
      <c r="C433">
        <v>0.10180000000000371</v>
      </c>
      <c r="E433" t="s">
        <v>434</v>
      </c>
      <c r="F433">
        <v>46.170686476268237</v>
      </c>
      <c r="G433">
        <v>0.12960000000000385</v>
      </c>
      <c r="I433" t="s">
        <v>434</v>
      </c>
      <c r="J433">
        <v>37.523090373355565</v>
      </c>
      <c r="K433">
        <v>0.12530000000000432</v>
      </c>
      <c r="M433" t="s">
        <v>434</v>
      </c>
      <c r="N433">
        <v>59.952659997223314</v>
      </c>
      <c r="O433">
        <v>0.13490000000000327</v>
      </c>
      <c r="Q433" t="s">
        <v>434</v>
      </c>
      <c r="R433">
        <v>49.656533855884568</v>
      </c>
      <c r="S433">
        <v>0.14090000000000261</v>
      </c>
      <c r="U433" t="s">
        <v>434</v>
      </c>
      <c r="V433">
        <v>46.514453148957436</v>
      </c>
      <c r="W433">
        <v>0.11090000000000397</v>
      </c>
    </row>
    <row r="434" spans="1:23" x14ac:dyDescent="0.5">
      <c r="A434" t="s">
        <v>435</v>
      </c>
      <c r="B434">
        <v>38.530860128809579</v>
      </c>
      <c r="C434">
        <v>6.980000000000279E-2</v>
      </c>
      <c r="E434" t="s">
        <v>435</v>
      </c>
      <c r="F434">
        <v>41.852390196557273</v>
      </c>
      <c r="G434">
        <v>0.11410000000000406</v>
      </c>
      <c r="I434" t="s">
        <v>435</v>
      </c>
      <c r="J434">
        <v>42.894741216695365</v>
      </c>
      <c r="K434">
        <v>0.10300000000000374</v>
      </c>
      <c r="M434" t="s">
        <v>435</v>
      </c>
      <c r="N434">
        <v>46.871041995352257</v>
      </c>
      <c r="O434">
        <v>0.26139999999998936</v>
      </c>
      <c r="Q434" t="s">
        <v>435</v>
      </c>
      <c r="R434">
        <v>92.367072891830347</v>
      </c>
      <c r="S434">
        <v>8.76000000000033E-2</v>
      </c>
      <c r="U434" t="s">
        <v>435</v>
      </c>
      <c r="V434">
        <v>56.958812721588053</v>
      </c>
      <c r="W434">
        <v>8.9900000000003366E-2</v>
      </c>
    </row>
    <row r="435" spans="1:23" x14ac:dyDescent="0.5">
      <c r="A435" t="s">
        <v>436</v>
      </c>
      <c r="B435">
        <v>41.179991011468047</v>
      </c>
      <c r="C435">
        <v>7.2800000000002876E-2</v>
      </c>
      <c r="E435" t="s">
        <v>436</v>
      </c>
      <c r="F435">
        <v>43.993660203723287</v>
      </c>
      <c r="G435">
        <v>0.11120000000000398</v>
      </c>
      <c r="I435" t="s">
        <v>436</v>
      </c>
      <c r="J435">
        <v>46.52560579654866</v>
      </c>
      <c r="K435">
        <v>0.10660000000000384</v>
      </c>
      <c r="M435" t="s">
        <v>436</v>
      </c>
      <c r="N435">
        <v>37.608273925338437</v>
      </c>
      <c r="O435">
        <v>0.11740000000000415</v>
      </c>
      <c r="Q435" t="s">
        <v>436</v>
      </c>
      <c r="R435">
        <v>33.80900819441802</v>
      </c>
      <c r="S435">
        <v>8.8600000000003329E-2</v>
      </c>
      <c r="U435" t="s">
        <v>436</v>
      </c>
      <c r="V435">
        <v>46.538220201179683</v>
      </c>
      <c r="W435">
        <v>9.0200000000003375E-2</v>
      </c>
    </row>
    <row r="436" spans="1:23" x14ac:dyDescent="0.5">
      <c r="A436" t="s">
        <v>437</v>
      </c>
      <c r="B436">
        <v>61.662801684793777</v>
      </c>
      <c r="C436">
        <v>7.6900000000002994E-2</v>
      </c>
      <c r="E436" t="s">
        <v>437</v>
      </c>
      <c r="F436">
        <v>38.720180513983067</v>
      </c>
      <c r="G436">
        <v>8.3500000000003183E-2</v>
      </c>
      <c r="I436" t="s">
        <v>437</v>
      </c>
      <c r="J436">
        <v>38.692606067568036</v>
      </c>
      <c r="K436">
        <v>0.11350000000000404</v>
      </c>
      <c r="M436" t="s">
        <v>437</v>
      </c>
      <c r="N436">
        <v>50.73076701387189</v>
      </c>
      <c r="O436">
        <v>0.12280000000000431</v>
      </c>
      <c r="Q436" t="s">
        <v>437</v>
      </c>
      <c r="R436">
        <v>34.764012410290867</v>
      </c>
      <c r="S436">
        <v>0.1154000000000041</v>
      </c>
      <c r="U436" t="s">
        <v>437</v>
      </c>
      <c r="V436">
        <v>41.888834627788285</v>
      </c>
      <c r="W436">
        <v>0.10200000000000371</v>
      </c>
    </row>
    <row r="437" spans="1:23" x14ac:dyDescent="0.5">
      <c r="A437" t="s">
        <v>438</v>
      </c>
      <c r="B437">
        <v>40.678628966989692</v>
      </c>
      <c r="C437">
        <v>7.050000000000281E-2</v>
      </c>
      <c r="E437" t="s">
        <v>438</v>
      </c>
      <c r="F437">
        <v>49.723478343272774</v>
      </c>
      <c r="G437">
        <v>9.6700000000003561E-2</v>
      </c>
      <c r="I437" t="s">
        <v>438</v>
      </c>
      <c r="J437">
        <v>35.922125954945152</v>
      </c>
      <c r="K437">
        <v>0.10820000000000389</v>
      </c>
      <c r="M437" t="s">
        <v>438</v>
      </c>
      <c r="N437">
        <v>43.310007017405368</v>
      </c>
      <c r="O437">
        <v>0.10570000000000382</v>
      </c>
      <c r="Q437" t="s">
        <v>438</v>
      </c>
      <c r="R437">
        <v>30.866527807279798</v>
      </c>
      <c r="S437">
        <v>0.11450000000000407</v>
      </c>
      <c r="U437" t="s">
        <v>438</v>
      </c>
      <c r="V437">
        <v>35.51920758179876</v>
      </c>
      <c r="W437">
        <v>9.5200000000003518E-2</v>
      </c>
    </row>
    <row r="438" spans="1:23" x14ac:dyDescent="0.5">
      <c r="A438" t="s">
        <v>439</v>
      </c>
      <c r="B438">
        <v>59.780737276952081</v>
      </c>
      <c r="C438">
        <v>8.4400000000003209E-2</v>
      </c>
      <c r="E438" t="s">
        <v>439</v>
      </c>
      <c r="F438">
        <v>50.381648977313048</v>
      </c>
      <c r="G438">
        <v>9.9000000000003627E-2</v>
      </c>
      <c r="I438" t="s">
        <v>439</v>
      </c>
      <c r="J438">
        <v>39.414122711270309</v>
      </c>
      <c r="K438">
        <v>9.5900000000003538E-2</v>
      </c>
      <c r="M438" t="s">
        <v>439</v>
      </c>
      <c r="N438">
        <v>56.011027174329577</v>
      </c>
      <c r="O438">
        <v>0.12000000000000423</v>
      </c>
      <c r="Q438" t="s">
        <v>439</v>
      </c>
      <c r="R438">
        <v>61.607632441372644</v>
      </c>
      <c r="S438">
        <v>8.7500000000003297E-2</v>
      </c>
      <c r="U438" t="s">
        <v>439</v>
      </c>
      <c r="V438">
        <v>52.25112917432962</v>
      </c>
      <c r="W438">
        <v>9.0800000000003392E-2</v>
      </c>
    </row>
    <row r="439" spans="1:23" x14ac:dyDescent="0.5">
      <c r="A439" t="s">
        <v>440</v>
      </c>
      <c r="B439">
        <v>41.781155866992719</v>
      </c>
      <c r="C439">
        <v>7.9700000000003074E-2</v>
      </c>
      <c r="E439" t="s">
        <v>440</v>
      </c>
      <c r="F439">
        <v>40.52492836278401</v>
      </c>
      <c r="G439">
        <v>0.10050000000000367</v>
      </c>
      <c r="I439" t="s">
        <v>440</v>
      </c>
      <c r="J439">
        <v>32.434558179694449</v>
      </c>
      <c r="K439">
        <v>0.1014000000000037</v>
      </c>
      <c r="M439" t="s">
        <v>440</v>
      </c>
      <c r="N439">
        <v>46.848194235280943</v>
      </c>
      <c r="O439">
        <v>0.12470000000000436</v>
      </c>
      <c r="Q439" t="s">
        <v>440</v>
      </c>
      <c r="R439">
        <v>56.002844901454239</v>
      </c>
      <c r="S439">
        <v>0.12800000000000403</v>
      </c>
      <c r="U439" t="s">
        <v>440</v>
      </c>
      <c r="V439">
        <v>44.889818342052514</v>
      </c>
      <c r="W439">
        <v>0.10070000000000368</v>
      </c>
    </row>
    <row r="440" spans="1:23" x14ac:dyDescent="0.5">
      <c r="A440" t="s">
        <v>441</v>
      </c>
      <c r="B440">
        <v>41.631260305787102</v>
      </c>
      <c r="C440">
        <v>7.990000000000308E-2</v>
      </c>
      <c r="E440" t="s">
        <v>441</v>
      </c>
      <c r="F440">
        <v>39.67352692422542</v>
      </c>
      <c r="G440">
        <v>9.1400000000003409E-2</v>
      </c>
      <c r="I440" t="s">
        <v>441</v>
      </c>
      <c r="J440">
        <v>37.55330652094883</v>
      </c>
      <c r="K440">
        <v>0.112000000000004</v>
      </c>
      <c r="M440" t="s">
        <v>441</v>
      </c>
      <c r="N440">
        <v>52.761634688852197</v>
      </c>
      <c r="O440">
        <v>0.12010000000000423</v>
      </c>
      <c r="Q440" t="s">
        <v>441</v>
      </c>
      <c r="R440">
        <v>50.686565977898752</v>
      </c>
      <c r="S440">
        <v>8.6300000000003263E-2</v>
      </c>
      <c r="U440" t="s">
        <v>441</v>
      </c>
      <c r="V440">
        <v>47.514864970921543</v>
      </c>
      <c r="W440">
        <v>7.780000000000302E-2</v>
      </c>
    </row>
    <row r="441" spans="1:23" x14ac:dyDescent="0.5">
      <c r="A441" t="s">
        <v>442</v>
      </c>
      <c r="B441">
        <v>38.999314570637594</v>
      </c>
      <c r="C441">
        <v>9.840000000000361E-2</v>
      </c>
      <c r="E441" t="s">
        <v>442</v>
      </c>
      <c r="F441">
        <v>38.363766644688702</v>
      </c>
      <c r="G441">
        <v>0.12820000000000401</v>
      </c>
      <c r="I441" t="s">
        <v>442</v>
      </c>
      <c r="J441">
        <v>35.390440512678751</v>
      </c>
      <c r="K441">
        <v>0.12020000000000423</v>
      </c>
      <c r="M441" t="s">
        <v>442</v>
      </c>
      <c r="N441">
        <v>51.316245010492409</v>
      </c>
      <c r="O441">
        <v>0.12710000000000413</v>
      </c>
      <c r="Q441" t="s">
        <v>442</v>
      </c>
      <c r="R441">
        <v>54.944323673002501</v>
      </c>
      <c r="S441">
        <v>9.5300000000003521E-2</v>
      </c>
      <c r="U441" t="s">
        <v>442</v>
      </c>
      <c r="V441">
        <v>45.704244206194488</v>
      </c>
      <c r="W441">
        <v>9.4700000000003504E-2</v>
      </c>
    </row>
    <row r="442" spans="1:23" x14ac:dyDescent="0.5">
      <c r="A442" t="s">
        <v>443</v>
      </c>
      <c r="B442">
        <v>30.940021585728431</v>
      </c>
      <c r="C442">
        <v>8.9200000000003346E-2</v>
      </c>
      <c r="E442" t="s">
        <v>443</v>
      </c>
      <c r="F442">
        <v>49.608777436210502</v>
      </c>
      <c r="G442">
        <v>9.2900000000003452E-2</v>
      </c>
      <c r="I442" t="s">
        <v>443</v>
      </c>
      <c r="J442">
        <v>37.387893090637476</v>
      </c>
      <c r="K442">
        <v>9.6000000000003541E-2</v>
      </c>
      <c r="M442" t="s">
        <v>443</v>
      </c>
      <c r="N442">
        <v>52.091689533037901</v>
      </c>
      <c r="O442">
        <v>0.10770000000000388</v>
      </c>
      <c r="Q442" t="s">
        <v>443</v>
      </c>
      <c r="R442">
        <v>56.471171467389524</v>
      </c>
      <c r="S442">
        <v>0.11090000000000397</v>
      </c>
      <c r="U442" t="s">
        <v>443</v>
      </c>
      <c r="V442">
        <v>37.385151853814712</v>
      </c>
      <c r="W442">
        <v>8.0300000000003091E-2</v>
      </c>
    </row>
    <row r="443" spans="1:23" x14ac:dyDescent="0.5">
      <c r="A443" t="s">
        <v>444</v>
      </c>
      <c r="B443">
        <v>39.292124141685605</v>
      </c>
      <c r="C443">
        <v>6.6800000000002704E-2</v>
      </c>
      <c r="E443" t="s">
        <v>444</v>
      </c>
      <c r="F443">
        <v>45.755778471211222</v>
      </c>
      <c r="G443">
        <v>9.7100000000003572E-2</v>
      </c>
      <c r="I443" t="s">
        <v>444</v>
      </c>
      <c r="J443">
        <v>36.404535568829175</v>
      </c>
      <c r="K443">
        <v>0.10260000000000373</v>
      </c>
      <c r="M443" t="s">
        <v>444</v>
      </c>
      <c r="N443">
        <v>65.280845686883225</v>
      </c>
      <c r="O443">
        <v>0.11070000000000396</v>
      </c>
      <c r="Q443" t="s">
        <v>444</v>
      </c>
      <c r="R443">
        <v>53.060037986644929</v>
      </c>
      <c r="S443">
        <v>0.11250000000000401</v>
      </c>
      <c r="U443" t="s">
        <v>444</v>
      </c>
      <c r="V443">
        <v>48.169436733405959</v>
      </c>
      <c r="W443">
        <v>9.4400000000003495E-2</v>
      </c>
    </row>
    <row r="444" spans="1:23" x14ac:dyDescent="0.5">
      <c r="A444" t="s">
        <v>445</v>
      </c>
      <c r="B444">
        <v>44.935643621343409</v>
      </c>
      <c r="C444">
        <v>7.5500000000002954E-2</v>
      </c>
      <c r="E444" t="s">
        <v>445</v>
      </c>
      <c r="F444">
        <v>55.360465014583617</v>
      </c>
      <c r="G444">
        <v>0.10460000000000379</v>
      </c>
      <c r="I444" t="s">
        <v>445</v>
      </c>
      <c r="J444">
        <v>54.290008144759163</v>
      </c>
      <c r="K444">
        <v>0.11400000000000406</v>
      </c>
      <c r="M444" t="s">
        <v>445</v>
      </c>
      <c r="N444">
        <v>39.737831546231305</v>
      </c>
      <c r="O444">
        <v>0.12160000000000427</v>
      </c>
      <c r="Q444" t="s">
        <v>445</v>
      </c>
      <c r="R444">
        <v>34.091216112105066</v>
      </c>
      <c r="S444">
        <v>9.2700000000003446E-2</v>
      </c>
      <c r="U444" t="s">
        <v>445</v>
      </c>
      <c r="V444">
        <v>41.11996891315335</v>
      </c>
      <c r="W444">
        <v>9.9200000000003632E-2</v>
      </c>
    </row>
    <row r="445" spans="1:23" x14ac:dyDescent="0.5">
      <c r="A445" t="s">
        <v>446</v>
      </c>
      <c r="B445">
        <v>42.319036361050138</v>
      </c>
      <c r="C445">
        <v>8.2800000000003163E-2</v>
      </c>
      <c r="E445" t="s">
        <v>446</v>
      </c>
      <c r="F445">
        <v>51.257114451460481</v>
      </c>
      <c r="G445">
        <v>0.10090000000000368</v>
      </c>
      <c r="I445" t="s">
        <v>446</v>
      </c>
      <c r="J445">
        <v>30.801693338729685</v>
      </c>
      <c r="K445">
        <v>0.10600000000000383</v>
      </c>
      <c r="M445" t="s">
        <v>446</v>
      </c>
      <c r="N445">
        <v>39.083132117202631</v>
      </c>
      <c r="O445">
        <v>0.12100000000000426</v>
      </c>
      <c r="Q445" t="s">
        <v>446</v>
      </c>
      <c r="R445">
        <v>33.232617409446839</v>
      </c>
      <c r="S445">
        <v>0.10950000000000393</v>
      </c>
      <c r="U445" t="s">
        <v>446</v>
      </c>
      <c r="V445">
        <v>37.913962601476278</v>
      </c>
      <c r="W445">
        <v>0.10570000000000382</v>
      </c>
    </row>
    <row r="446" spans="1:23" x14ac:dyDescent="0.5">
      <c r="A446" t="s">
        <v>447</v>
      </c>
      <c r="B446">
        <v>31.136550222302997</v>
      </c>
      <c r="C446">
        <v>8.9600000000003358E-2</v>
      </c>
      <c r="E446" t="s">
        <v>447</v>
      </c>
      <c r="F446">
        <v>38.489005254094778</v>
      </c>
      <c r="G446">
        <v>0.11990000000000423</v>
      </c>
      <c r="I446" t="s">
        <v>447</v>
      </c>
      <c r="J446">
        <v>34.66458780474639</v>
      </c>
      <c r="K446">
        <v>9.8100000000003601E-2</v>
      </c>
      <c r="M446" t="s">
        <v>447</v>
      </c>
      <c r="N446">
        <v>52.874725509165678</v>
      </c>
      <c r="O446">
        <v>0.11050000000000396</v>
      </c>
      <c r="Q446" t="s">
        <v>447</v>
      </c>
      <c r="R446">
        <v>34.899192148324268</v>
      </c>
      <c r="S446">
        <v>0.10180000000000371</v>
      </c>
      <c r="U446" t="s">
        <v>447</v>
      </c>
      <c r="V446">
        <v>54.509977669337182</v>
      </c>
      <c r="W446">
        <v>8.6000000000003254E-2</v>
      </c>
    </row>
    <row r="447" spans="1:23" x14ac:dyDescent="0.5">
      <c r="A447" t="s">
        <v>448</v>
      </c>
      <c r="B447">
        <v>28.922686947988961</v>
      </c>
      <c r="C447">
        <v>8.900000000000334E-2</v>
      </c>
      <c r="E447" t="s">
        <v>448</v>
      </c>
      <c r="F447">
        <v>39.981105023165064</v>
      </c>
      <c r="G447">
        <v>9.840000000000361E-2</v>
      </c>
      <c r="I447" t="s">
        <v>448</v>
      </c>
      <c r="J447">
        <v>40.045139228525926</v>
      </c>
      <c r="K447">
        <v>0.10230000000000372</v>
      </c>
      <c r="M447" t="s">
        <v>448</v>
      </c>
      <c r="N447">
        <v>49.652301791902339</v>
      </c>
      <c r="O447">
        <v>0.11240000000000401</v>
      </c>
      <c r="Q447" t="s">
        <v>448</v>
      </c>
      <c r="R447">
        <v>31.562891896079648</v>
      </c>
      <c r="S447">
        <v>0.11870000000000419</v>
      </c>
      <c r="U447" t="s">
        <v>448</v>
      </c>
      <c r="V447">
        <v>42.481031755194621</v>
      </c>
      <c r="W447">
        <v>8.5200000000003231E-2</v>
      </c>
    </row>
    <row r="448" spans="1:23" x14ac:dyDescent="0.5">
      <c r="A448" t="s">
        <v>449</v>
      </c>
      <c r="B448">
        <v>30.320018069599698</v>
      </c>
      <c r="C448">
        <v>9.11000000000034E-2</v>
      </c>
      <c r="E448" t="s">
        <v>449</v>
      </c>
      <c r="F448">
        <v>41.111310263914739</v>
      </c>
      <c r="G448">
        <v>0.10090000000000368</v>
      </c>
      <c r="I448" t="s">
        <v>449</v>
      </c>
      <c r="J448">
        <v>31.650890275872548</v>
      </c>
      <c r="K448">
        <v>0.11140000000000398</v>
      </c>
      <c r="M448" t="s">
        <v>449</v>
      </c>
      <c r="N448">
        <v>56.441953155417558</v>
      </c>
      <c r="O448">
        <v>0.11690000000000414</v>
      </c>
      <c r="Q448" t="s">
        <v>449</v>
      </c>
      <c r="R448">
        <v>46.520158479202159</v>
      </c>
      <c r="S448">
        <v>9.9000000000003627E-2</v>
      </c>
      <c r="U448" t="s">
        <v>449</v>
      </c>
      <c r="V448">
        <v>52.324407994967451</v>
      </c>
      <c r="W448">
        <v>8.8500000000003326E-2</v>
      </c>
    </row>
    <row r="449" spans="1:23" x14ac:dyDescent="0.5">
      <c r="A449" t="s">
        <v>450</v>
      </c>
      <c r="B449">
        <v>69.443511850940652</v>
      </c>
      <c r="C449">
        <v>0.10780000000000388</v>
      </c>
      <c r="E449" t="s">
        <v>450</v>
      </c>
      <c r="F449">
        <v>71.372841429404801</v>
      </c>
      <c r="G449">
        <v>0.10240000000000372</v>
      </c>
      <c r="I449" t="s">
        <v>450</v>
      </c>
      <c r="J449">
        <v>37.351061239593001</v>
      </c>
      <c r="K449">
        <v>0.11420000000000406</v>
      </c>
      <c r="M449" t="s">
        <v>450</v>
      </c>
      <c r="N449">
        <v>51.927244513969491</v>
      </c>
      <c r="O449">
        <v>0.24049999999999164</v>
      </c>
      <c r="Q449" t="s">
        <v>450</v>
      </c>
      <c r="R449">
        <v>43.724327698334839</v>
      </c>
      <c r="S449">
        <v>8.550000000000324E-2</v>
      </c>
      <c r="U449" t="s">
        <v>450</v>
      </c>
      <c r="V449">
        <v>36.402509484797434</v>
      </c>
      <c r="W449">
        <v>9.5500000000003527E-2</v>
      </c>
    </row>
    <row r="450" spans="1:23" x14ac:dyDescent="0.5">
      <c r="A450" t="s">
        <v>451</v>
      </c>
      <c r="B450">
        <v>32.809004481989177</v>
      </c>
      <c r="C450">
        <v>9.980000000000365E-2</v>
      </c>
      <c r="E450" t="s">
        <v>451</v>
      </c>
      <c r="F450">
        <v>49.116545859608379</v>
      </c>
      <c r="G450">
        <v>9.3500000000003469E-2</v>
      </c>
      <c r="I450" t="s">
        <v>451</v>
      </c>
      <c r="J450">
        <v>38.987619622809419</v>
      </c>
      <c r="K450">
        <v>9.0200000000003375E-2</v>
      </c>
      <c r="M450" t="s">
        <v>451</v>
      </c>
      <c r="N450">
        <v>51.234322222351679</v>
      </c>
      <c r="O450">
        <v>0.12580000000000427</v>
      </c>
      <c r="Q450" t="s">
        <v>451</v>
      </c>
      <c r="R450">
        <v>55.361924771568965</v>
      </c>
      <c r="S450">
        <v>9.7500000000003584E-2</v>
      </c>
      <c r="U450" t="s">
        <v>451</v>
      </c>
      <c r="V450">
        <v>42.891502138301462</v>
      </c>
      <c r="W450">
        <v>0.10660000000000384</v>
      </c>
    </row>
    <row r="451" spans="1:23" x14ac:dyDescent="0.5">
      <c r="A451" t="s">
        <v>452</v>
      </c>
      <c r="B451">
        <v>36.617210147771971</v>
      </c>
      <c r="C451">
        <v>5.8700000000002479E-2</v>
      </c>
      <c r="E451" t="s">
        <v>452</v>
      </c>
      <c r="F451">
        <v>33.7128859004684</v>
      </c>
      <c r="G451">
        <v>0.11440000000000407</v>
      </c>
      <c r="I451" t="s">
        <v>452</v>
      </c>
      <c r="J451">
        <v>36.429517928510194</v>
      </c>
      <c r="K451">
        <v>0.11960000000000422</v>
      </c>
      <c r="M451" t="s">
        <v>452</v>
      </c>
      <c r="N451">
        <v>59.610886528332145</v>
      </c>
      <c r="O451">
        <v>0.11780000000000417</v>
      </c>
      <c r="Q451" t="s">
        <v>452</v>
      </c>
      <c r="R451">
        <v>50.275823727549991</v>
      </c>
      <c r="S451">
        <v>0.10930000000000392</v>
      </c>
      <c r="U451" t="s">
        <v>452</v>
      </c>
      <c r="V451">
        <v>44.840159400183836</v>
      </c>
      <c r="W451">
        <v>9.8700000000003618E-2</v>
      </c>
    </row>
    <row r="452" spans="1:23" x14ac:dyDescent="0.5">
      <c r="A452" t="s">
        <v>453</v>
      </c>
      <c r="B452">
        <v>45.312472424378562</v>
      </c>
      <c r="C452">
        <v>8.2600000000003157E-2</v>
      </c>
      <c r="E452" t="s">
        <v>453</v>
      </c>
      <c r="F452">
        <v>64.327042397804362</v>
      </c>
      <c r="G452">
        <v>0.12270000000000431</v>
      </c>
      <c r="I452" t="s">
        <v>453</v>
      </c>
      <c r="J452">
        <v>36.083991531800955</v>
      </c>
      <c r="K452">
        <v>0.11050000000000396</v>
      </c>
      <c r="M452" t="s">
        <v>453</v>
      </c>
      <c r="N452">
        <v>48.421831046224789</v>
      </c>
      <c r="O452">
        <v>0.12150000000000427</v>
      </c>
      <c r="Q452" t="s">
        <v>453</v>
      </c>
      <c r="R452">
        <v>41.873455837765093</v>
      </c>
      <c r="S452">
        <v>0.12520000000000434</v>
      </c>
      <c r="U452" t="s">
        <v>453</v>
      </c>
      <c r="V452">
        <v>38.489275223546507</v>
      </c>
      <c r="W452">
        <v>0.10890000000000391</v>
      </c>
    </row>
    <row r="453" spans="1:23" x14ac:dyDescent="0.5">
      <c r="A453" t="s">
        <v>454</v>
      </c>
      <c r="B453">
        <v>29.439757695264273</v>
      </c>
      <c r="C453">
        <v>9.8300000000003607E-2</v>
      </c>
      <c r="E453" t="s">
        <v>454</v>
      </c>
      <c r="F453">
        <v>41.076974225700752</v>
      </c>
      <c r="G453">
        <v>0.1016000000000037</v>
      </c>
      <c r="I453" t="s">
        <v>454</v>
      </c>
      <c r="J453">
        <v>37.566116130647124</v>
      </c>
      <c r="K453">
        <v>9.0200000000003375E-2</v>
      </c>
      <c r="M453" t="s">
        <v>454</v>
      </c>
      <c r="N453">
        <v>59.196674559154786</v>
      </c>
      <c r="O453">
        <v>0.11950000000000421</v>
      </c>
      <c r="Q453" t="s">
        <v>454</v>
      </c>
      <c r="R453">
        <v>35.612632930550902</v>
      </c>
      <c r="S453">
        <v>0.12150000000000427</v>
      </c>
      <c r="U453" t="s">
        <v>454</v>
      </c>
      <c r="V453">
        <v>39.754545383134179</v>
      </c>
      <c r="W453">
        <v>8.900000000000334E-2</v>
      </c>
    </row>
    <row r="454" spans="1:23" x14ac:dyDescent="0.5">
      <c r="A454" t="s">
        <v>455</v>
      </c>
      <c r="B454">
        <v>37.758712464090628</v>
      </c>
      <c r="C454">
        <v>9.4400000000003495E-2</v>
      </c>
      <c r="E454" t="s">
        <v>455</v>
      </c>
      <c r="F454">
        <v>52.183907304701265</v>
      </c>
      <c r="G454">
        <v>0.1016000000000037</v>
      </c>
      <c r="I454" t="s">
        <v>455</v>
      </c>
      <c r="J454">
        <v>32.976903459492767</v>
      </c>
      <c r="K454">
        <v>0.11390000000000405</v>
      </c>
      <c r="M454" t="s">
        <v>455</v>
      </c>
      <c r="N454">
        <v>68.06354288509246</v>
      </c>
      <c r="O454">
        <v>0.11010000000000394</v>
      </c>
      <c r="Q454" t="s">
        <v>455</v>
      </c>
      <c r="R454">
        <v>35.369612515207017</v>
      </c>
      <c r="S454">
        <v>9.3600000000003472E-2</v>
      </c>
      <c r="U454" t="s">
        <v>455</v>
      </c>
      <c r="V454">
        <v>42.519633242732212</v>
      </c>
      <c r="W454">
        <v>9.2400000000003438E-2</v>
      </c>
    </row>
    <row r="455" spans="1:23" x14ac:dyDescent="0.5">
      <c r="A455" t="s">
        <v>456</v>
      </c>
      <c r="B455">
        <v>63.998376699626881</v>
      </c>
      <c r="C455">
        <v>8.4500000000003211E-2</v>
      </c>
      <c r="E455" t="s">
        <v>456</v>
      </c>
      <c r="F455">
        <v>46.966364782583895</v>
      </c>
      <c r="G455">
        <v>0.12530000000000432</v>
      </c>
      <c r="I455" t="s">
        <v>456</v>
      </c>
      <c r="J455">
        <v>43.389251873366305</v>
      </c>
      <c r="K455">
        <v>0.12620000000000423</v>
      </c>
      <c r="M455" t="s">
        <v>456</v>
      </c>
      <c r="N455">
        <v>54.013881271657489</v>
      </c>
      <c r="O455">
        <v>0.13260000000000352</v>
      </c>
      <c r="Q455" t="s">
        <v>456</v>
      </c>
      <c r="R455">
        <v>35.096433898392789</v>
      </c>
      <c r="S455">
        <v>0.10350000000000376</v>
      </c>
      <c r="U455" t="s">
        <v>456</v>
      </c>
      <c r="V455">
        <v>46.589953078990618</v>
      </c>
      <c r="W455">
        <v>9.7300000000003578E-2</v>
      </c>
    </row>
    <row r="456" spans="1:23" x14ac:dyDescent="0.5">
      <c r="A456" t="s">
        <v>457</v>
      </c>
      <c r="B456">
        <v>26.744030486906784</v>
      </c>
      <c r="C456">
        <v>9.2100000000003429E-2</v>
      </c>
      <c r="E456" t="s">
        <v>457</v>
      </c>
      <c r="F456">
        <v>42.177282594713283</v>
      </c>
      <c r="G456">
        <v>0.11690000000000414</v>
      </c>
      <c r="I456" t="s">
        <v>457</v>
      </c>
      <c r="J456">
        <v>30.557079996453435</v>
      </c>
      <c r="K456">
        <v>0.11700000000000414</v>
      </c>
      <c r="M456" t="s">
        <v>457</v>
      </c>
      <c r="N456">
        <v>45.663600269972235</v>
      </c>
      <c r="O456">
        <v>9.8600000000003615E-2</v>
      </c>
      <c r="Q456" t="s">
        <v>457</v>
      </c>
      <c r="R456">
        <v>32.441663258801405</v>
      </c>
      <c r="S456">
        <v>8.0000000000003083E-2</v>
      </c>
      <c r="U456" t="s">
        <v>457</v>
      </c>
      <c r="V456">
        <v>40.795530932067791</v>
      </c>
      <c r="W456">
        <v>9.9900000000003653E-2</v>
      </c>
    </row>
    <row r="457" spans="1:23" x14ac:dyDescent="0.5">
      <c r="A457" t="s">
        <v>458</v>
      </c>
      <c r="B457">
        <v>35.503440885030265</v>
      </c>
      <c r="C457">
        <v>8.5900000000003252E-2</v>
      </c>
      <c r="E457" t="s">
        <v>458</v>
      </c>
      <c r="F457">
        <v>59.686429206983391</v>
      </c>
      <c r="G457">
        <v>0.11990000000000423</v>
      </c>
      <c r="I457" t="s">
        <v>458</v>
      </c>
      <c r="J457">
        <v>41.789643629941502</v>
      </c>
      <c r="K457">
        <v>0.10330000000000375</v>
      </c>
      <c r="M457" t="s">
        <v>458</v>
      </c>
      <c r="N457">
        <v>59.675802224982995</v>
      </c>
      <c r="O457">
        <v>0.11990000000000423</v>
      </c>
      <c r="Q457" t="s">
        <v>458</v>
      </c>
      <c r="R457">
        <v>42.403135820930864</v>
      </c>
      <c r="S457">
        <v>0.10590000000000382</v>
      </c>
      <c r="U457" t="s">
        <v>458</v>
      </c>
      <c r="V457">
        <v>41.879060905375177</v>
      </c>
      <c r="W457">
        <v>9.4300000000003492E-2</v>
      </c>
    </row>
    <row r="458" spans="1:23" x14ac:dyDescent="0.5">
      <c r="A458" t="s">
        <v>459</v>
      </c>
      <c r="B458">
        <v>33.872166842639395</v>
      </c>
      <c r="C458">
        <v>8.7400000000003294E-2</v>
      </c>
      <c r="E458" t="s">
        <v>459</v>
      </c>
      <c r="F458">
        <v>41.720711852793642</v>
      </c>
      <c r="G458">
        <v>0.11980000000000422</v>
      </c>
      <c r="I458" t="s">
        <v>459</v>
      </c>
      <c r="J458">
        <v>37.775416315837525</v>
      </c>
      <c r="K458">
        <v>9.5200000000003518E-2</v>
      </c>
      <c r="M458" t="s">
        <v>459</v>
      </c>
      <c r="N458">
        <v>51.481957751245261</v>
      </c>
      <c r="O458">
        <v>0.11290000000000402</v>
      </c>
      <c r="Q458" t="s">
        <v>459</v>
      </c>
      <c r="R458">
        <v>33.576080639596583</v>
      </c>
      <c r="S458">
        <v>9.5100000000003515E-2</v>
      </c>
      <c r="U458" t="s">
        <v>459</v>
      </c>
      <c r="V458">
        <v>49.732065780969599</v>
      </c>
      <c r="W458">
        <v>9.3900000000003481E-2</v>
      </c>
    </row>
    <row r="459" spans="1:23" x14ac:dyDescent="0.5">
      <c r="A459" t="s">
        <v>460</v>
      </c>
      <c r="B459">
        <v>30.407394604217252</v>
      </c>
      <c r="C459">
        <v>9.4700000000003504E-2</v>
      </c>
      <c r="E459" t="s">
        <v>460</v>
      </c>
      <c r="F459">
        <v>34.60363878088225</v>
      </c>
      <c r="G459">
        <v>0.10240000000000372</v>
      </c>
      <c r="I459" t="s">
        <v>460</v>
      </c>
      <c r="J459">
        <v>38.271056177974877</v>
      </c>
      <c r="K459">
        <v>0.10360000000000376</v>
      </c>
      <c r="M459" t="s">
        <v>460</v>
      </c>
      <c r="N459">
        <v>44.27248961034303</v>
      </c>
      <c r="O459">
        <v>0.21879999999999403</v>
      </c>
      <c r="Q459" t="s">
        <v>460</v>
      </c>
      <c r="R459">
        <v>32.020721005064537</v>
      </c>
      <c r="S459">
        <v>0.10220000000000372</v>
      </c>
      <c r="U459" t="s">
        <v>460</v>
      </c>
      <c r="V459">
        <v>38.315672523336787</v>
      </c>
      <c r="W459">
        <v>0.10030000000000366</v>
      </c>
    </row>
    <row r="460" spans="1:23" x14ac:dyDescent="0.5">
      <c r="A460" t="s">
        <v>461</v>
      </c>
      <c r="B460">
        <v>41.648336597000061</v>
      </c>
      <c r="C460">
        <v>7.7300000000003005E-2</v>
      </c>
      <c r="E460" t="s">
        <v>461</v>
      </c>
      <c r="F460">
        <v>39.883851642304926</v>
      </c>
      <c r="G460">
        <v>0.10570000000000382</v>
      </c>
      <c r="I460" t="s">
        <v>461</v>
      </c>
      <c r="J460">
        <v>30.968532991216421</v>
      </c>
      <c r="K460">
        <v>0.10800000000000388</v>
      </c>
      <c r="M460" t="s">
        <v>461</v>
      </c>
      <c r="N460">
        <v>57.397839909521991</v>
      </c>
      <c r="O460">
        <v>0.11240000000000401</v>
      </c>
      <c r="Q460" t="s">
        <v>461</v>
      </c>
      <c r="R460">
        <v>37.456396382966631</v>
      </c>
      <c r="S460">
        <v>9.2100000000003429E-2</v>
      </c>
      <c r="U460" t="s">
        <v>461</v>
      </c>
      <c r="V460">
        <v>60.895178480250458</v>
      </c>
      <c r="W460">
        <v>8.5000000000003226E-2</v>
      </c>
    </row>
    <row r="461" spans="1:23" x14ac:dyDescent="0.5">
      <c r="A461" t="s">
        <v>462</v>
      </c>
      <c r="B461">
        <v>29.555322361719167</v>
      </c>
      <c r="C461">
        <v>9.910000000000363E-2</v>
      </c>
      <c r="E461" t="s">
        <v>462</v>
      </c>
      <c r="F461">
        <v>49.045145603366237</v>
      </c>
      <c r="G461">
        <v>9.7300000000003578E-2</v>
      </c>
      <c r="I461" t="s">
        <v>462</v>
      </c>
      <c r="J461">
        <v>35.573840791652664</v>
      </c>
      <c r="K461">
        <v>0.10800000000000388</v>
      </c>
      <c r="M461" t="s">
        <v>462</v>
      </c>
      <c r="N461">
        <v>47.651322006724449</v>
      </c>
      <c r="O461">
        <v>0.111900000000004</v>
      </c>
      <c r="Q461" t="s">
        <v>462</v>
      </c>
      <c r="R461">
        <v>70.425120032799853</v>
      </c>
      <c r="S461">
        <v>0.10070000000000368</v>
      </c>
      <c r="U461" t="s">
        <v>462</v>
      </c>
      <c r="V461">
        <v>39.039162787201889</v>
      </c>
      <c r="W461">
        <v>9.6800000000003564E-2</v>
      </c>
    </row>
    <row r="462" spans="1:23" x14ac:dyDescent="0.5">
      <c r="A462" t="s">
        <v>463</v>
      </c>
      <c r="B462">
        <v>34.834947852366675</v>
      </c>
      <c r="C462">
        <v>9.5200000000003518E-2</v>
      </c>
      <c r="E462" t="s">
        <v>463</v>
      </c>
      <c r="F462">
        <v>43.736883858427319</v>
      </c>
      <c r="G462">
        <v>0.11740000000000415</v>
      </c>
      <c r="I462" t="s">
        <v>463</v>
      </c>
      <c r="J462">
        <v>36.171306064204103</v>
      </c>
      <c r="K462">
        <v>0.12130000000000427</v>
      </c>
      <c r="M462" t="s">
        <v>463</v>
      </c>
      <c r="N462">
        <v>39.349563854043154</v>
      </c>
      <c r="O462">
        <v>0.13830000000000289</v>
      </c>
      <c r="Q462" t="s">
        <v>463</v>
      </c>
      <c r="R462">
        <v>47.127469020717136</v>
      </c>
      <c r="S462">
        <v>0.12400000000000434</v>
      </c>
      <c r="U462" t="s">
        <v>463</v>
      </c>
      <c r="V462">
        <v>37.590880478238219</v>
      </c>
      <c r="W462">
        <v>0.10460000000000379</v>
      </c>
    </row>
    <row r="463" spans="1:23" x14ac:dyDescent="0.5">
      <c r="A463" t="s">
        <v>464</v>
      </c>
      <c r="B463">
        <v>52.01949732670618</v>
      </c>
      <c r="C463">
        <v>8.2800000000003163E-2</v>
      </c>
      <c r="E463" t="s">
        <v>464</v>
      </c>
      <c r="F463">
        <v>52.010963008449863</v>
      </c>
      <c r="G463">
        <v>0.10780000000000388</v>
      </c>
      <c r="I463" t="s">
        <v>464</v>
      </c>
      <c r="J463">
        <v>44.894601659098335</v>
      </c>
      <c r="K463">
        <v>0.11320000000000403</v>
      </c>
      <c r="M463" t="s">
        <v>464</v>
      </c>
      <c r="N463">
        <v>61.844565674457257</v>
      </c>
      <c r="O463">
        <v>0.11050000000000396</v>
      </c>
      <c r="Q463" t="s">
        <v>464</v>
      </c>
      <c r="R463">
        <v>86.766819647765701</v>
      </c>
      <c r="S463">
        <v>0.11500000000000409</v>
      </c>
      <c r="U463" t="s">
        <v>464</v>
      </c>
      <c r="V463">
        <v>50.00107505141591</v>
      </c>
      <c r="W463">
        <v>8.8700000000003332E-2</v>
      </c>
    </row>
    <row r="464" spans="1:23" x14ac:dyDescent="0.5">
      <c r="A464" t="s">
        <v>465</v>
      </c>
      <c r="B464">
        <v>34.970100000000002</v>
      </c>
      <c r="C464">
        <v>8.2600000000001728E-2</v>
      </c>
      <c r="E464" t="s">
        <v>465</v>
      </c>
      <c r="F464">
        <v>60.834699999999998</v>
      </c>
      <c r="G464">
        <v>0.10000000000000223</v>
      </c>
      <c r="I464" t="s">
        <v>465</v>
      </c>
      <c r="J464">
        <v>36.0608</v>
      </c>
      <c r="K464">
        <v>0.10530000000000238</v>
      </c>
    </row>
    <row r="465" spans="1:11" x14ac:dyDescent="0.5">
      <c r="A465" t="s">
        <v>466</v>
      </c>
      <c r="B465">
        <v>31.692699999999999</v>
      </c>
      <c r="C465">
        <v>8.1400000000001693E-2</v>
      </c>
      <c r="E465" t="s">
        <v>466</v>
      </c>
      <c r="F465">
        <v>81.777900000000002</v>
      </c>
      <c r="G465">
        <v>0.10300000000000231</v>
      </c>
      <c r="I465" t="s">
        <v>466</v>
      </c>
      <c r="J465">
        <v>45.396999999999998</v>
      </c>
      <c r="K465">
        <v>0.10350000000000233</v>
      </c>
    </row>
    <row r="466" spans="1:11" x14ac:dyDescent="0.5">
      <c r="A466" t="s">
        <v>467</v>
      </c>
      <c r="B466">
        <v>29.397400000000001</v>
      </c>
      <c r="C466">
        <v>8.6400000000001836E-2</v>
      </c>
      <c r="E466" t="s">
        <v>467</v>
      </c>
      <c r="F466">
        <v>56.585700000000003</v>
      </c>
      <c r="G466">
        <v>0.10010000000000223</v>
      </c>
      <c r="I466" t="s">
        <v>467</v>
      </c>
      <c r="J466">
        <v>37.5105</v>
      </c>
      <c r="K466">
        <v>0.10110000000000226</v>
      </c>
    </row>
    <row r="467" spans="1:11" x14ac:dyDescent="0.5">
      <c r="A467" t="s">
        <v>468</v>
      </c>
      <c r="B467">
        <v>38.982700000000001</v>
      </c>
      <c r="C467">
        <v>7.9100000000001627E-2</v>
      </c>
      <c r="E467" t="s">
        <v>468</v>
      </c>
      <c r="F467">
        <v>48.757899999999999</v>
      </c>
      <c r="G467">
        <v>0.10770000000000245</v>
      </c>
      <c r="I467" t="s">
        <v>468</v>
      </c>
      <c r="J467">
        <v>49.579000000000001</v>
      </c>
      <c r="K467">
        <v>0.10530000000000238</v>
      </c>
    </row>
    <row r="468" spans="1:11" x14ac:dyDescent="0.5">
      <c r="A468" t="s">
        <v>469</v>
      </c>
      <c r="B468">
        <v>41.800600000000003</v>
      </c>
      <c r="C468">
        <v>7.7600000000001584E-2</v>
      </c>
      <c r="E468" t="s">
        <v>469</v>
      </c>
      <c r="F468">
        <v>66.406499999999994</v>
      </c>
      <c r="G468">
        <v>0.11180000000000256</v>
      </c>
      <c r="I468" t="s">
        <v>469</v>
      </c>
      <c r="J468">
        <v>52.180599999999998</v>
      </c>
      <c r="K468">
        <v>0.10640000000000241</v>
      </c>
    </row>
    <row r="469" spans="1:11" x14ac:dyDescent="0.5">
      <c r="A469" t="s">
        <v>470</v>
      </c>
      <c r="B469">
        <v>63.188200000000002</v>
      </c>
      <c r="C469">
        <v>9.0400000000001951E-2</v>
      </c>
      <c r="E469" t="s">
        <v>470</v>
      </c>
      <c r="F469">
        <v>48.180199999999999</v>
      </c>
      <c r="G469">
        <v>0.10830000000000246</v>
      </c>
      <c r="I469" t="s">
        <v>470</v>
      </c>
      <c r="J469">
        <v>43.310400000000001</v>
      </c>
      <c r="K469">
        <v>0.11050000000000253</v>
      </c>
    </row>
    <row r="470" spans="1:11" x14ac:dyDescent="0.5">
      <c r="A470" t="s">
        <v>471</v>
      </c>
      <c r="B470">
        <v>35.871499999999997</v>
      </c>
      <c r="C470">
        <v>9.8100000000002172E-2</v>
      </c>
      <c r="E470" t="s">
        <v>471</v>
      </c>
      <c r="F470">
        <v>42.536099999999998</v>
      </c>
      <c r="G470">
        <v>0.10690000000000242</v>
      </c>
      <c r="I470" t="s">
        <v>471</v>
      </c>
      <c r="J470">
        <v>43.639000000000003</v>
      </c>
      <c r="K470">
        <v>0.11810000000000274</v>
      </c>
    </row>
    <row r="471" spans="1:11" x14ac:dyDescent="0.5">
      <c r="A471" t="s">
        <v>472</v>
      </c>
      <c r="B471">
        <v>36.718800000000002</v>
      </c>
      <c r="C471">
        <v>7.6700000000001559E-2</v>
      </c>
      <c r="E471" t="s">
        <v>472</v>
      </c>
      <c r="F471">
        <v>77.063400000000001</v>
      </c>
      <c r="G471">
        <v>0.10490000000000237</v>
      </c>
      <c r="I471" t="s">
        <v>472</v>
      </c>
      <c r="J471">
        <v>47.493600000000001</v>
      </c>
      <c r="K471">
        <v>9.6800000000002134E-2</v>
      </c>
    </row>
    <row r="472" spans="1:11" x14ac:dyDescent="0.5">
      <c r="A472" t="s">
        <v>473</v>
      </c>
      <c r="B472">
        <v>36.3369</v>
      </c>
      <c r="C472">
        <v>7.9300000000001633E-2</v>
      </c>
      <c r="E472" t="s">
        <v>473</v>
      </c>
      <c r="F472">
        <v>61.0182</v>
      </c>
      <c r="G472">
        <v>9.8700000000002189E-2</v>
      </c>
      <c r="I472" t="s">
        <v>473</v>
      </c>
      <c r="J472">
        <v>55.735199999999999</v>
      </c>
      <c r="K472">
        <v>0.11150000000000256</v>
      </c>
    </row>
    <row r="473" spans="1:11" x14ac:dyDescent="0.5">
      <c r="A473" t="s">
        <v>474</v>
      </c>
      <c r="B473">
        <v>57.007399999999997</v>
      </c>
      <c r="C473">
        <v>5.7800000000001024E-2</v>
      </c>
      <c r="E473" t="s">
        <v>474</v>
      </c>
      <c r="F473">
        <v>87.152900000000002</v>
      </c>
      <c r="G473">
        <v>9.5200000000002089E-2</v>
      </c>
      <c r="I473" t="s">
        <v>474</v>
      </c>
      <c r="J473">
        <v>51.986499999999999</v>
      </c>
      <c r="K473">
        <v>9.1900000000001994E-2</v>
      </c>
    </row>
    <row r="474" spans="1:11" x14ac:dyDescent="0.5">
      <c r="A474" t="s">
        <v>475</v>
      </c>
      <c r="B474">
        <v>36.931899999999999</v>
      </c>
      <c r="C474">
        <v>9.5500000000002097E-2</v>
      </c>
      <c r="E474" t="s">
        <v>475</v>
      </c>
      <c r="F474">
        <v>59.038400000000003</v>
      </c>
      <c r="G474">
        <v>9.280000000000202E-2</v>
      </c>
      <c r="I474" t="s">
        <v>475</v>
      </c>
      <c r="J474">
        <v>43.195300000000003</v>
      </c>
      <c r="K474">
        <v>9.9400000000002209E-2</v>
      </c>
    </row>
    <row r="475" spans="1:11" x14ac:dyDescent="0.5">
      <c r="A475" t="s">
        <v>476</v>
      </c>
      <c r="B475">
        <v>35.376600000000003</v>
      </c>
      <c r="C475">
        <v>8.8600000000001899E-2</v>
      </c>
      <c r="E475" t="s">
        <v>476</v>
      </c>
      <c r="F475">
        <v>145.75489999999999</v>
      </c>
      <c r="G475">
        <v>0.23859999999999043</v>
      </c>
      <c r="I475" t="s">
        <v>476</v>
      </c>
      <c r="J475">
        <v>41.292299999999997</v>
      </c>
      <c r="K475">
        <v>0.10170000000000227</v>
      </c>
    </row>
    <row r="476" spans="1:11" x14ac:dyDescent="0.5">
      <c r="A476" t="s">
        <v>477</v>
      </c>
      <c r="B476">
        <v>51.896599999999999</v>
      </c>
      <c r="C476">
        <v>9.1800000000001991E-2</v>
      </c>
      <c r="E476" t="s">
        <v>477</v>
      </c>
      <c r="F476">
        <v>58.385899999999999</v>
      </c>
      <c r="G476">
        <v>0.10010000000000223</v>
      </c>
      <c r="I476" t="s">
        <v>477</v>
      </c>
      <c r="J476">
        <v>43.567700000000002</v>
      </c>
      <c r="K476">
        <v>9.8200000000002174E-2</v>
      </c>
    </row>
    <row r="477" spans="1:11" x14ac:dyDescent="0.5">
      <c r="A477" t="s">
        <v>478</v>
      </c>
      <c r="B477">
        <v>89.223100000000002</v>
      </c>
      <c r="C477">
        <v>7.8300000000001604E-2</v>
      </c>
      <c r="E477" t="s">
        <v>478</v>
      </c>
      <c r="F477">
        <v>96.009799999999998</v>
      </c>
      <c r="G477">
        <v>9.8800000000002192E-2</v>
      </c>
      <c r="I477" t="s">
        <v>478</v>
      </c>
      <c r="J477">
        <v>47.4392</v>
      </c>
      <c r="K477">
        <v>9.5100000000002086E-2</v>
      </c>
    </row>
    <row r="478" spans="1:11" x14ac:dyDescent="0.5">
      <c r="A478" t="s">
        <v>479</v>
      </c>
      <c r="B478">
        <v>38.620800000000003</v>
      </c>
      <c r="C478">
        <v>9.6500000000002126E-2</v>
      </c>
      <c r="E478" t="s">
        <v>479</v>
      </c>
      <c r="F478">
        <v>75.945099999999996</v>
      </c>
      <c r="G478">
        <v>9.9900000000002223E-2</v>
      </c>
      <c r="I478" t="s">
        <v>479</v>
      </c>
      <c r="J478">
        <v>49.4116</v>
      </c>
      <c r="K478">
        <v>0.10670000000000242</v>
      </c>
    </row>
    <row r="479" spans="1:11" x14ac:dyDescent="0.5">
      <c r="A479" t="s">
        <v>480</v>
      </c>
      <c r="B479">
        <v>34.1203</v>
      </c>
      <c r="C479">
        <v>7.150000000000141E-2</v>
      </c>
      <c r="E479" t="s">
        <v>480</v>
      </c>
      <c r="F479">
        <v>71.995500000000007</v>
      </c>
      <c r="G479">
        <v>0.10500000000000237</v>
      </c>
      <c r="I479" t="s">
        <v>480</v>
      </c>
      <c r="J479">
        <v>58.544199999999996</v>
      </c>
      <c r="K479">
        <v>0.1025000000000023</v>
      </c>
    </row>
    <row r="480" spans="1:11" x14ac:dyDescent="0.5">
      <c r="A480" t="s">
        <v>481</v>
      </c>
      <c r="B480">
        <v>43.453800000000001</v>
      </c>
      <c r="C480">
        <v>8.8200000000001888E-2</v>
      </c>
      <c r="E480" t="s">
        <v>481</v>
      </c>
      <c r="F480">
        <v>44.707500000000003</v>
      </c>
      <c r="G480">
        <v>0.10680000000000242</v>
      </c>
      <c r="I480" t="s">
        <v>481</v>
      </c>
      <c r="J480">
        <v>46.5379</v>
      </c>
      <c r="K480">
        <v>9.91000000000022E-2</v>
      </c>
    </row>
    <row r="481" spans="1:19" x14ac:dyDescent="0.5">
      <c r="A481" t="s">
        <v>482</v>
      </c>
      <c r="B481">
        <v>50.3446</v>
      </c>
      <c r="C481">
        <v>6.6600000000001269E-2</v>
      </c>
      <c r="E481" t="s">
        <v>482</v>
      </c>
      <c r="F481">
        <v>74.9649</v>
      </c>
      <c r="G481">
        <v>0.10320000000000232</v>
      </c>
      <c r="I481" t="s">
        <v>482</v>
      </c>
      <c r="J481">
        <v>50.775199999999998</v>
      </c>
      <c r="K481">
        <v>0.11090000000000254</v>
      </c>
    </row>
    <row r="482" spans="1:19" x14ac:dyDescent="0.5">
      <c r="A482" t="s">
        <v>483</v>
      </c>
      <c r="B482">
        <v>41.606200000000001</v>
      </c>
      <c r="C482">
        <v>8.7600000000001871E-2</v>
      </c>
      <c r="E482" t="s">
        <v>483</v>
      </c>
      <c r="F482">
        <v>61.084699999999998</v>
      </c>
      <c r="G482">
        <v>9.9000000000002197E-2</v>
      </c>
      <c r="I482" t="s">
        <v>483</v>
      </c>
      <c r="J482">
        <v>51.996499999999997</v>
      </c>
      <c r="K482">
        <v>0.11010000000000252</v>
      </c>
    </row>
    <row r="483" spans="1:19" x14ac:dyDescent="0.5">
      <c r="A483" t="s">
        <v>484</v>
      </c>
      <c r="B483">
        <v>73.818299999999994</v>
      </c>
      <c r="C483">
        <v>7.8600000000001613E-2</v>
      </c>
      <c r="E483" t="s">
        <v>484</v>
      </c>
      <c r="F483">
        <v>48.6736</v>
      </c>
      <c r="G483">
        <v>0.11730000000000272</v>
      </c>
      <c r="I483" t="s">
        <v>484</v>
      </c>
      <c r="J483">
        <v>46.0336</v>
      </c>
      <c r="K483">
        <v>9.7900000000002166E-2</v>
      </c>
    </row>
    <row r="484" spans="1:19" x14ac:dyDescent="0.5">
      <c r="A484" t="s">
        <v>485</v>
      </c>
      <c r="B484">
        <v>41.368600000000001</v>
      </c>
      <c r="C484">
        <v>7.9300000000001633E-2</v>
      </c>
      <c r="E484" t="s">
        <v>485</v>
      </c>
      <c r="F484">
        <v>73.061800000000005</v>
      </c>
      <c r="G484">
        <v>0.10180000000000228</v>
      </c>
      <c r="I484" t="s">
        <v>485</v>
      </c>
      <c r="J484">
        <v>58.397799999999997</v>
      </c>
      <c r="K484">
        <v>0.10590000000000239</v>
      </c>
    </row>
    <row r="485" spans="1:19" x14ac:dyDescent="0.5">
      <c r="A485" t="s">
        <v>486</v>
      </c>
      <c r="B485">
        <v>44.358600000000003</v>
      </c>
      <c r="C485">
        <v>6.7600000000001298E-2</v>
      </c>
      <c r="E485" t="s">
        <v>486</v>
      </c>
      <c r="F485">
        <v>73.555800000000005</v>
      </c>
      <c r="G485">
        <v>0.10220000000000229</v>
      </c>
      <c r="I485" t="s">
        <v>486</v>
      </c>
      <c r="J485">
        <v>51.301099999999998</v>
      </c>
      <c r="K485">
        <v>0.11730000000000272</v>
      </c>
    </row>
    <row r="486" spans="1:19" x14ac:dyDescent="0.5">
      <c r="A486" t="s">
        <v>487</v>
      </c>
      <c r="B486">
        <v>41.99</v>
      </c>
      <c r="C486">
        <v>7.3100000000001455E-2</v>
      </c>
      <c r="E486" t="s">
        <v>487</v>
      </c>
      <c r="F486">
        <v>58.461399999999998</v>
      </c>
      <c r="G486">
        <v>9.7500000000002154E-2</v>
      </c>
      <c r="I486" t="s">
        <v>487</v>
      </c>
      <c r="J486">
        <v>44.209099999999999</v>
      </c>
      <c r="K486">
        <v>0.10980000000000251</v>
      </c>
    </row>
    <row r="487" spans="1:19" x14ac:dyDescent="0.5">
      <c r="A487" t="s">
        <v>488</v>
      </c>
      <c r="B487">
        <v>40.692399999999999</v>
      </c>
      <c r="C487">
        <v>7.080000000000139E-2</v>
      </c>
      <c r="E487" t="s">
        <v>488</v>
      </c>
      <c r="F487">
        <v>66.207499999999996</v>
      </c>
      <c r="G487">
        <v>9.5800000000002106E-2</v>
      </c>
      <c r="I487" t="s">
        <v>488</v>
      </c>
      <c r="J487">
        <v>52.219900000000003</v>
      </c>
      <c r="K487">
        <v>0.10310000000000231</v>
      </c>
    </row>
    <row r="488" spans="1:19" x14ac:dyDescent="0.5">
      <c r="A488" t="s">
        <v>489</v>
      </c>
      <c r="B488">
        <v>41.600299999999997</v>
      </c>
      <c r="C488">
        <v>6.9300000000001347E-2</v>
      </c>
      <c r="E488" t="s">
        <v>489</v>
      </c>
      <c r="F488">
        <v>54.998899999999999</v>
      </c>
      <c r="G488">
        <v>8.8700000000001902E-2</v>
      </c>
      <c r="I488" t="s">
        <v>489</v>
      </c>
      <c r="J488">
        <v>48.550400000000003</v>
      </c>
      <c r="K488">
        <v>0.10840000000000247</v>
      </c>
    </row>
    <row r="489" spans="1:19" x14ac:dyDescent="0.5">
      <c r="A489" t="s">
        <v>490</v>
      </c>
      <c r="B489">
        <v>147.94059999999999</v>
      </c>
      <c r="C489">
        <v>0.13530000000000181</v>
      </c>
      <c r="E489" t="s">
        <v>490</v>
      </c>
      <c r="F489">
        <v>53.219799999999999</v>
      </c>
      <c r="G489">
        <v>9.8000000000002169E-2</v>
      </c>
      <c r="I489" t="s">
        <v>490</v>
      </c>
      <c r="J489">
        <v>50.878999999999998</v>
      </c>
      <c r="K489">
        <v>0.10040000000000224</v>
      </c>
    </row>
    <row r="490" spans="1:19" x14ac:dyDescent="0.5">
      <c r="A490" t="s">
        <v>491</v>
      </c>
      <c r="B490">
        <v>40.0184</v>
      </c>
      <c r="C490">
        <v>6.9000000000001338E-2</v>
      </c>
      <c r="E490" t="s">
        <v>491</v>
      </c>
      <c r="F490">
        <v>121.83969999999999</v>
      </c>
      <c r="G490">
        <v>0.1025000000000023</v>
      </c>
      <c r="I490" t="s">
        <v>491</v>
      </c>
      <c r="J490">
        <v>52.427799999999998</v>
      </c>
      <c r="K490">
        <v>9.7500000000002154E-2</v>
      </c>
    </row>
    <row r="491" spans="1:19" x14ac:dyDescent="0.5">
      <c r="A491" t="s">
        <v>492</v>
      </c>
      <c r="B491">
        <v>39.463087000000002</v>
      </c>
      <c r="C491">
        <v>7.6300000000002977E-2</v>
      </c>
      <c r="E491" t="s">
        <v>492</v>
      </c>
      <c r="F491">
        <v>40.720205999999997</v>
      </c>
      <c r="G491">
        <v>0.10420000000000378</v>
      </c>
      <c r="I491" t="s">
        <v>492</v>
      </c>
      <c r="J491">
        <v>26.720952</v>
      </c>
      <c r="K491">
        <v>9.0600000000003386E-2</v>
      </c>
    </row>
    <row r="492" spans="1:19" x14ac:dyDescent="0.5">
      <c r="A492" t="s">
        <v>493</v>
      </c>
      <c r="B492">
        <v>45.776131999999997</v>
      </c>
      <c r="C492">
        <v>7.6100000000002971E-2</v>
      </c>
      <c r="E492" t="s">
        <v>493</v>
      </c>
      <c r="F492">
        <v>45.119247999999999</v>
      </c>
      <c r="G492">
        <v>0.10440000000000378</v>
      </c>
      <c r="I492" t="s">
        <v>493</v>
      </c>
      <c r="J492">
        <v>28.050993999999999</v>
      </c>
      <c r="K492">
        <v>8.9200000000003346E-2</v>
      </c>
    </row>
    <row r="493" spans="1:19" x14ac:dyDescent="0.5">
      <c r="A493" t="s">
        <v>494</v>
      </c>
      <c r="B493">
        <v>63.591355565510746</v>
      </c>
      <c r="C493">
        <v>5.8199999999631657E-2</v>
      </c>
      <c r="E493" t="s">
        <v>494</v>
      </c>
      <c r="F493">
        <v>157.96597262151562</v>
      </c>
      <c r="G493">
        <v>9.5999999999543562E-2</v>
      </c>
      <c r="I493" t="s">
        <v>494</v>
      </c>
      <c r="J493">
        <v>78.539211472581925</v>
      </c>
      <c r="K493">
        <v>0.10289999999952748</v>
      </c>
    </row>
    <row r="494" spans="1:19" x14ac:dyDescent="0.5">
      <c r="A494" t="s">
        <v>495</v>
      </c>
      <c r="B494">
        <v>35.323618154658284</v>
      </c>
      <c r="C494">
        <v>7.6899999962946539E-2</v>
      </c>
      <c r="E494" t="s">
        <v>495</v>
      </c>
      <c r="F494">
        <v>49.504722437250429</v>
      </c>
      <c r="G494">
        <v>9.859999996294716E-2</v>
      </c>
      <c r="I494" t="s">
        <v>495</v>
      </c>
      <c r="J494">
        <v>41.489278346107724</v>
      </c>
      <c r="K494">
        <v>0.11489999996294763</v>
      </c>
    </row>
    <row r="495" spans="1:19" x14ac:dyDescent="0.5">
      <c r="A495" t="s">
        <v>496</v>
      </c>
      <c r="B495">
        <v>44.141006183582839</v>
      </c>
      <c r="C495">
        <v>6.4499999962946183E-2</v>
      </c>
      <c r="E495" t="s">
        <v>496</v>
      </c>
      <c r="F495">
        <v>45.000061223465259</v>
      </c>
      <c r="G495">
        <v>0.11249999996294756</v>
      </c>
      <c r="I495" t="s">
        <v>496</v>
      </c>
      <c r="J495">
        <v>39.310369428096315</v>
      </c>
      <c r="K495">
        <v>0.11239999996294756</v>
      </c>
    </row>
    <row r="496" spans="1:19" x14ac:dyDescent="0.5">
      <c r="A496" t="s">
        <v>497</v>
      </c>
      <c r="B496">
        <v>46.388030987145065</v>
      </c>
      <c r="C496">
        <v>5.9799999960615476E-2</v>
      </c>
      <c r="E496" t="s">
        <v>497</v>
      </c>
      <c r="F496">
        <v>51.122850199367392</v>
      </c>
      <c r="G496">
        <v>7.2499999960615832E-2</v>
      </c>
      <c r="I496" t="s">
        <v>497</v>
      </c>
      <c r="J496">
        <v>43.784902210752534</v>
      </c>
      <c r="K496">
        <v>7.869999996061601E-2</v>
      </c>
      <c r="M496" s="11" t="s">
        <v>497</v>
      </c>
      <c r="N496" s="11">
        <v>67.945499024302677</v>
      </c>
      <c r="O496" s="11">
        <v>7.0499999999604768E-2</v>
      </c>
      <c r="Q496" s="11" t="s">
        <v>497</v>
      </c>
      <c r="R496" s="11">
        <v>49.511877954693098</v>
      </c>
      <c r="S496" s="11">
        <v>6.7099999999612692E-2</v>
      </c>
    </row>
    <row r="497" spans="1:11" x14ac:dyDescent="0.5">
      <c r="A497" t="s">
        <v>498</v>
      </c>
      <c r="B497">
        <v>21.535669157306049</v>
      </c>
      <c r="C497">
        <v>3.899999996294546E-2</v>
      </c>
      <c r="E497" t="s">
        <v>498</v>
      </c>
      <c r="F497">
        <v>59.319130634095352</v>
      </c>
      <c r="G497">
        <v>9.0599999962946931E-2</v>
      </c>
      <c r="I497" t="s">
        <v>498</v>
      </c>
      <c r="J497">
        <v>35.909433414229348</v>
      </c>
      <c r="K497">
        <v>7.6899999962946539E-2</v>
      </c>
    </row>
    <row r="498" spans="1:11" x14ac:dyDescent="0.5">
      <c r="A498" t="s">
        <v>499</v>
      </c>
      <c r="B498">
        <v>16.49987694363508</v>
      </c>
      <c r="C498">
        <v>2.8999999962945253E-2</v>
      </c>
      <c r="E498" t="s">
        <v>499</v>
      </c>
      <c r="F498">
        <v>43.184268139390547</v>
      </c>
      <c r="G498">
        <v>8.8699999962946877E-2</v>
      </c>
      <c r="I498" t="s">
        <v>499</v>
      </c>
      <c r="J498">
        <v>21.684531041013415</v>
      </c>
      <c r="K498">
        <v>8.4399999962946753E-2</v>
      </c>
    </row>
    <row r="499" spans="1:11" x14ac:dyDescent="0.5">
      <c r="A499" t="s">
        <v>500</v>
      </c>
      <c r="B499">
        <v>23.330366002634264</v>
      </c>
      <c r="C499">
        <v>5.6999999962945976E-2</v>
      </c>
      <c r="E499" t="s">
        <v>500</v>
      </c>
      <c r="F499">
        <v>43.688031484374584</v>
      </c>
      <c r="G499">
        <v>8.1999999962946685E-2</v>
      </c>
      <c r="I499" t="s">
        <v>500</v>
      </c>
      <c r="J499">
        <v>28.271131611557884</v>
      </c>
      <c r="K499">
        <v>7.7399999962946553E-2</v>
      </c>
    </row>
    <row r="500" spans="1:11" x14ac:dyDescent="0.5">
      <c r="A500" t="s">
        <v>501</v>
      </c>
      <c r="B500">
        <v>26.177402834229994</v>
      </c>
      <c r="C500">
        <v>3.6099999962945377E-2</v>
      </c>
      <c r="E500" t="s">
        <v>501</v>
      </c>
      <c r="F500">
        <v>33.399475385743564</v>
      </c>
      <c r="G500">
        <v>8.3899999962946739E-2</v>
      </c>
      <c r="I500" t="s">
        <v>501</v>
      </c>
      <c r="J500">
        <v>26.552384198036819</v>
      </c>
      <c r="K500">
        <v>7.3899999962946453E-2</v>
      </c>
    </row>
    <row r="501" spans="1:11" x14ac:dyDescent="0.5">
      <c r="A501" t="s">
        <v>502</v>
      </c>
      <c r="B501">
        <v>17.276289145189796</v>
      </c>
      <c r="C501">
        <v>4.4799999962945626E-2</v>
      </c>
      <c r="E501" t="s">
        <v>502</v>
      </c>
      <c r="F501">
        <v>24.367680407596293</v>
      </c>
      <c r="G501">
        <v>0.10149999996294724</v>
      </c>
      <c r="I501" t="s">
        <v>502</v>
      </c>
      <c r="J501">
        <v>27.676041183938995</v>
      </c>
      <c r="K501">
        <v>7.4799999962946478E-2</v>
      </c>
    </row>
    <row r="502" spans="1:11" x14ac:dyDescent="0.5">
      <c r="A502" t="s">
        <v>503</v>
      </c>
      <c r="B502">
        <v>15.319671024859757</v>
      </c>
      <c r="C502">
        <v>4.2999999962945575E-2</v>
      </c>
      <c r="E502" t="s">
        <v>503</v>
      </c>
      <c r="F502">
        <v>21.535479620246075</v>
      </c>
      <c r="G502">
        <v>0.10999999996294749</v>
      </c>
      <c r="I502" t="s">
        <v>503</v>
      </c>
      <c r="J502">
        <v>20.527882048367065</v>
      </c>
      <c r="K502">
        <v>8.1599999962946673E-2</v>
      </c>
    </row>
    <row r="503" spans="1:11" x14ac:dyDescent="0.5">
      <c r="A503" t="s">
        <v>504</v>
      </c>
      <c r="B503">
        <v>37.659599999999998</v>
      </c>
      <c r="C503">
        <v>9.0300000000002031E-2</v>
      </c>
      <c r="E503" t="s">
        <v>504</v>
      </c>
      <c r="F503">
        <v>127.0968</v>
      </c>
      <c r="G503">
        <v>0.2332999999999911</v>
      </c>
      <c r="I503" t="s">
        <v>504</v>
      </c>
      <c r="J503">
        <v>39.416400000000003</v>
      </c>
      <c r="K503">
        <v>0.10620000000000249</v>
      </c>
    </row>
    <row r="504" spans="1:11" x14ac:dyDescent="0.5">
      <c r="A504" t="s">
        <v>505</v>
      </c>
      <c r="B504">
        <v>66.477887999999993</v>
      </c>
      <c r="C504">
        <v>0.10030000000000368</v>
      </c>
      <c r="E504" t="s">
        <v>505</v>
      </c>
      <c r="F504">
        <v>58.212349000000003</v>
      </c>
      <c r="G504">
        <v>9.9600000000003658E-2</v>
      </c>
      <c r="I504" t="s">
        <v>505</v>
      </c>
      <c r="J504">
        <v>50.978278000000003</v>
      </c>
      <c r="K504">
        <v>0.1082000000000039</v>
      </c>
    </row>
    <row r="505" spans="1:11" x14ac:dyDescent="0.5">
      <c r="A505" t="s">
        <v>506</v>
      </c>
      <c r="B505">
        <v>52.288151999999997</v>
      </c>
      <c r="C505">
        <v>6.3600000000001544E-2</v>
      </c>
      <c r="E505" t="s">
        <v>506</v>
      </c>
      <c r="F505">
        <v>57.545337000000004</v>
      </c>
      <c r="G505">
        <v>9.9100000000002561E-2</v>
      </c>
      <c r="I505" t="s">
        <v>506</v>
      </c>
      <c r="J505">
        <v>38.945475000000002</v>
      </c>
      <c r="K505">
        <v>8.6400000000002197E-2</v>
      </c>
    </row>
    <row r="506" spans="1:11" x14ac:dyDescent="0.5">
      <c r="A506" t="s">
        <v>507</v>
      </c>
      <c r="B506">
        <v>71.848501999999996</v>
      </c>
      <c r="C506">
        <v>8.6700000000001581E-2</v>
      </c>
      <c r="E506" t="s">
        <v>507</v>
      </c>
      <c r="F506">
        <v>59.586010999999999</v>
      </c>
      <c r="G506">
        <v>0.10360000000000207</v>
      </c>
      <c r="I506" t="s">
        <v>507</v>
      </c>
      <c r="J506">
        <v>47.827652</v>
      </c>
      <c r="K506">
        <v>9.6000000000001848E-2</v>
      </c>
    </row>
    <row r="507" spans="1:11" x14ac:dyDescent="0.5">
      <c r="A507" t="s">
        <v>508</v>
      </c>
      <c r="B507">
        <v>38.343286999999997</v>
      </c>
      <c r="C507">
        <v>6.7900000000000807E-2</v>
      </c>
      <c r="E507" t="s">
        <v>508</v>
      </c>
      <c r="F507">
        <v>65.198097000000004</v>
      </c>
      <c r="G507">
        <v>9.8200000000001675E-2</v>
      </c>
      <c r="I507" t="s">
        <v>508</v>
      </c>
      <c r="J507">
        <v>42.004846000000001</v>
      </c>
      <c r="K507">
        <v>9.8800000000001692E-2</v>
      </c>
    </row>
    <row r="508" spans="1:11" x14ac:dyDescent="0.5">
      <c r="A508" t="s">
        <v>509</v>
      </c>
      <c r="B508">
        <v>37.288347000000002</v>
      </c>
      <c r="C508">
        <v>9.3900000000002135E-2</v>
      </c>
      <c r="E508" t="s">
        <v>509</v>
      </c>
      <c r="F508">
        <v>68.522593000000001</v>
      </c>
      <c r="G508">
        <v>8.5300000000001888E-2</v>
      </c>
      <c r="I508" t="s">
        <v>509</v>
      </c>
      <c r="J508">
        <v>37.730950999999997</v>
      </c>
      <c r="K508">
        <v>8.6200000000001914E-2</v>
      </c>
    </row>
    <row r="509" spans="1:11" x14ac:dyDescent="0.5">
      <c r="A509" t="s">
        <v>510</v>
      </c>
      <c r="B509">
        <v>37.765064000000002</v>
      </c>
      <c r="C509">
        <v>8.7100000000002231E-2</v>
      </c>
      <c r="E509" t="s">
        <v>510</v>
      </c>
      <c r="F509">
        <v>88.539186000000001</v>
      </c>
      <c r="G509">
        <v>0.11650000000000307</v>
      </c>
      <c r="I509" t="s">
        <v>510</v>
      </c>
      <c r="J509">
        <v>51.652957999999998</v>
      </c>
      <c r="K509">
        <v>0.10160000000000265</v>
      </c>
    </row>
    <row r="510" spans="1:11" x14ac:dyDescent="0.5">
      <c r="A510" t="s">
        <v>511</v>
      </c>
      <c r="B510">
        <v>70.699590000000001</v>
      </c>
      <c r="C510">
        <v>7.3200000000001542E-2</v>
      </c>
      <c r="E510" t="s">
        <v>511</v>
      </c>
      <c r="F510">
        <v>47.984155999999999</v>
      </c>
      <c r="G510">
        <v>0.10740000000000252</v>
      </c>
      <c r="I510" t="s">
        <v>511</v>
      </c>
      <c r="J510">
        <v>39.463251999999997</v>
      </c>
      <c r="K510">
        <v>0.10640000000000249</v>
      </c>
    </row>
    <row r="511" spans="1:11" x14ac:dyDescent="0.5">
      <c r="A511" t="s">
        <v>512</v>
      </c>
      <c r="B511">
        <v>37.888511999999999</v>
      </c>
      <c r="C511">
        <v>7.8500000000002582E-2</v>
      </c>
      <c r="E511" t="s">
        <v>512</v>
      </c>
      <c r="F511">
        <v>59.299379999999999</v>
      </c>
      <c r="G511">
        <v>0.10090000000000322</v>
      </c>
      <c r="I511" t="s">
        <v>512</v>
      </c>
      <c r="J511">
        <v>41.664324000000001</v>
      </c>
      <c r="K511">
        <v>0.10460000000000333</v>
      </c>
    </row>
    <row r="512" spans="1:11" x14ac:dyDescent="0.5">
      <c r="A512" t="s">
        <v>513</v>
      </c>
      <c r="B512">
        <v>67.194785999999993</v>
      </c>
      <c r="C512">
        <v>8.2599999999973736E-2</v>
      </c>
      <c r="E512" t="s">
        <v>513</v>
      </c>
      <c r="F512">
        <v>76.839956999999998</v>
      </c>
      <c r="G512">
        <v>0.10299999999997432</v>
      </c>
      <c r="I512" t="s">
        <v>513</v>
      </c>
      <c r="J512">
        <v>57.266553999999999</v>
      </c>
      <c r="K512">
        <v>9.4299999999974071E-2</v>
      </c>
    </row>
    <row r="513" spans="1:11" x14ac:dyDescent="0.5">
      <c r="A513" t="s">
        <v>514</v>
      </c>
      <c r="B513">
        <v>38.572800000000001</v>
      </c>
      <c r="C513">
        <v>7.4500000000001496E-2</v>
      </c>
      <c r="E513" t="s">
        <v>514</v>
      </c>
      <c r="F513">
        <v>53.941899999999997</v>
      </c>
      <c r="G513">
        <v>0.10580000000000239</v>
      </c>
      <c r="I513" t="s">
        <v>514</v>
      </c>
      <c r="J513">
        <v>47.116599999999998</v>
      </c>
      <c r="K513">
        <v>9.7500000000002154E-2</v>
      </c>
    </row>
    <row r="514" spans="1:11" x14ac:dyDescent="0.5">
      <c r="A514" t="s">
        <v>515</v>
      </c>
      <c r="B514">
        <v>36.890298999999999</v>
      </c>
      <c r="C514">
        <v>8.6000000000001908E-2</v>
      </c>
      <c r="E514" t="s">
        <v>515</v>
      </c>
      <c r="F514">
        <v>43.709198999999998</v>
      </c>
      <c r="G514">
        <v>0.10950000000000258</v>
      </c>
      <c r="I514" t="s">
        <v>515</v>
      </c>
      <c r="J514">
        <v>43.266813999999997</v>
      </c>
      <c r="K514">
        <v>0.10830000000000255</v>
      </c>
    </row>
    <row r="515" spans="1:11" x14ac:dyDescent="0.5">
      <c r="A515" t="s">
        <v>516</v>
      </c>
      <c r="B515">
        <v>25.430385999999999</v>
      </c>
      <c r="C515">
        <v>9.9800000000001748E-2</v>
      </c>
      <c r="E515" t="s">
        <v>516</v>
      </c>
      <c r="F515">
        <v>73.264494999999997</v>
      </c>
      <c r="G515">
        <v>0.11510000000000219</v>
      </c>
      <c r="I515" t="s">
        <v>516</v>
      </c>
      <c r="J515">
        <v>33.842654000000003</v>
      </c>
      <c r="K515">
        <v>9.9200000000001731E-2</v>
      </c>
    </row>
    <row r="516" spans="1:11" x14ac:dyDescent="0.5">
      <c r="A516" t="s">
        <v>517</v>
      </c>
      <c r="B516">
        <v>29.308947</v>
      </c>
      <c r="C516">
        <v>7.9300000000001161E-2</v>
      </c>
      <c r="E516" t="s">
        <v>517</v>
      </c>
      <c r="F516">
        <v>43.639009000000001</v>
      </c>
      <c r="G516">
        <v>9.4000000000001582E-2</v>
      </c>
      <c r="I516" t="s">
        <v>517</v>
      </c>
      <c r="J516">
        <v>39.631599999999999</v>
      </c>
      <c r="K516">
        <v>0.11180000000000209</v>
      </c>
    </row>
    <row r="517" spans="1:11" x14ac:dyDescent="0.5">
      <c r="A517" t="s">
        <v>518</v>
      </c>
      <c r="B517">
        <v>29.706233999999998</v>
      </c>
      <c r="C517">
        <v>8.230000000000269E-2</v>
      </c>
      <c r="E517" t="s">
        <v>518</v>
      </c>
      <c r="F517">
        <v>48.783729000000001</v>
      </c>
      <c r="G517">
        <v>0.28709999999998609</v>
      </c>
      <c r="I517" t="s">
        <v>518</v>
      </c>
      <c r="J517">
        <v>42.616073</v>
      </c>
      <c r="K517">
        <v>0.1070000000000034</v>
      </c>
    </row>
    <row r="518" spans="1:11" x14ac:dyDescent="0.5">
      <c r="A518" t="s">
        <v>519</v>
      </c>
      <c r="B518">
        <v>28.836047000000001</v>
      </c>
      <c r="C518">
        <v>8.3200000000003327E-2</v>
      </c>
      <c r="E518" t="s">
        <v>519</v>
      </c>
      <c r="F518">
        <v>44.226945999999998</v>
      </c>
      <c r="G518">
        <v>0.10960000000000408</v>
      </c>
      <c r="I518" t="s">
        <v>519</v>
      </c>
      <c r="J518">
        <v>29.365397000000002</v>
      </c>
      <c r="K518">
        <v>0.11150000000000414</v>
      </c>
    </row>
    <row r="519" spans="1:11" x14ac:dyDescent="0.5">
      <c r="A519" t="s">
        <v>520</v>
      </c>
      <c r="B519">
        <v>31.161175</v>
      </c>
      <c r="C519">
        <v>8.7100000000002828E-2</v>
      </c>
      <c r="E519" t="s">
        <v>520</v>
      </c>
      <c r="F519">
        <v>53.544276000000004</v>
      </c>
      <c r="G519">
        <v>9.9300000000003177E-2</v>
      </c>
      <c r="I519" t="s">
        <v>520</v>
      </c>
      <c r="J519">
        <v>44.567754000000001</v>
      </c>
      <c r="K519">
        <v>0.1035000000000033</v>
      </c>
    </row>
    <row r="520" spans="1:11" x14ac:dyDescent="0.5">
      <c r="A520" t="s">
        <v>521</v>
      </c>
      <c r="B520">
        <v>35.408862999999997</v>
      </c>
      <c r="C520">
        <v>7.3800000000001559E-2</v>
      </c>
      <c r="E520" t="s">
        <v>521</v>
      </c>
      <c r="F520">
        <v>92.362703999999994</v>
      </c>
      <c r="G520">
        <v>0.22119999999999243</v>
      </c>
      <c r="I520" t="s">
        <v>521</v>
      </c>
      <c r="J520">
        <v>42.020693999999999</v>
      </c>
      <c r="K520">
        <v>9.6000000000002195E-2</v>
      </c>
    </row>
    <row r="521" spans="1:11" x14ac:dyDescent="0.5">
      <c r="A521" t="s">
        <v>522</v>
      </c>
      <c r="B521">
        <v>35.461002000000001</v>
      </c>
      <c r="C521">
        <v>8.1700000000001702E-2</v>
      </c>
      <c r="E521" t="s">
        <v>522</v>
      </c>
      <c r="F521">
        <v>49.276721999999999</v>
      </c>
      <c r="G521">
        <v>9.7300000000002149E-2</v>
      </c>
      <c r="I521" t="s">
        <v>522</v>
      </c>
      <c r="J521">
        <v>45.552536000000003</v>
      </c>
      <c r="K521">
        <v>9.1600000000001985E-2</v>
      </c>
    </row>
    <row r="522" spans="1:11" x14ac:dyDescent="0.5">
      <c r="A522" t="s">
        <v>523</v>
      </c>
      <c r="B522">
        <v>93.558318999999997</v>
      </c>
      <c r="C522">
        <v>8.1000000000001682E-2</v>
      </c>
      <c r="E522" t="s">
        <v>523</v>
      </c>
      <c r="F522">
        <v>49.800274000000002</v>
      </c>
      <c r="G522">
        <v>0.12790000000000262</v>
      </c>
      <c r="I522" t="s">
        <v>523</v>
      </c>
      <c r="J522">
        <v>45.302973999999999</v>
      </c>
      <c r="K522">
        <v>0.10500000000000237</v>
      </c>
    </row>
    <row r="523" spans="1:11" x14ac:dyDescent="0.5">
      <c r="A523" t="s">
        <v>524</v>
      </c>
      <c r="B523">
        <v>33.093425000000003</v>
      </c>
      <c r="C523">
        <v>8.4000000000001851E-2</v>
      </c>
      <c r="E523" t="s">
        <v>524</v>
      </c>
      <c r="F523">
        <v>71.107425000000006</v>
      </c>
      <c r="G523">
        <v>8.5400000000001891E-2</v>
      </c>
      <c r="I523" t="s">
        <v>524</v>
      </c>
      <c r="J523">
        <v>50.892226000000001</v>
      </c>
      <c r="K523">
        <v>8.2900000000001819E-2</v>
      </c>
    </row>
    <row r="524" spans="1:11" x14ac:dyDescent="0.5">
      <c r="A524" t="s">
        <v>525</v>
      </c>
      <c r="B524">
        <v>35.069651</v>
      </c>
      <c r="C524">
        <v>8.5600000000001814E-2</v>
      </c>
      <c r="E524" t="s">
        <v>525</v>
      </c>
      <c r="F524">
        <v>124.356025</v>
      </c>
      <c r="G524">
        <v>0.17769999999999714</v>
      </c>
      <c r="I524" t="s">
        <v>525</v>
      </c>
      <c r="J524">
        <v>46.803325999999998</v>
      </c>
      <c r="K524">
        <v>8.7300000000001862E-2</v>
      </c>
    </row>
    <row r="525" spans="1:11" x14ac:dyDescent="0.5">
      <c r="A525" t="s">
        <v>526</v>
      </c>
      <c r="B525">
        <v>46.391336000000003</v>
      </c>
      <c r="C525">
        <v>4.9300000000000781E-2</v>
      </c>
      <c r="E525" t="s">
        <v>526</v>
      </c>
      <c r="F525">
        <v>61.662646000000002</v>
      </c>
      <c r="G525">
        <v>8.4800000000001791E-2</v>
      </c>
      <c r="I525" t="s">
        <v>526</v>
      </c>
      <c r="J525">
        <v>43.382382999999997</v>
      </c>
      <c r="K525">
        <v>9.6900000000002137E-2</v>
      </c>
    </row>
    <row r="526" spans="1:11" x14ac:dyDescent="0.5">
      <c r="A526" t="s">
        <v>527</v>
      </c>
      <c r="B526">
        <v>38.184604999999998</v>
      </c>
      <c r="C526">
        <v>7.6200000000001544E-2</v>
      </c>
      <c r="E526" t="s">
        <v>527</v>
      </c>
      <c r="F526">
        <v>62.222625000000001</v>
      </c>
      <c r="G526">
        <v>0.10440000000000235</v>
      </c>
      <c r="I526" t="s">
        <v>527</v>
      </c>
      <c r="J526">
        <v>37.040829000000002</v>
      </c>
      <c r="K526">
        <v>0.1026000000000023</v>
      </c>
    </row>
    <row r="527" spans="1:11" x14ac:dyDescent="0.5">
      <c r="A527" t="s">
        <v>528</v>
      </c>
      <c r="B527">
        <v>58.220908999999999</v>
      </c>
      <c r="C527">
        <v>6.7500000000001295E-2</v>
      </c>
      <c r="E527" t="s">
        <v>528</v>
      </c>
      <c r="F527">
        <v>78.831367</v>
      </c>
      <c r="G527">
        <v>9.490000000000208E-2</v>
      </c>
      <c r="I527" t="s">
        <v>528</v>
      </c>
      <c r="J527">
        <v>58.893267999999999</v>
      </c>
      <c r="K527">
        <v>9.3700000000002046E-2</v>
      </c>
    </row>
    <row r="528" spans="1:11" x14ac:dyDescent="0.5">
      <c r="A528" t="s">
        <v>529</v>
      </c>
      <c r="B528">
        <v>45.650931999999997</v>
      </c>
      <c r="C528">
        <v>8.9700000000001931E-2</v>
      </c>
      <c r="E528" t="s">
        <v>529</v>
      </c>
      <c r="F528">
        <v>65.701825999999997</v>
      </c>
      <c r="G528">
        <v>0.26019999999998805</v>
      </c>
      <c r="I528" t="s">
        <v>529</v>
      </c>
      <c r="J528">
        <v>45.493057999999998</v>
      </c>
      <c r="K528">
        <v>0.1095000000000025</v>
      </c>
    </row>
    <row r="529" spans="1:11" x14ac:dyDescent="0.5">
      <c r="A529" t="s">
        <v>530</v>
      </c>
      <c r="B529">
        <v>71.572357999999994</v>
      </c>
      <c r="C529">
        <v>7.5500000000001524E-2</v>
      </c>
      <c r="E529" t="s">
        <v>530</v>
      </c>
      <c r="F529">
        <v>67.086590999999999</v>
      </c>
      <c r="G529">
        <v>0.1026000000000023</v>
      </c>
      <c r="I529" t="s">
        <v>530</v>
      </c>
      <c r="J529">
        <v>38.975593000000003</v>
      </c>
      <c r="K529">
        <v>0.10150000000000227</v>
      </c>
    </row>
    <row r="530" spans="1:11" x14ac:dyDescent="0.5">
      <c r="A530" t="s">
        <v>531</v>
      </c>
      <c r="B530">
        <v>36.599062000000004</v>
      </c>
      <c r="C530">
        <v>7.9100000000001627E-2</v>
      </c>
      <c r="E530" t="s">
        <v>531</v>
      </c>
      <c r="F530">
        <v>48.278371999999997</v>
      </c>
      <c r="G530">
        <v>0.10740000000000244</v>
      </c>
      <c r="I530" t="s">
        <v>531</v>
      </c>
      <c r="J530">
        <v>42.110202999999998</v>
      </c>
      <c r="K530">
        <v>0.11460000000000264</v>
      </c>
    </row>
    <row r="531" spans="1:11" x14ac:dyDescent="0.5">
      <c r="A531" t="s">
        <v>532</v>
      </c>
      <c r="B531">
        <v>37.094403</v>
      </c>
      <c r="C531">
        <v>9.1000000000001968E-2</v>
      </c>
      <c r="E531" t="s">
        <v>532</v>
      </c>
      <c r="F531">
        <v>74.634860000000003</v>
      </c>
      <c r="G531">
        <v>0.12270000000000288</v>
      </c>
      <c r="I531" t="s">
        <v>532</v>
      </c>
      <c r="J531">
        <v>51.962490000000003</v>
      </c>
      <c r="K531">
        <v>0.12330000000000289</v>
      </c>
    </row>
    <row r="532" spans="1:11" x14ac:dyDescent="0.5">
      <c r="A532" t="s">
        <v>533</v>
      </c>
      <c r="B532">
        <v>50.238664</v>
      </c>
      <c r="C532">
        <v>9.2500000000002011E-2</v>
      </c>
      <c r="E532" t="s">
        <v>533</v>
      </c>
      <c r="F532">
        <v>46.169296000000003</v>
      </c>
      <c r="G532">
        <v>0.11810000000000274</v>
      </c>
      <c r="I532" t="s">
        <v>533</v>
      </c>
      <c r="J532">
        <v>44.027042000000002</v>
      </c>
      <c r="K532">
        <v>0.10440000000000235</v>
      </c>
    </row>
    <row r="533" spans="1:11" x14ac:dyDescent="0.5">
      <c r="A533" t="s">
        <v>534</v>
      </c>
      <c r="B533">
        <v>36.569597000000002</v>
      </c>
      <c r="C533">
        <v>7.990000000000165E-2</v>
      </c>
      <c r="E533" t="s">
        <v>534</v>
      </c>
      <c r="F533">
        <v>44.091811</v>
      </c>
      <c r="G533">
        <v>9.3800000000002048E-2</v>
      </c>
      <c r="I533" t="s">
        <v>534</v>
      </c>
      <c r="J533">
        <v>45.213498999999999</v>
      </c>
      <c r="K533">
        <v>0.10680000000000242</v>
      </c>
    </row>
    <row r="534" spans="1:11" x14ac:dyDescent="0.5">
      <c r="A534" t="s">
        <v>535</v>
      </c>
      <c r="B534">
        <v>42.287500000000001</v>
      </c>
      <c r="C534">
        <v>8.5500000000001811E-2</v>
      </c>
      <c r="E534" t="s">
        <v>535</v>
      </c>
      <c r="F534">
        <v>59.040100000000002</v>
      </c>
      <c r="G534">
        <v>0.10630000000000241</v>
      </c>
      <c r="I534" t="s">
        <v>535</v>
      </c>
      <c r="J534">
        <v>42.750999999999998</v>
      </c>
      <c r="K534">
        <v>0.10030000000000223</v>
      </c>
    </row>
    <row r="535" spans="1:11" x14ac:dyDescent="0.5">
      <c r="A535" t="s">
        <v>536</v>
      </c>
      <c r="B535">
        <v>40.929499999999997</v>
      </c>
      <c r="C535">
        <v>2.6000000000000297E-2</v>
      </c>
      <c r="E535" t="s">
        <v>536</v>
      </c>
      <c r="F535">
        <v>56.173099999999998</v>
      </c>
      <c r="G535">
        <v>0.12050000000000281</v>
      </c>
      <c r="I535" t="s">
        <v>536</v>
      </c>
      <c r="J535">
        <v>48.703600000000002</v>
      </c>
      <c r="K535">
        <v>0.11930000000000278</v>
      </c>
    </row>
    <row r="536" spans="1:11" x14ac:dyDescent="0.5">
      <c r="A536" t="s">
        <v>537</v>
      </c>
      <c r="B536">
        <v>39.432899999999997</v>
      </c>
      <c r="C536">
        <v>8.3100000000001742E-2</v>
      </c>
      <c r="E536" t="s">
        <v>537</v>
      </c>
      <c r="F536">
        <v>95.0535</v>
      </c>
      <c r="G536">
        <v>0.10460000000000236</v>
      </c>
      <c r="I536" t="s">
        <v>537</v>
      </c>
      <c r="J536">
        <v>58.840200000000003</v>
      </c>
      <c r="K536">
        <v>9.7900000000002166E-2</v>
      </c>
    </row>
    <row r="537" spans="1:11" x14ac:dyDescent="0.5">
      <c r="A537" t="s">
        <v>538</v>
      </c>
      <c r="B537">
        <v>35.207799999999999</v>
      </c>
      <c r="C537">
        <v>8.6100000000001828E-2</v>
      </c>
      <c r="E537" t="s">
        <v>538</v>
      </c>
      <c r="F537">
        <v>45.419400000000003</v>
      </c>
      <c r="G537">
        <v>0.10580000000000239</v>
      </c>
      <c r="I537" t="s">
        <v>538</v>
      </c>
      <c r="J537">
        <v>38.241500000000002</v>
      </c>
      <c r="K537">
        <v>0.11590000000000268</v>
      </c>
    </row>
    <row r="538" spans="1:11" x14ac:dyDescent="0.5">
      <c r="A538" t="s">
        <v>539</v>
      </c>
      <c r="B538">
        <v>44.179099999999998</v>
      </c>
      <c r="C538">
        <v>6.9500000000001352E-2</v>
      </c>
      <c r="E538" t="s">
        <v>539</v>
      </c>
      <c r="F538">
        <v>49.719499999999996</v>
      </c>
      <c r="G538">
        <v>0.10400000000000234</v>
      </c>
      <c r="I538" t="s">
        <v>539</v>
      </c>
      <c r="J538">
        <v>43.758000000000003</v>
      </c>
      <c r="K538">
        <v>0.12180000000000285</v>
      </c>
    </row>
    <row r="539" spans="1:11" x14ac:dyDescent="0.5">
      <c r="A539" t="s">
        <v>540</v>
      </c>
      <c r="B539">
        <v>36.639299999999999</v>
      </c>
      <c r="C539">
        <v>9.6800000000002134E-2</v>
      </c>
      <c r="E539" t="s">
        <v>540</v>
      </c>
      <c r="F539">
        <v>118.4312</v>
      </c>
      <c r="G539">
        <v>0.25879999999998821</v>
      </c>
      <c r="I539" t="s">
        <v>540</v>
      </c>
      <c r="J539">
        <v>45.359099999999998</v>
      </c>
      <c r="K539">
        <v>0.1060000000000024</v>
      </c>
    </row>
    <row r="540" spans="1:11" x14ac:dyDescent="0.5">
      <c r="A540" t="s">
        <v>541</v>
      </c>
      <c r="B540">
        <v>55.165799999999997</v>
      </c>
      <c r="C540">
        <v>9.3400000000002037E-2</v>
      </c>
      <c r="E540" t="s">
        <v>541</v>
      </c>
      <c r="F540">
        <v>64.616200000000006</v>
      </c>
      <c r="G540">
        <v>0.10040000000000224</v>
      </c>
      <c r="I540" t="s">
        <v>541</v>
      </c>
      <c r="J540">
        <v>38.122799999999998</v>
      </c>
      <c r="K540">
        <v>0.10010000000000223</v>
      </c>
    </row>
    <row r="541" spans="1:11" x14ac:dyDescent="0.5">
      <c r="A541" t="s">
        <v>542</v>
      </c>
      <c r="B541">
        <v>35.951999999999998</v>
      </c>
      <c r="C541">
        <v>8.6500000000001839E-2</v>
      </c>
      <c r="E541" t="s">
        <v>542</v>
      </c>
      <c r="F541">
        <v>88.176100000000005</v>
      </c>
      <c r="G541">
        <v>0.23819999999999047</v>
      </c>
      <c r="I541" t="s">
        <v>542</v>
      </c>
      <c r="J541">
        <v>38.714300000000001</v>
      </c>
      <c r="K541">
        <v>0.1061000000000024</v>
      </c>
    </row>
    <row r="542" spans="1:11" x14ac:dyDescent="0.5">
      <c r="A542" t="s">
        <v>543</v>
      </c>
      <c r="B542">
        <v>33.076700000000002</v>
      </c>
      <c r="C542">
        <v>8.060000000000167E-2</v>
      </c>
      <c r="E542" t="s">
        <v>543</v>
      </c>
      <c r="F542">
        <v>54.100900000000003</v>
      </c>
      <c r="G542">
        <v>0.13120000000000226</v>
      </c>
      <c r="I542" t="s">
        <v>543</v>
      </c>
      <c r="J542">
        <v>40.4754</v>
      </c>
      <c r="K542">
        <v>0.10460000000000236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2E4D0-43CF-4910-8DC2-ED5F4485835A}">
  <dimension ref="A1:V542"/>
  <sheetViews>
    <sheetView tabSelected="1" topLeftCell="I1" zoomScale="70" workbookViewId="0">
      <selection activeCell="O196" sqref="O196"/>
    </sheetView>
  </sheetViews>
  <sheetFormatPr defaultRowHeight="14.35" x14ac:dyDescent="0.5"/>
  <cols>
    <col min="1" max="1" width="20.5859375" customWidth="1"/>
    <col min="2" max="2" width="23.8203125" bestFit="1" customWidth="1"/>
    <col min="3" max="3" width="24.1171875" bestFit="1" customWidth="1"/>
    <col min="4" max="4" width="20.29296875" bestFit="1" customWidth="1"/>
    <col min="5" max="5" width="23.8203125" bestFit="1" customWidth="1"/>
    <col min="6" max="6" width="24.1171875" bestFit="1" customWidth="1"/>
    <col min="7" max="7" width="27.17578125" bestFit="1" customWidth="1"/>
    <col min="8" max="8" width="27.46875" bestFit="1" customWidth="1"/>
    <col min="9" max="9" width="27.8203125" bestFit="1" customWidth="1"/>
    <col min="13" max="13" width="45.41015625" customWidth="1"/>
    <col min="14" max="14" width="28.1171875" bestFit="1" customWidth="1"/>
    <col min="15" max="15" width="28.703125" bestFit="1" customWidth="1"/>
    <col min="16" max="16" width="11.76171875" bestFit="1" customWidth="1"/>
    <col min="17" max="17" width="39.46875" bestFit="1" customWidth="1"/>
    <col min="18" max="18" width="28.1171875" bestFit="1" customWidth="1"/>
    <col min="19" max="19" width="28.3515625" bestFit="1" customWidth="1"/>
    <col min="21" max="21" width="50.46875" bestFit="1" customWidth="1"/>
    <col min="22" max="22" width="17.703125" bestFit="1" customWidth="1"/>
  </cols>
  <sheetData>
    <row r="1" spans="1:22" x14ac:dyDescent="0.5">
      <c r="A1" t="s">
        <v>2</v>
      </c>
      <c r="B1" t="s">
        <v>545</v>
      </c>
      <c r="C1" t="s">
        <v>547</v>
      </c>
      <c r="D1" t="s">
        <v>2</v>
      </c>
      <c r="E1" t="s">
        <v>545</v>
      </c>
      <c r="F1" t="s">
        <v>547</v>
      </c>
      <c r="G1" t="s">
        <v>549</v>
      </c>
      <c r="H1" t="s">
        <v>551</v>
      </c>
      <c r="I1" t="s">
        <v>553</v>
      </c>
      <c r="M1" s="9" t="s">
        <v>591</v>
      </c>
    </row>
    <row r="2" spans="1:22" x14ac:dyDescent="0.5">
      <c r="A2">
        <v>7.5400000000001521E-2</v>
      </c>
      <c r="B2">
        <v>0.10810000000000246</v>
      </c>
      <c r="C2">
        <v>0.10910000000000249</v>
      </c>
      <c r="M2" t="s">
        <v>554</v>
      </c>
    </row>
    <row r="3" spans="1:22" x14ac:dyDescent="0.5">
      <c r="A3">
        <v>0.10020000000000223</v>
      </c>
      <c r="B3">
        <v>0.11170000000000256</v>
      </c>
      <c r="C3">
        <v>0.11770000000000273</v>
      </c>
    </row>
    <row r="4" spans="1:22" ht="14.7" thickBot="1" x14ac:dyDescent="0.55000000000000004">
      <c r="A4">
        <v>8.7900000000001879E-2</v>
      </c>
      <c r="B4">
        <v>9.8800000000002192E-2</v>
      </c>
      <c r="C4">
        <v>9.9300000000002206E-2</v>
      </c>
      <c r="M4" t="s">
        <v>555</v>
      </c>
    </row>
    <row r="5" spans="1:22" x14ac:dyDescent="0.5">
      <c r="A5">
        <v>6.5800000000001246E-2</v>
      </c>
      <c r="B5">
        <v>0.23809999999999049</v>
      </c>
      <c r="C5">
        <v>9.8500000000002183E-2</v>
      </c>
      <c r="M5" s="1" t="s">
        <v>556</v>
      </c>
      <c r="N5" s="1" t="s">
        <v>557</v>
      </c>
      <c r="O5" s="1" t="s">
        <v>558</v>
      </c>
      <c r="P5" s="1" t="s">
        <v>559</v>
      </c>
      <c r="Q5" s="1" t="s">
        <v>560</v>
      </c>
    </row>
    <row r="6" spans="1:22" x14ac:dyDescent="0.5">
      <c r="A6">
        <v>7.7900000000001593E-2</v>
      </c>
      <c r="B6">
        <v>0.11030000000000252</v>
      </c>
      <c r="C6">
        <v>0.10670000000000242</v>
      </c>
      <c r="M6" t="s">
        <v>2</v>
      </c>
      <c r="N6">
        <v>183</v>
      </c>
      <c r="O6">
        <v>15.491199999778207</v>
      </c>
      <c r="P6">
        <v>8.4651366119006588E-2</v>
      </c>
      <c r="Q6">
        <v>9.4008448992583048E-4</v>
      </c>
    </row>
    <row r="7" spans="1:22" x14ac:dyDescent="0.5">
      <c r="A7">
        <v>6.5000000000001223E-2</v>
      </c>
      <c r="B7">
        <v>0.10370000000000233</v>
      </c>
      <c r="C7">
        <v>0.10570000000000239</v>
      </c>
      <c r="M7" t="s">
        <v>545</v>
      </c>
      <c r="N7">
        <v>183</v>
      </c>
      <c r="O7">
        <v>20.675599999778314</v>
      </c>
      <c r="P7">
        <v>0.11298142076381593</v>
      </c>
      <c r="Q7">
        <v>9.0900679579800233E-4</v>
      </c>
    </row>
    <row r="8" spans="1:22" x14ac:dyDescent="0.5">
      <c r="A8">
        <v>6.4500000000001209E-2</v>
      </c>
      <c r="B8">
        <v>0.20359999999999429</v>
      </c>
      <c r="C8">
        <v>0.11520000000000266</v>
      </c>
      <c r="M8" t="s">
        <v>547</v>
      </c>
      <c r="N8">
        <v>183</v>
      </c>
      <c r="O8">
        <v>19.979599999778369</v>
      </c>
      <c r="P8">
        <v>0.10917814207529164</v>
      </c>
      <c r="Q8">
        <v>1.116431459779025E-4</v>
      </c>
    </row>
    <row r="9" spans="1:22" x14ac:dyDescent="0.5">
      <c r="A9">
        <v>6.8200000000001315E-2</v>
      </c>
      <c r="B9">
        <v>9.7500000000002154E-2</v>
      </c>
      <c r="C9">
        <v>9.3400000000002037E-2</v>
      </c>
      <c r="M9" t="s">
        <v>549</v>
      </c>
      <c r="N9">
        <v>183</v>
      </c>
      <c r="O9">
        <v>24.105599999778143</v>
      </c>
      <c r="P9">
        <v>0.13172459016272209</v>
      </c>
      <c r="Q9">
        <v>1.8002688974813187E-3</v>
      </c>
    </row>
    <row r="10" spans="1:22" x14ac:dyDescent="0.5">
      <c r="A10">
        <v>8.9100000000001914E-2</v>
      </c>
      <c r="B10">
        <v>0.11020000000000252</v>
      </c>
      <c r="C10">
        <v>0.1094000000000025</v>
      </c>
      <c r="M10" t="s">
        <v>551</v>
      </c>
      <c r="N10">
        <v>183</v>
      </c>
      <c r="O10">
        <v>19.647399999778358</v>
      </c>
      <c r="P10">
        <v>0.10736284152884348</v>
      </c>
      <c r="Q10">
        <v>2.0419344685590664E-4</v>
      </c>
    </row>
    <row r="11" spans="1:22" ht="14.7" thickBot="1" x14ac:dyDescent="0.55000000000000004">
      <c r="A11">
        <v>7.220000000000143E-2</v>
      </c>
      <c r="B11">
        <v>0.10740000000000244</v>
      </c>
      <c r="C11">
        <v>0.13370000000000198</v>
      </c>
      <c r="M11" s="3" t="s">
        <v>553</v>
      </c>
      <c r="N11" s="3">
        <v>183</v>
      </c>
      <c r="O11" s="3">
        <v>17.588299999778318</v>
      </c>
      <c r="P11" s="3">
        <v>9.6110928960537259E-2</v>
      </c>
      <c r="Q11" s="3">
        <v>1.1054537443142944E-4</v>
      </c>
    </row>
    <row r="12" spans="1:22" x14ac:dyDescent="0.5">
      <c r="A12">
        <v>7.9600000000001642E-2</v>
      </c>
      <c r="B12">
        <v>0.10180000000000228</v>
      </c>
      <c r="C12">
        <v>0.10640000000000241</v>
      </c>
    </row>
    <row r="13" spans="1:22" x14ac:dyDescent="0.5">
      <c r="A13">
        <v>8.6300000000001834E-2</v>
      </c>
      <c r="B13">
        <v>0.2197999999999925</v>
      </c>
      <c r="C13">
        <v>9.700000000000214E-2</v>
      </c>
    </row>
    <row r="14" spans="1:22" ht="14.7" thickBot="1" x14ac:dyDescent="0.55000000000000004">
      <c r="A14">
        <v>8.5500000000001811E-2</v>
      </c>
      <c r="B14">
        <v>9.9200000000002203E-2</v>
      </c>
      <c r="C14">
        <v>0.1094000000000025</v>
      </c>
      <c r="M14" t="s">
        <v>561</v>
      </c>
    </row>
    <row r="15" spans="1:22" ht="14.7" thickBot="1" x14ac:dyDescent="0.55000000000000004">
      <c r="A15">
        <v>8.3600000000001756E-2</v>
      </c>
      <c r="B15">
        <v>0.10570000000000239</v>
      </c>
      <c r="C15">
        <v>0.11000000000000251</v>
      </c>
      <c r="M15" s="1" t="s">
        <v>562</v>
      </c>
      <c r="N15" s="1" t="s">
        <v>563</v>
      </c>
      <c r="O15" s="1" t="s">
        <v>564</v>
      </c>
      <c r="P15" s="1" t="s">
        <v>565</v>
      </c>
      <c r="Q15" s="1" t="s">
        <v>566</v>
      </c>
      <c r="R15" s="1" t="s">
        <v>567</v>
      </c>
      <c r="S15" s="1" t="s">
        <v>568</v>
      </c>
    </row>
    <row r="16" spans="1:22" x14ac:dyDescent="0.5">
      <c r="A16">
        <v>7.9800000000001647E-2</v>
      </c>
      <c r="B16">
        <v>0.10320000000000232</v>
      </c>
      <c r="C16">
        <v>0.10150000000000227</v>
      </c>
      <c r="M16" t="s">
        <v>569</v>
      </c>
      <c r="N16">
        <v>0.23240853600181932</v>
      </c>
      <c r="O16">
        <v>5</v>
      </c>
      <c r="P16">
        <v>4.6481707200363861E-2</v>
      </c>
      <c r="Q16">
        <v>68.426861392591888</v>
      </c>
      <c r="R16">
        <v>2.6629572062931901E-62</v>
      </c>
      <c r="S16">
        <v>2.2222967505022617</v>
      </c>
      <c r="U16" s="4" t="s">
        <v>572</v>
      </c>
      <c r="V16" s="5" t="str">
        <f>IF(Q16&gt;S16, "Significant Difference", IF(Q16&lt;S16, "No Significant Difference", "Error"))</f>
        <v>Significant Difference</v>
      </c>
    </row>
    <row r="17" spans="1:22" ht="14.7" thickBot="1" x14ac:dyDescent="0.55000000000000004">
      <c r="A17">
        <v>8.4600000000001785E-2</v>
      </c>
      <c r="B17">
        <v>0.28359999999998547</v>
      </c>
      <c r="C17">
        <v>9.8700000000002189E-2</v>
      </c>
      <c r="M17" t="s">
        <v>570</v>
      </c>
      <c r="N17">
        <v>0.74178507138561478</v>
      </c>
      <c r="O17">
        <v>1092</v>
      </c>
      <c r="P17">
        <v>6.7929035841173512E-4</v>
      </c>
      <c r="U17" s="6" t="s">
        <v>573</v>
      </c>
      <c r="V17" s="7" t="str">
        <f>IF(R16&lt;0.05, "Significant Difference", IF(R16&gt;0.05, "No Significant Difference", Error))</f>
        <v>Significant Difference</v>
      </c>
    </row>
    <row r="18" spans="1:22" x14ac:dyDescent="0.5">
      <c r="A18">
        <v>7.6900000000001564E-2</v>
      </c>
      <c r="B18">
        <v>0.11440000000000264</v>
      </c>
      <c r="C18">
        <v>0.10370000000000233</v>
      </c>
    </row>
    <row r="19" spans="1:22" ht="14.7" thickBot="1" x14ac:dyDescent="0.55000000000000004">
      <c r="A19">
        <v>6.3100000000001169E-2</v>
      </c>
      <c r="B19">
        <v>9.9300000000002206E-2</v>
      </c>
      <c r="C19">
        <v>9.5100000000002086E-2</v>
      </c>
      <c r="M19" s="3" t="s">
        <v>571</v>
      </c>
      <c r="N19" s="3">
        <v>0.9741936073874341</v>
      </c>
      <c r="O19" s="3">
        <v>1097</v>
      </c>
      <c r="P19" s="3"/>
      <c r="Q19" s="3"/>
      <c r="R19" s="3"/>
      <c r="S19" s="3"/>
    </row>
    <row r="20" spans="1:22" x14ac:dyDescent="0.5">
      <c r="A20">
        <v>7.290000000000145E-2</v>
      </c>
      <c r="B20">
        <v>0.22899999999999149</v>
      </c>
      <c r="C20">
        <v>9.7600000000002157E-2</v>
      </c>
    </row>
    <row r="21" spans="1:22" x14ac:dyDescent="0.5">
      <c r="A21">
        <v>7.1100000000001398E-2</v>
      </c>
      <c r="B21">
        <v>0.10160000000000227</v>
      </c>
      <c r="C21">
        <v>0.10980000000000251</v>
      </c>
      <c r="M21" s="9" t="s">
        <v>592</v>
      </c>
    </row>
    <row r="22" spans="1:22" x14ac:dyDescent="0.5">
      <c r="A22">
        <v>6.1000000000001116E-2</v>
      </c>
      <c r="B22">
        <v>9.8200000000002174E-2</v>
      </c>
      <c r="C22">
        <v>0.10160000000000227</v>
      </c>
      <c r="M22" t="s">
        <v>554</v>
      </c>
    </row>
    <row r="23" spans="1:22" x14ac:dyDescent="0.5">
      <c r="A23">
        <v>6.9800000000001361E-2</v>
      </c>
      <c r="B23">
        <v>0.10800000000000246</v>
      </c>
      <c r="C23">
        <v>0.10740000000000244</v>
      </c>
    </row>
    <row r="24" spans="1:22" ht="14.7" thickBot="1" x14ac:dyDescent="0.55000000000000004">
      <c r="A24">
        <v>7.1700000000001415E-2</v>
      </c>
      <c r="B24">
        <v>9.6500000000002126E-2</v>
      </c>
      <c r="C24">
        <v>0.10220000000000229</v>
      </c>
      <c r="M24" t="s">
        <v>555</v>
      </c>
    </row>
    <row r="25" spans="1:22" x14ac:dyDescent="0.5">
      <c r="A25">
        <v>7.4100000000001484E-2</v>
      </c>
      <c r="B25">
        <v>9.1900000000001994E-2</v>
      </c>
      <c r="C25">
        <v>0.10180000000000228</v>
      </c>
      <c r="M25" s="1" t="s">
        <v>556</v>
      </c>
      <c r="N25" s="1" t="s">
        <v>557</v>
      </c>
      <c r="O25" s="1" t="s">
        <v>558</v>
      </c>
      <c r="P25" s="1" t="s">
        <v>559</v>
      </c>
      <c r="Q25" s="1" t="s">
        <v>560</v>
      </c>
    </row>
    <row r="26" spans="1:22" x14ac:dyDescent="0.5">
      <c r="A26">
        <v>7.0200000000001372E-2</v>
      </c>
      <c r="B26">
        <v>0.11560000000000267</v>
      </c>
      <c r="C26">
        <v>8.8600000000001899E-2</v>
      </c>
      <c r="M26" t="s">
        <v>2</v>
      </c>
      <c r="N26">
        <v>541</v>
      </c>
      <c r="O26">
        <v>44.326799998216849</v>
      </c>
      <c r="P26">
        <v>8.1934935301694725E-2</v>
      </c>
      <c r="Q26">
        <v>4.5022972174247927E-4</v>
      </c>
    </row>
    <row r="27" spans="1:22" x14ac:dyDescent="0.5">
      <c r="A27">
        <v>7.6700000000001559E-2</v>
      </c>
      <c r="B27">
        <v>9.6000000000002111E-2</v>
      </c>
      <c r="C27">
        <v>0.1026000000000023</v>
      </c>
      <c r="M27" t="s">
        <v>545</v>
      </c>
      <c r="N27">
        <v>541</v>
      </c>
      <c r="O27">
        <v>63.680999998215391</v>
      </c>
      <c r="P27">
        <v>0.11770979666952937</v>
      </c>
      <c r="Q27">
        <v>1.4646331817058688E-3</v>
      </c>
    </row>
    <row r="28" spans="1:22" ht="14.7" thickBot="1" x14ac:dyDescent="0.55000000000000004">
      <c r="A28">
        <v>8.5100000000001799E-2</v>
      </c>
      <c r="B28">
        <v>0.10520000000000237</v>
      </c>
      <c r="C28">
        <v>0.1061000000000024</v>
      </c>
      <c r="M28" s="3" t="s">
        <v>547</v>
      </c>
      <c r="N28" s="3">
        <v>541</v>
      </c>
      <c r="O28" s="3">
        <v>58.107599998215832</v>
      </c>
      <c r="P28" s="3">
        <v>0.10740776339781115</v>
      </c>
      <c r="Q28" s="3">
        <v>1.2043212482835788E-4</v>
      </c>
    </row>
    <row r="29" spans="1:22" x14ac:dyDescent="0.5">
      <c r="A29">
        <v>0.13850000000000146</v>
      </c>
      <c r="B29">
        <v>0.10860000000000247</v>
      </c>
      <c r="C29">
        <v>9.5400000000002094E-2</v>
      </c>
    </row>
    <row r="30" spans="1:22" x14ac:dyDescent="0.5">
      <c r="A30">
        <v>6.9600000000001355E-2</v>
      </c>
      <c r="B30">
        <v>0.10740000000000244</v>
      </c>
      <c r="C30">
        <v>0.11130000000000255</v>
      </c>
    </row>
    <row r="31" spans="1:22" ht="14.7" thickBot="1" x14ac:dyDescent="0.55000000000000004">
      <c r="A31">
        <v>7.3400000000001464E-2</v>
      </c>
      <c r="B31">
        <v>0.27899999999998598</v>
      </c>
      <c r="C31">
        <v>0.11950000000000278</v>
      </c>
      <c r="M31" t="s">
        <v>561</v>
      </c>
    </row>
    <row r="32" spans="1:22" ht="14.7" thickBot="1" x14ac:dyDescent="0.55000000000000004">
      <c r="A32">
        <v>7.7600000000001584E-2</v>
      </c>
      <c r="B32">
        <v>0.10020000000000223</v>
      </c>
      <c r="C32">
        <v>0.10340000000000232</v>
      </c>
      <c r="M32" s="1" t="s">
        <v>562</v>
      </c>
      <c r="N32" s="1" t="s">
        <v>563</v>
      </c>
      <c r="O32" s="1" t="s">
        <v>564</v>
      </c>
      <c r="P32" s="1" t="s">
        <v>565</v>
      </c>
      <c r="Q32" s="1" t="s">
        <v>566</v>
      </c>
      <c r="R32" s="1" t="s">
        <v>567</v>
      </c>
      <c r="S32" s="1" t="s">
        <v>568</v>
      </c>
    </row>
    <row r="33" spans="1:22" x14ac:dyDescent="0.5">
      <c r="A33">
        <v>8.6500000000001839E-2</v>
      </c>
      <c r="B33">
        <v>0.10570000000000239</v>
      </c>
      <c r="C33">
        <v>0.10350000000000233</v>
      </c>
      <c r="M33" t="s">
        <v>569</v>
      </c>
      <c r="N33">
        <v>0.36694904118293548</v>
      </c>
      <c r="O33">
        <v>2</v>
      </c>
      <c r="P33">
        <v>0.18347452059146774</v>
      </c>
      <c r="Q33">
        <v>270.43920125940389</v>
      </c>
      <c r="R33">
        <v>4.5351892565788455E-102</v>
      </c>
      <c r="S33">
        <v>3.0012788697585862</v>
      </c>
      <c r="U33" s="4" t="s">
        <v>572</v>
      </c>
      <c r="V33" s="5" t="str">
        <f>IF(Q33&gt;S33, "Significant Difference", IF(Q33&lt;S33, "No Significant Difference", "Error"))</f>
        <v>Significant Difference</v>
      </c>
    </row>
    <row r="34" spans="1:22" ht="14.7" thickBot="1" x14ac:dyDescent="0.55000000000000004">
      <c r="A34">
        <v>6.9300000000001347E-2</v>
      </c>
      <c r="B34">
        <v>0.22849999999999154</v>
      </c>
      <c r="C34">
        <v>0.10670000000000242</v>
      </c>
      <c r="M34" t="s">
        <v>570</v>
      </c>
      <c r="N34">
        <v>1.099059315269451</v>
      </c>
      <c r="O34">
        <v>1620</v>
      </c>
      <c r="P34">
        <v>6.7843167609225375E-4</v>
      </c>
      <c r="U34" s="6" t="s">
        <v>573</v>
      </c>
      <c r="V34" s="7" t="str">
        <f>IF(R33&lt;0.05, "Significant Difference", IF(R33&gt;0.05, "No Significant Difference", Error))</f>
        <v>Significant Difference</v>
      </c>
    </row>
    <row r="35" spans="1:22" x14ac:dyDescent="0.5">
      <c r="A35">
        <v>8.8700000000001902E-2</v>
      </c>
      <c r="B35">
        <v>0.10280000000000231</v>
      </c>
      <c r="C35">
        <v>0.10410000000000234</v>
      </c>
    </row>
    <row r="36" spans="1:22" ht="14.7" thickBot="1" x14ac:dyDescent="0.55000000000000004">
      <c r="A36">
        <v>8.3900000000001765E-2</v>
      </c>
      <c r="B36">
        <v>9.7200000000002146E-2</v>
      </c>
      <c r="C36">
        <v>0.10040000000000224</v>
      </c>
      <c r="M36" s="3" t="s">
        <v>571</v>
      </c>
      <c r="N36" s="3">
        <v>1.4660083564523865</v>
      </c>
      <c r="O36" s="3">
        <v>1622</v>
      </c>
      <c r="P36" s="3"/>
      <c r="Q36" s="3"/>
      <c r="R36" s="3"/>
      <c r="S36" s="3"/>
    </row>
    <row r="37" spans="1:22" x14ac:dyDescent="0.5">
      <c r="A37">
        <v>8.2500000000001725E-2</v>
      </c>
      <c r="B37">
        <v>0.11180000000000256</v>
      </c>
      <c r="C37">
        <v>0.11970000000000279</v>
      </c>
    </row>
    <row r="38" spans="1:22" x14ac:dyDescent="0.5">
      <c r="A38">
        <v>9.3200000000002031E-2</v>
      </c>
      <c r="B38">
        <v>0.11700000000000271</v>
      </c>
      <c r="C38">
        <v>9.4100000000002057E-2</v>
      </c>
      <c r="M38" s="9" t="s">
        <v>593</v>
      </c>
    </row>
    <row r="39" spans="1:22" x14ac:dyDescent="0.5">
      <c r="A39">
        <v>9.0400000000001951E-2</v>
      </c>
      <c r="B39">
        <v>0.10670000000000242</v>
      </c>
      <c r="C39">
        <v>0.10630000000000241</v>
      </c>
      <c r="M39" t="s">
        <v>554</v>
      </c>
    </row>
    <row r="40" spans="1:22" x14ac:dyDescent="0.5">
      <c r="A40">
        <v>7.5900000000001536E-2</v>
      </c>
      <c r="B40">
        <v>0.13290000000000207</v>
      </c>
      <c r="C40">
        <v>0.12150000000000284</v>
      </c>
    </row>
    <row r="41" spans="1:22" ht="14.7" thickBot="1" x14ac:dyDescent="0.55000000000000004">
      <c r="A41">
        <v>7.6600000000001556E-2</v>
      </c>
      <c r="B41">
        <v>0.10240000000000229</v>
      </c>
      <c r="C41">
        <v>0.10930000000000249</v>
      </c>
      <c r="M41" t="s">
        <v>555</v>
      </c>
    </row>
    <row r="42" spans="1:22" x14ac:dyDescent="0.5">
      <c r="A42">
        <v>7.3500000000001467E-2</v>
      </c>
      <c r="B42">
        <v>0.12700000000000272</v>
      </c>
      <c r="C42">
        <v>0.1235000000000029</v>
      </c>
      <c r="M42" s="1" t="s">
        <v>556</v>
      </c>
      <c r="N42" s="1" t="s">
        <v>557</v>
      </c>
      <c r="O42" s="1" t="s">
        <v>558</v>
      </c>
      <c r="P42" s="1" t="s">
        <v>559</v>
      </c>
      <c r="Q42" s="1" t="s">
        <v>560</v>
      </c>
    </row>
    <row r="43" spans="1:22" x14ac:dyDescent="0.5">
      <c r="A43">
        <v>7.7600000000001584E-2</v>
      </c>
      <c r="B43">
        <v>9.8800000000002192E-2</v>
      </c>
      <c r="C43">
        <v>9.8800000000002192E-2</v>
      </c>
      <c r="M43" t="s">
        <v>2</v>
      </c>
      <c r="N43">
        <v>183</v>
      </c>
      <c r="O43">
        <v>15.491199999778207</v>
      </c>
      <c r="P43">
        <v>8.4651366119006588E-2</v>
      </c>
      <c r="Q43">
        <v>9.4008448992583048E-4</v>
      </c>
    </row>
    <row r="44" spans="1:22" x14ac:dyDescent="0.5">
      <c r="A44">
        <v>7.2400000000001435E-2</v>
      </c>
      <c r="B44">
        <v>0.12870000000000253</v>
      </c>
      <c r="C44">
        <v>0.12200000000000286</v>
      </c>
      <c r="M44" t="s">
        <v>549</v>
      </c>
      <c r="N44">
        <v>183</v>
      </c>
      <c r="O44">
        <v>24.105599999778143</v>
      </c>
      <c r="P44">
        <v>0.13172459016272209</v>
      </c>
      <c r="Q44">
        <v>1.8002688974813187E-3</v>
      </c>
    </row>
    <row r="45" spans="1:22" x14ac:dyDescent="0.5">
      <c r="A45">
        <v>4.9000000000000772E-2</v>
      </c>
      <c r="B45">
        <v>8.9500000000001925E-2</v>
      </c>
      <c r="C45">
        <v>0.10300000000000231</v>
      </c>
      <c r="M45" t="s">
        <v>551</v>
      </c>
      <c r="N45">
        <v>183</v>
      </c>
      <c r="O45">
        <v>19.647399999778358</v>
      </c>
      <c r="P45">
        <v>0.10736284152884348</v>
      </c>
      <c r="Q45">
        <v>2.0419344685590664E-4</v>
      </c>
    </row>
    <row r="46" spans="1:22" ht="14.7" thickBot="1" x14ac:dyDescent="0.55000000000000004">
      <c r="A46">
        <v>8.0200000000001659E-2</v>
      </c>
      <c r="B46">
        <v>0.11500000000000266</v>
      </c>
      <c r="C46">
        <v>0.11270000000000259</v>
      </c>
      <c r="M46" s="3" t="s">
        <v>553</v>
      </c>
      <c r="N46" s="3">
        <v>183</v>
      </c>
      <c r="O46" s="3">
        <v>17.588299999778318</v>
      </c>
      <c r="P46" s="3">
        <v>9.6110928960537259E-2</v>
      </c>
      <c r="Q46" s="3">
        <v>1.1054537443142944E-4</v>
      </c>
    </row>
    <row r="47" spans="1:22" x14ac:dyDescent="0.5">
      <c r="A47">
        <v>7.0600000000001384E-2</v>
      </c>
      <c r="B47">
        <v>0.24479999999998975</v>
      </c>
      <c r="C47">
        <v>0.10470000000000236</v>
      </c>
    </row>
    <row r="48" spans="1:22" x14ac:dyDescent="0.5">
      <c r="A48">
        <v>7.920000000000163E-2</v>
      </c>
      <c r="B48">
        <v>0.11090000000000254</v>
      </c>
      <c r="C48">
        <v>0.10420000000000235</v>
      </c>
    </row>
    <row r="49" spans="1:22" ht="14.7" thickBot="1" x14ac:dyDescent="0.55000000000000004">
      <c r="A49">
        <v>7.500000000000151E-2</v>
      </c>
      <c r="B49">
        <v>8.9400000000001922E-2</v>
      </c>
      <c r="C49">
        <v>9.9000000000002197E-2</v>
      </c>
      <c r="M49" t="s">
        <v>561</v>
      </c>
    </row>
    <row r="50" spans="1:22" ht="14.7" thickBot="1" x14ac:dyDescent="0.55000000000000004">
      <c r="A50">
        <v>8.930000000000192E-2</v>
      </c>
      <c r="B50">
        <v>0.11150000000000256</v>
      </c>
      <c r="C50">
        <v>0.10890000000000248</v>
      </c>
      <c r="M50" s="1" t="s">
        <v>562</v>
      </c>
      <c r="N50" s="1" t="s">
        <v>563</v>
      </c>
      <c r="O50" s="1" t="s">
        <v>564</v>
      </c>
      <c r="P50" s="1" t="s">
        <v>565</v>
      </c>
      <c r="Q50" s="1" t="s">
        <v>566</v>
      </c>
      <c r="R50" s="1" t="s">
        <v>567</v>
      </c>
      <c r="S50" s="1" t="s">
        <v>568</v>
      </c>
    </row>
    <row r="51" spans="1:22" x14ac:dyDescent="0.5">
      <c r="A51">
        <v>6.220000000000115E-2</v>
      </c>
      <c r="B51">
        <v>8.6000000000001825E-2</v>
      </c>
      <c r="C51">
        <v>8.8500000000001897E-2</v>
      </c>
      <c r="M51" t="s">
        <v>569</v>
      </c>
      <c r="N51">
        <v>0.22195403490436627</v>
      </c>
      <c r="O51">
        <v>3</v>
      </c>
      <c r="P51">
        <v>7.3984678301455428E-2</v>
      </c>
      <c r="Q51">
        <v>96.867358819353072</v>
      </c>
      <c r="R51">
        <v>9.2203177229036635E-53</v>
      </c>
      <c r="S51">
        <v>2.6171361841702834</v>
      </c>
      <c r="U51" s="4" t="s">
        <v>572</v>
      </c>
      <c r="V51" s="5" t="str">
        <f>IF(Q51&gt;S51, "Significant Difference", IF(Q51&lt;S51, "No Significant Difference", "Error"))</f>
        <v>Significant Difference</v>
      </c>
    </row>
    <row r="52" spans="1:22" ht="14.7" thickBot="1" x14ac:dyDescent="0.55000000000000004">
      <c r="A52">
        <v>7.5600000000001527E-2</v>
      </c>
      <c r="B52">
        <v>0.1097000000000025</v>
      </c>
      <c r="C52">
        <v>0.11590000000000268</v>
      </c>
      <c r="M52" t="s">
        <v>570</v>
      </c>
      <c r="N52">
        <v>0.55602678198240219</v>
      </c>
      <c r="O52">
        <v>728</v>
      </c>
      <c r="P52">
        <v>7.6377305217362938E-4</v>
      </c>
      <c r="U52" s="6" t="s">
        <v>573</v>
      </c>
      <c r="V52" s="7" t="str">
        <f>IF(R51&lt;0.05, "Significant Difference", IF(R51&gt;0.05, "No Significant Difference", Error))</f>
        <v>Significant Difference</v>
      </c>
    </row>
    <row r="53" spans="1:22" x14ac:dyDescent="0.5">
      <c r="A53">
        <v>9.1300000000001977E-2</v>
      </c>
      <c r="B53">
        <v>0.25369999999998877</v>
      </c>
      <c r="C53">
        <v>0.10530000000000238</v>
      </c>
    </row>
    <row r="54" spans="1:22" ht="14.7" thickBot="1" x14ac:dyDescent="0.55000000000000004">
      <c r="A54">
        <v>0.10740000000000244</v>
      </c>
      <c r="B54">
        <v>0.24869999999998932</v>
      </c>
      <c r="C54">
        <v>0.13250000000000212</v>
      </c>
      <c r="M54" s="3" t="s">
        <v>571</v>
      </c>
      <c r="N54" s="3">
        <v>0.77798081688676846</v>
      </c>
      <c r="O54" s="3">
        <v>731</v>
      </c>
      <c r="P54" s="3"/>
      <c r="Q54" s="3"/>
      <c r="R54" s="3"/>
      <c r="S54" s="3"/>
    </row>
    <row r="55" spans="1:22" x14ac:dyDescent="0.5">
      <c r="A55">
        <v>9.5400000000002094E-2</v>
      </c>
      <c r="B55">
        <v>0.10740000000000244</v>
      </c>
      <c r="C55">
        <v>0.11780000000000274</v>
      </c>
    </row>
    <row r="56" spans="1:22" x14ac:dyDescent="0.5">
      <c r="A56">
        <v>6.9100000000001341E-2</v>
      </c>
      <c r="B56">
        <v>0.12840000000000257</v>
      </c>
      <c r="C56">
        <v>0.10810000000000246</v>
      </c>
    </row>
    <row r="57" spans="1:22" x14ac:dyDescent="0.5">
      <c r="A57">
        <v>7.9300000000001633E-2</v>
      </c>
      <c r="B57">
        <v>9.56000000000021E-2</v>
      </c>
      <c r="C57">
        <v>9.5800000000002106E-2</v>
      </c>
      <c r="M57" t="s">
        <v>574</v>
      </c>
      <c r="P57" s="8" t="s">
        <v>575</v>
      </c>
    </row>
    <row r="58" spans="1:22" x14ac:dyDescent="0.5">
      <c r="A58">
        <v>7.570000000000153E-2</v>
      </c>
      <c r="B58">
        <v>0.10410000000000234</v>
      </c>
      <c r="C58">
        <v>0.12300000000000288</v>
      </c>
      <c r="M58" t="s">
        <v>576</v>
      </c>
      <c r="N58">
        <v>6</v>
      </c>
    </row>
    <row r="59" spans="1:22" x14ac:dyDescent="0.5">
      <c r="A59">
        <v>9.280000000000202E-2</v>
      </c>
      <c r="B59">
        <v>0.10980000000000251</v>
      </c>
      <c r="C59">
        <v>0.11140000000000255</v>
      </c>
      <c r="M59" t="s">
        <v>577</v>
      </c>
      <c r="N59">
        <f>N58*(N58-1)/2</f>
        <v>15</v>
      </c>
    </row>
    <row r="60" spans="1:22" x14ac:dyDescent="0.5">
      <c r="A60">
        <v>0.11350000000000261</v>
      </c>
      <c r="B60">
        <v>0.10690000000000242</v>
      </c>
      <c r="C60">
        <v>0.11510000000000266</v>
      </c>
      <c r="M60" t="s">
        <v>578</v>
      </c>
      <c r="N60">
        <v>0.05</v>
      </c>
    </row>
    <row r="61" spans="1:22" x14ac:dyDescent="0.5">
      <c r="A61">
        <v>7.0500000000001381E-2</v>
      </c>
      <c r="B61">
        <v>0.10890000000000248</v>
      </c>
      <c r="C61">
        <v>0.11540000000000267</v>
      </c>
      <c r="M61" t="s">
        <v>579</v>
      </c>
      <c r="N61">
        <f>N60/N59</f>
        <v>3.3333333333333335E-3</v>
      </c>
      <c r="P61" t="s">
        <v>580</v>
      </c>
    </row>
    <row r="62" spans="1:22" x14ac:dyDescent="0.5">
      <c r="A62">
        <v>9.4800000000002077E-2</v>
      </c>
      <c r="B62">
        <v>0.11070000000000253</v>
      </c>
      <c r="C62">
        <v>0.10550000000000238</v>
      </c>
    </row>
    <row r="63" spans="1:22" x14ac:dyDescent="0.5">
      <c r="A63">
        <v>8.2400000000001722E-2</v>
      </c>
      <c r="B63">
        <v>0.12140000000000284</v>
      </c>
      <c r="C63">
        <v>0.11510000000000266</v>
      </c>
      <c r="M63" s="9" t="s">
        <v>591</v>
      </c>
      <c r="Q63" s="9" t="s">
        <v>592</v>
      </c>
    </row>
    <row r="64" spans="1:22" x14ac:dyDescent="0.5">
      <c r="A64">
        <v>0.10450000000000235</v>
      </c>
      <c r="B64">
        <v>0.23759999999999054</v>
      </c>
      <c r="C64">
        <v>0.11470000000000265</v>
      </c>
      <c r="M64" t="s">
        <v>581</v>
      </c>
      <c r="Q64" t="s">
        <v>581</v>
      </c>
    </row>
    <row r="65" spans="1:19" ht="14.7" thickBot="1" x14ac:dyDescent="0.55000000000000004">
      <c r="A65">
        <v>7.500000000000151E-2</v>
      </c>
      <c r="B65">
        <v>0.10730000000000244</v>
      </c>
      <c r="C65">
        <v>0.12750000000000267</v>
      </c>
    </row>
    <row r="66" spans="1:19" x14ac:dyDescent="0.5">
      <c r="A66">
        <v>9.4500000000002068E-2</v>
      </c>
      <c r="B66">
        <v>0.13220000000000215</v>
      </c>
      <c r="C66">
        <v>0.12710000000000271</v>
      </c>
      <c r="M66" s="1"/>
      <c r="N66" s="1" t="s">
        <v>2</v>
      </c>
      <c r="O66" s="1" t="s">
        <v>545</v>
      </c>
      <c r="Q66" s="1"/>
      <c r="R66" s="1" t="s">
        <v>2</v>
      </c>
      <c r="S66" s="1" t="s">
        <v>547</v>
      </c>
    </row>
    <row r="67" spans="1:19" x14ac:dyDescent="0.5">
      <c r="A67">
        <v>8.4800000000001791E-2</v>
      </c>
      <c r="B67">
        <v>0.12710000000000271</v>
      </c>
      <c r="C67">
        <v>0.12100000000000283</v>
      </c>
      <c r="M67" t="s">
        <v>582</v>
      </c>
      <c r="N67">
        <v>8.1934935301694725E-2</v>
      </c>
      <c r="O67">
        <v>0.11770979666952937</v>
      </c>
      <c r="Q67" t="s">
        <v>582</v>
      </c>
      <c r="R67">
        <v>8.1934935301694725E-2</v>
      </c>
      <c r="S67">
        <v>0.10740776339781115</v>
      </c>
    </row>
    <row r="68" spans="1:19" x14ac:dyDescent="0.5">
      <c r="A68">
        <v>8.6200000000001831E-2</v>
      </c>
      <c r="B68">
        <v>0.1095000000000025</v>
      </c>
      <c r="C68">
        <v>0.1129000000000026</v>
      </c>
      <c r="M68" t="s">
        <v>560</v>
      </c>
      <c r="N68">
        <v>4.5022972174247927E-4</v>
      </c>
      <c r="O68">
        <v>1.4646331817058688E-3</v>
      </c>
      <c r="Q68" t="s">
        <v>560</v>
      </c>
      <c r="R68">
        <v>4.5022972174247927E-4</v>
      </c>
      <c r="S68">
        <v>1.2043212482835788E-4</v>
      </c>
    </row>
    <row r="69" spans="1:19" x14ac:dyDescent="0.5">
      <c r="A69">
        <v>9.2900000000002023E-2</v>
      </c>
      <c r="B69">
        <v>0.27109999999998685</v>
      </c>
      <c r="C69">
        <v>0.10820000000000246</v>
      </c>
      <c r="M69" t="s">
        <v>583</v>
      </c>
      <c r="N69">
        <v>541</v>
      </c>
      <c r="O69">
        <v>541</v>
      </c>
      <c r="Q69" t="s">
        <v>583</v>
      </c>
      <c r="R69">
        <v>541</v>
      </c>
      <c r="S69">
        <v>541</v>
      </c>
    </row>
    <row r="70" spans="1:19" x14ac:dyDescent="0.5">
      <c r="A70">
        <v>8.2200000000001716E-2</v>
      </c>
      <c r="B70">
        <v>9.1300000000001977E-2</v>
      </c>
      <c r="C70">
        <v>0.10310000000000231</v>
      </c>
      <c r="M70" t="s">
        <v>584</v>
      </c>
      <c r="N70">
        <v>0</v>
      </c>
      <c r="Q70" t="s">
        <v>584</v>
      </c>
      <c r="R70">
        <v>0</v>
      </c>
    </row>
    <row r="71" spans="1:19" x14ac:dyDescent="0.5">
      <c r="A71">
        <v>7.3000000000001453E-2</v>
      </c>
      <c r="B71">
        <v>0.11750000000000273</v>
      </c>
      <c r="C71">
        <v>0.10150000000000227</v>
      </c>
      <c r="M71" t="s">
        <v>564</v>
      </c>
      <c r="N71">
        <v>843</v>
      </c>
      <c r="Q71" t="s">
        <v>564</v>
      </c>
      <c r="R71">
        <v>810</v>
      </c>
    </row>
    <row r="72" spans="1:19" x14ac:dyDescent="0.5">
      <c r="A72">
        <v>8.0500000000001667E-2</v>
      </c>
      <c r="B72">
        <v>0.12050000000000281</v>
      </c>
      <c r="C72">
        <v>0.12730000000000269</v>
      </c>
      <c r="M72" t="s">
        <v>585</v>
      </c>
      <c r="N72">
        <v>-19.015499992371979</v>
      </c>
      <c r="Q72" t="s">
        <v>585</v>
      </c>
      <c r="R72">
        <v>-24.801981466634668</v>
      </c>
    </row>
    <row r="73" spans="1:19" x14ac:dyDescent="0.5">
      <c r="A73">
        <v>8.8800000000001628E-2</v>
      </c>
      <c r="B73">
        <v>0.11620000000000241</v>
      </c>
      <c r="C73">
        <v>0.1226000000000026</v>
      </c>
      <c r="M73" t="s">
        <v>586</v>
      </c>
      <c r="N73">
        <v>1.1499579854592221E-67</v>
      </c>
      <c r="Q73" t="s">
        <v>586</v>
      </c>
      <c r="R73">
        <v>8.9664180272028044E-102</v>
      </c>
    </row>
    <row r="74" spans="1:19" x14ac:dyDescent="0.5">
      <c r="A74">
        <v>9.2400000000002008E-2</v>
      </c>
      <c r="B74">
        <v>0.11930000000000278</v>
      </c>
      <c r="C74">
        <v>0.11870000000000276</v>
      </c>
      <c r="M74" t="s">
        <v>587</v>
      </c>
      <c r="N74">
        <v>1.6466631823874993</v>
      </c>
      <c r="Q74" t="s">
        <v>587</v>
      </c>
      <c r="R74">
        <v>1.6467369898942719</v>
      </c>
    </row>
    <row r="75" spans="1:19" x14ac:dyDescent="0.5">
      <c r="A75">
        <v>8.4200000000001773E-2</v>
      </c>
      <c r="B75">
        <v>0.20379999999999426</v>
      </c>
      <c r="C75">
        <v>0.11280000000000259</v>
      </c>
      <c r="M75" t="s">
        <v>588</v>
      </c>
      <c r="N75">
        <v>2.2999159709184442E-67</v>
      </c>
      <c r="Q75" t="s">
        <v>588</v>
      </c>
      <c r="R75">
        <v>1.7932836054405609E-101</v>
      </c>
    </row>
    <row r="76" spans="1:19" ht="14.7" thickBot="1" x14ac:dyDescent="0.55000000000000004">
      <c r="A76">
        <v>9.8600000000002186E-2</v>
      </c>
      <c r="B76">
        <v>0.11060000000000253</v>
      </c>
      <c r="C76">
        <v>0.11180000000000256</v>
      </c>
      <c r="M76" s="3" t="s">
        <v>589</v>
      </c>
      <c r="N76" s="3">
        <v>1.9627820426529017</v>
      </c>
      <c r="O76" s="3"/>
      <c r="Q76" s="3" t="s">
        <v>589</v>
      </c>
      <c r="R76" s="3">
        <v>1.9628970212005443</v>
      </c>
      <c r="S76" s="3"/>
    </row>
    <row r="77" spans="1:19" x14ac:dyDescent="0.5">
      <c r="A77">
        <v>8.0100000000001656E-2</v>
      </c>
      <c r="B77">
        <v>0.12520000000000292</v>
      </c>
      <c r="C77">
        <v>0.13040000000000235</v>
      </c>
    </row>
    <row r="78" spans="1:19" x14ac:dyDescent="0.5">
      <c r="A78">
        <v>7.8800000000001619E-2</v>
      </c>
      <c r="B78">
        <v>0.12510000000000293</v>
      </c>
      <c r="C78">
        <v>0.1202000000000028</v>
      </c>
      <c r="M78" s="10" t="s">
        <v>590</v>
      </c>
      <c r="N78" s="10" t="str">
        <f>IF(N75&lt;$N$61, "Sig Diff", IF(N75&gt;$N$61, "No Sig Diff", "Error"))</f>
        <v>Sig Diff</v>
      </c>
      <c r="Q78" s="10" t="s">
        <v>590</v>
      </c>
      <c r="R78" s="10" t="str">
        <f>IF(R75&lt;$N$61, "Sig Diff", IF(R75&gt;$N$61, "No Sig Diff", "Error"))</f>
        <v>Sig Diff</v>
      </c>
    </row>
    <row r="79" spans="1:19" x14ac:dyDescent="0.5">
      <c r="A79">
        <v>9.6700000000002131E-2</v>
      </c>
      <c r="B79">
        <v>0.10740000000000244</v>
      </c>
      <c r="C79">
        <v>0.10900000000000248</v>
      </c>
    </row>
    <row r="80" spans="1:19" x14ac:dyDescent="0.5">
      <c r="A80">
        <v>9.630000000000212E-2</v>
      </c>
      <c r="B80">
        <v>9.6000000000002111E-2</v>
      </c>
      <c r="C80">
        <v>0.10870000000000248</v>
      </c>
      <c r="M80" s="9" t="s">
        <v>593</v>
      </c>
      <c r="Q80" s="9" t="s">
        <v>594</v>
      </c>
    </row>
    <row r="81" spans="1:19" x14ac:dyDescent="0.5">
      <c r="A81">
        <v>7.5400000000001521E-2</v>
      </c>
      <c r="B81">
        <v>0.10220000000000229</v>
      </c>
      <c r="C81">
        <v>0.10010000000000223</v>
      </c>
      <c r="M81" t="s">
        <v>581</v>
      </c>
      <c r="Q81" t="s">
        <v>581</v>
      </c>
    </row>
    <row r="82" spans="1:19" ht="14.7" thickBot="1" x14ac:dyDescent="0.55000000000000004">
      <c r="A82">
        <v>7.6700000000001559E-2</v>
      </c>
      <c r="B82">
        <v>0.11340000000000261</v>
      </c>
      <c r="C82">
        <v>0.10680000000000242</v>
      </c>
    </row>
    <row r="83" spans="1:19" x14ac:dyDescent="0.5">
      <c r="A83">
        <v>8.9000000000001911E-2</v>
      </c>
      <c r="B83">
        <v>0.1308000000000023</v>
      </c>
      <c r="C83">
        <v>0.10280000000000231</v>
      </c>
      <c r="M83" s="1"/>
      <c r="N83" s="1" t="s">
        <v>2</v>
      </c>
      <c r="O83" s="1" t="s">
        <v>549</v>
      </c>
      <c r="Q83" s="1"/>
      <c r="R83" s="1" t="s">
        <v>2</v>
      </c>
      <c r="S83" s="1" t="s">
        <v>551</v>
      </c>
    </row>
    <row r="84" spans="1:19" x14ac:dyDescent="0.5">
      <c r="A84">
        <v>8.1700000000001702E-2</v>
      </c>
      <c r="B84">
        <v>0.11860000000000276</v>
      </c>
      <c r="C84">
        <v>0.11140000000000255</v>
      </c>
      <c r="M84" t="s">
        <v>582</v>
      </c>
      <c r="N84">
        <v>8.451630434640664E-2</v>
      </c>
      <c r="O84">
        <v>0.13139184782487906</v>
      </c>
      <c r="Q84" t="s">
        <v>582</v>
      </c>
      <c r="R84">
        <v>8.451630434640664E-2</v>
      </c>
      <c r="S84">
        <v>0.10714402173792376</v>
      </c>
    </row>
    <row r="85" spans="1:19" x14ac:dyDescent="0.5">
      <c r="A85">
        <v>8.4300000000001776E-2</v>
      </c>
      <c r="B85">
        <v>0.10990000000000251</v>
      </c>
      <c r="C85">
        <v>0.11000000000000251</v>
      </c>
      <c r="M85" t="s">
        <v>560</v>
      </c>
      <c r="N85">
        <v>9.3830388577526957E-4</v>
      </c>
      <c r="O85">
        <v>1.8108033757867608E-3</v>
      </c>
      <c r="Q85" t="s">
        <v>560</v>
      </c>
      <c r="R85">
        <v>9.3830388577526957E-4</v>
      </c>
      <c r="S85">
        <v>2.1188794223616478E-4</v>
      </c>
    </row>
    <row r="86" spans="1:19" x14ac:dyDescent="0.5">
      <c r="A86">
        <v>8.8000000000001882E-2</v>
      </c>
      <c r="B86">
        <v>0.27799999999998609</v>
      </c>
      <c r="C86">
        <v>0.10300000000000231</v>
      </c>
      <c r="M86" t="s">
        <v>583</v>
      </c>
      <c r="N86">
        <v>184</v>
      </c>
      <c r="O86">
        <v>184</v>
      </c>
      <c r="Q86" t="s">
        <v>583</v>
      </c>
      <c r="R86">
        <v>184</v>
      </c>
      <c r="S86">
        <v>184</v>
      </c>
    </row>
    <row r="87" spans="1:19" x14ac:dyDescent="0.5">
      <c r="A87">
        <v>8.5800000000001819E-2</v>
      </c>
      <c r="B87">
        <v>0.24639999999998957</v>
      </c>
      <c r="C87">
        <v>9.9900000000002223E-2</v>
      </c>
      <c r="M87" t="s">
        <v>584</v>
      </c>
      <c r="N87">
        <v>0</v>
      </c>
      <c r="Q87" t="s">
        <v>584</v>
      </c>
      <c r="R87">
        <v>0</v>
      </c>
    </row>
    <row r="88" spans="1:19" x14ac:dyDescent="0.5">
      <c r="A88">
        <v>8.8400000000001894E-2</v>
      </c>
      <c r="B88">
        <v>0.1130000000000026</v>
      </c>
      <c r="C88">
        <v>0.11860000000000276</v>
      </c>
      <c r="M88" t="s">
        <v>564</v>
      </c>
      <c r="N88">
        <v>333</v>
      </c>
      <c r="Q88" t="s">
        <v>564</v>
      </c>
      <c r="R88">
        <v>262</v>
      </c>
    </row>
    <row r="89" spans="1:19" x14ac:dyDescent="0.5">
      <c r="A89">
        <v>7.220000000000143E-2</v>
      </c>
      <c r="B89">
        <v>0.10730000000000244</v>
      </c>
      <c r="C89">
        <v>0.10590000000000239</v>
      </c>
      <c r="M89" t="s">
        <v>585</v>
      </c>
      <c r="N89">
        <v>-12.127167749854076</v>
      </c>
      <c r="Q89" t="s">
        <v>585</v>
      </c>
      <c r="R89">
        <v>-9.0503321588554559</v>
      </c>
    </row>
    <row r="90" spans="1:19" x14ac:dyDescent="0.5">
      <c r="A90">
        <v>7.6300000000001547E-2</v>
      </c>
      <c r="B90">
        <v>8.4400000000001779E-2</v>
      </c>
      <c r="C90">
        <v>8.3900000000001765E-2</v>
      </c>
      <c r="M90" t="s">
        <v>586</v>
      </c>
      <c r="N90">
        <v>1.3912084043905107E-28</v>
      </c>
      <c r="Q90" t="s">
        <v>586</v>
      </c>
      <c r="R90">
        <v>1.6643139899405045E-17</v>
      </c>
    </row>
    <row r="91" spans="1:19" x14ac:dyDescent="0.5">
      <c r="A91">
        <v>7.2800000000001447E-2</v>
      </c>
      <c r="B91">
        <v>0.1199000000000028</v>
      </c>
      <c r="C91">
        <v>0.10400000000000234</v>
      </c>
      <c r="M91" t="s">
        <v>587</v>
      </c>
      <c r="N91">
        <v>1.649442344362559</v>
      </c>
      <c r="Q91" t="s">
        <v>587</v>
      </c>
      <c r="R91">
        <v>1.650690283875492</v>
      </c>
    </row>
    <row r="92" spans="1:19" x14ac:dyDescent="0.5">
      <c r="A92">
        <v>8.8400000000001894E-2</v>
      </c>
      <c r="B92">
        <v>0.10020000000000223</v>
      </c>
      <c r="C92">
        <v>0.1096000000000025</v>
      </c>
      <c r="M92" t="s">
        <v>588</v>
      </c>
      <c r="N92">
        <v>2.7824168087810213E-28</v>
      </c>
      <c r="Q92" t="s">
        <v>588</v>
      </c>
      <c r="R92">
        <v>3.3286279798810091E-17</v>
      </c>
    </row>
    <row r="93" spans="1:19" ht="14.7" thickBot="1" x14ac:dyDescent="0.55000000000000004">
      <c r="A93">
        <v>8.6200000000001831E-2</v>
      </c>
      <c r="B93">
        <v>0.26379999999998766</v>
      </c>
      <c r="C93">
        <v>0.11350000000000261</v>
      </c>
      <c r="M93" s="3" t="s">
        <v>589</v>
      </c>
      <c r="N93" s="3">
        <v>1.9671134448822321</v>
      </c>
      <c r="O93" s="3"/>
      <c r="Q93" s="3" t="s">
        <v>589</v>
      </c>
      <c r="R93" s="3">
        <v>1.9690597152565388</v>
      </c>
      <c r="S93" s="3"/>
    </row>
    <row r="94" spans="1:19" x14ac:dyDescent="0.5">
      <c r="A94">
        <v>7.3100000000001455E-2</v>
      </c>
      <c r="B94">
        <v>0.12550000000000289</v>
      </c>
      <c r="C94">
        <v>0.10930000000000249</v>
      </c>
    </row>
    <row r="95" spans="1:19" x14ac:dyDescent="0.5">
      <c r="A95">
        <v>7.3700000000001473E-2</v>
      </c>
      <c r="B95">
        <v>0.11100000000000254</v>
      </c>
      <c r="C95">
        <v>0.11420000000000263</v>
      </c>
      <c r="M95" s="10" t="s">
        <v>590</v>
      </c>
      <c r="N95" s="10" t="str">
        <f>IF(N92&lt;$N$61, "Sig Diff", IF(N92&gt;$N$61, "No Sig Diff", "Error"))</f>
        <v>Sig Diff</v>
      </c>
      <c r="Q95" s="10" t="s">
        <v>590</v>
      </c>
      <c r="R95" s="10" t="str">
        <f>IF(R92&lt;$N$61, "Sig Diff", IF(R92&gt;$N$61, "No Sig Diff", "Error"))</f>
        <v>Sig Diff</v>
      </c>
    </row>
    <row r="96" spans="1:19" x14ac:dyDescent="0.5">
      <c r="A96">
        <v>7.2600000000001441E-2</v>
      </c>
      <c r="B96">
        <v>0.25039999999998913</v>
      </c>
      <c r="C96">
        <v>0.10370000000000233</v>
      </c>
    </row>
    <row r="97" spans="1:19" x14ac:dyDescent="0.5">
      <c r="A97">
        <v>8.8200000000001888E-2</v>
      </c>
      <c r="B97">
        <v>0.11450000000000264</v>
      </c>
      <c r="C97">
        <v>9.8300000000002177E-2</v>
      </c>
      <c r="M97" s="9" t="s">
        <v>595</v>
      </c>
      <c r="N97" s="2"/>
      <c r="O97" s="2"/>
      <c r="Q97" s="9" t="s">
        <v>596</v>
      </c>
    </row>
    <row r="98" spans="1:19" x14ac:dyDescent="0.5">
      <c r="A98">
        <v>7.640000000000155E-2</v>
      </c>
      <c r="B98">
        <v>0.11580000000000268</v>
      </c>
      <c r="C98">
        <v>0.10910000000000249</v>
      </c>
      <c r="M98" t="s">
        <v>581</v>
      </c>
      <c r="Q98" t="s">
        <v>581</v>
      </c>
    </row>
    <row r="99" spans="1:19" ht="14.7" thickBot="1" x14ac:dyDescent="0.55000000000000004">
      <c r="A99">
        <v>8.3200000000001745E-2</v>
      </c>
      <c r="B99">
        <v>0.10560000000000239</v>
      </c>
      <c r="C99">
        <v>0.11490000000000265</v>
      </c>
    </row>
    <row r="100" spans="1:19" x14ac:dyDescent="0.5">
      <c r="A100">
        <v>0.10130000000000226</v>
      </c>
      <c r="B100">
        <v>0.1094000000000025</v>
      </c>
      <c r="C100">
        <v>0.12240000000000287</v>
      </c>
      <c r="M100" s="1"/>
      <c r="N100" s="1" t="s">
        <v>2</v>
      </c>
      <c r="O100" s="1" t="s">
        <v>553</v>
      </c>
      <c r="Q100" s="1"/>
      <c r="R100" s="1" t="s">
        <v>545</v>
      </c>
      <c r="S100" s="1" t="s">
        <v>547</v>
      </c>
    </row>
    <row r="101" spans="1:19" x14ac:dyDescent="0.5">
      <c r="A101">
        <v>9.6000000000002111E-2</v>
      </c>
      <c r="B101">
        <v>9.7100000000002143E-2</v>
      </c>
      <c r="C101">
        <v>9.140000000000198E-2</v>
      </c>
      <c r="M101" t="s">
        <v>582</v>
      </c>
      <c r="N101">
        <v>8.4651366119006588E-2</v>
      </c>
      <c r="O101">
        <v>9.6110928960537259E-2</v>
      </c>
      <c r="Q101" t="s">
        <v>582</v>
      </c>
      <c r="R101">
        <v>0.11770979666952937</v>
      </c>
      <c r="S101">
        <v>0.10740776339781115</v>
      </c>
    </row>
    <row r="102" spans="1:19" x14ac:dyDescent="0.5">
      <c r="A102">
        <v>8.0200000000001659E-2</v>
      </c>
      <c r="B102">
        <v>9.8500000000002183E-2</v>
      </c>
      <c r="C102">
        <v>0.11220000000000258</v>
      </c>
      <c r="M102" t="s">
        <v>560</v>
      </c>
      <c r="N102">
        <v>9.4008448992583048E-4</v>
      </c>
      <c r="O102">
        <v>1.1054537443142944E-4</v>
      </c>
      <c r="Q102" t="s">
        <v>560</v>
      </c>
      <c r="R102">
        <v>1.4646331817058688E-3</v>
      </c>
      <c r="S102">
        <v>1.2043212482835788E-4</v>
      </c>
    </row>
    <row r="103" spans="1:19" x14ac:dyDescent="0.5">
      <c r="A103">
        <v>8.9200000000001917E-2</v>
      </c>
      <c r="B103">
        <v>9.3400000000002037E-2</v>
      </c>
      <c r="C103">
        <v>8.8300000000001891E-2</v>
      </c>
      <c r="M103" t="s">
        <v>583</v>
      </c>
      <c r="N103">
        <v>183</v>
      </c>
      <c r="O103">
        <v>183</v>
      </c>
      <c r="Q103" t="s">
        <v>583</v>
      </c>
      <c r="R103">
        <v>541</v>
      </c>
      <c r="S103">
        <v>541</v>
      </c>
    </row>
    <row r="104" spans="1:19" x14ac:dyDescent="0.5">
      <c r="A104">
        <v>8.3800000000001762E-2</v>
      </c>
      <c r="B104">
        <v>0.1027000000000023</v>
      </c>
      <c r="C104">
        <v>9.000000000000194E-2</v>
      </c>
      <c r="M104" t="s">
        <v>584</v>
      </c>
      <c r="N104">
        <v>0</v>
      </c>
      <c r="Q104" t="s">
        <v>584</v>
      </c>
      <c r="R104">
        <v>0</v>
      </c>
    </row>
    <row r="105" spans="1:19" x14ac:dyDescent="0.5">
      <c r="A105">
        <v>8.4500000000001782E-2</v>
      </c>
      <c r="B105">
        <v>0.26639999999998737</v>
      </c>
      <c r="C105">
        <v>0.12870000000000253</v>
      </c>
      <c r="M105" t="s">
        <v>564</v>
      </c>
      <c r="N105">
        <v>224</v>
      </c>
      <c r="Q105" t="s">
        <v>564</v>
      </c>
      <c r="R105">
        <v>628</v>
      </c>
    </row>
    <row r="106" spans="1:19" x14ac:dyDescent="0.5">
      <c r="A106">
        <v>7.850000000000161E-2</v>
      </c>
      <c r="B106">
        <v>0.10050000000000224</v>
      </c>
      <c r="C106">
        <v>0.10490000000000237</v>
      </c>
      <c r="M106" t="s">
        <v>585</v>
      </c>
      <c r="N106">
        <v>-4.7826513739029384</v>
      </c>
      <c r="Q106" t="s">
        <v>585</v>
      </c>
      <c r="R106">
        <v>6.0186349194239446</v>
      </c>
    </row>
    <row r="107" spans="1:19" x14ac:dyDescent="0.5">
      <c r="A107">
        <v>9.840000000000218E-2</v>
      </c>
      <c r="B107">
        <v>0.11750000000000273</v>
      </c>
      <c r="C107">
        <v>0.11830000000000275</v>
      </c>
      <c r="M107" t="s">
        <v>586</v>
      </c>
      <c r="N107">
        <v>1.5679275601940517E-6</v>
      </c>
      <c r="Q107" t="s">
        <v>586</v>
      </c>
      <c r="R107">
        <v>1.4953869940914284E-9</v>
      </c>
    </row>
    <row r="108" spans="1:19" x14ac:dyDescent="0.5">
      <c r="A108">
        <v>9.1600000000001985E-2</v>
      </c>
      <c r="B108">
        <v>0.1236000000000029</v>
      </c>
      <c r="C108">
        <v>0.12480000000000294</v>
      </c>
      <c r="M108" t="s">
        <v>587</v>
      </c>
      <c r="N108">
        <v>1.6516845598497309</v>
      </c>
      <c r="Q108" t="s">
        <v>587</v>
      </c>
      <c r="R108">
        <v>1.647283615982585</v>
      </c>
    </row>
    <row r="109" spans="1:19" x14ac:dyDescent="0.5">
      <c r="A109">
        <v>8.5800000000001819E-2</v>
      </c>
      <c r="B109">
        <v>0.13840000000000147</v>
      </c>
      <c r="C109">
        <v>0.13430000000000192</v>
      </c>
      <c r="M109" t="s">
        <v>588</v>
      </c>
      <c r="N109">
        <v>3.1358551203881035E-6</v>
      </c>
      <c r="Q109" t="s">
        <v>588</v>
      </c>
      <c r="R109">
        <v>2.9907739881828569E-9</v>
      </c>
    </row>
    <row r="110" spans="1:19" ht="14.7" thickBot="1" x14ac:dyDescent="0.55000000000000004">
      <c r="A110">
        <v>7.850000000000161E-2</v>
      </c>
      <c r="B110">
        <v>0.10150000000000227</v>
      </c>
      <c r="C110">
        <v>0.10000000000000223</v>
      </c>
      <c r="M110" s="3" t="s">
        <v>589</v>
      </c>
      <c r="N110" s="3">
        <v>1.9706109611023637</v>
      </c>
      <c r="O110" s="3"/>
      <c r="Q110" s="3" t="s">
        <v>589</v>
      </c>
      <c r="R110" s="3">
        <v>1.9637486535557824</v>
      </c>
      <c r="S110" s="3"/>
    </row>
    <row r="111" spans="1:19" x14ac:dyDescent="0.5">
      <c r="A111">
        <v>8.2300000000001719E-2</v>
      </c>
      <c r="B111">
        <v>0.14360000000000089</v>
      </c>
      <c r="C111">
        <v>0.10510000000000237</v>
      </c>
    </row>
    <row r="112" spans="1:19" x14ac:dyDescent="0.5">
      <c r="A112">
        <v>7.9000000000001624E-2</v>
      </c>
      <c r="B112">
        <v>9.3100000000002028E-2</v>
      </c>
      <c r="C112">
        <v>0.1097000000000025</v>
      </c>
      <c r="M112" s="10" t="s">
        <v>590</v>
      </c>
      <c r="N112" s="10" t="str">
        <f>IF(N109&lt;$N$61, "Sig Diff", IF(N109&gt;$N$61, "No Sig Diff", "Error"))</f>
        <v>Sig Diff</v>
      </c>
      <c r="Q112" s="10" t="s">
        <v>590</v>
      </c>
      <c r="R112" s="10" t="str">
        <f>IF(R109&lt;$N$61, "Sig Diff", IF(R109&gt;$N$61, "No Sig Diff", "Error"))</f>
        <v>Sig Diff</v>
      </c>
    </row>
    <row r="113" spans="1:19" x14ac:dyDescent="0.5">
      <c r="A113">
        <v>8.8000000000001882E-2</v>
      </c>
      <c r="B113">
        <v>9.4800000000002077E-2</v>
      </c>
      <c r="C113">
        <v>9.7600000000002157E-2</v>
      </c>
    </row>
    <row r="114" spans="1:19" x14ac:dyDescent="0.5">
      <c r="A114">
        <v>0.10050000000000224</v>
      </c>
      <c r="B114">
        <v>0.12100000000000283</v>
      </c>
      <c r="C114">
        <v>0.11400000000000263</v>
      </c>
      <c r="M114" s="9" t="s">
        <v>597</v>
      </c>
      <c r="Q114" s="9" t="s">
        <v>598</v>
      </c>
    </row>
    <row r="115" spans="1:19" x14ac:dyDescent="0.5">
      <c r="A115">
        <v>8.8400000000001894E-2</v>
      </c>
      <c r="B115">
        <v>0.10740000000000244</v>
      </c>
      <c r="C115">
        <v>0.1097000000000025</v>
      </c>
      <c r="M115" t="s">
        <v>581</v>
      </c>
      <c r="Q115" t="s">
        <v>581</v>
      </c>
    </row>
    <row r="116" spans="1:19" ht="14.7" thickBot="1" x14ac:dyDescent="0.55000000000000004">
      <c r="A116">
        <v>7.2600000000001441E-2</v>
      </c>
      <c r="B116">
        <v>0.1166000000000027</v>
      </c>
      <c r="C116">
        <v>0.11080000000000254</v>
      </c>
    </row>
    <row r="117" spans="1:19" x14ac:dyDescent="0.5">
      <c r="A117">
        <v>9.5700000000002103E-2</v>
      </c>
      <c r="B117">
        <v>0.11700000000000271</v>
      </c>
      <c r="C117">
        <v>0.11980000000000279</v>
      </c>
      <c r="M117" s="1"/>
      <c r="N117" s="1" t="s">
        <v>545</v>
      </c>
      <c r="O117" s="1" t="s">
        <v>549</v>
      </c>
      <c r="Q117" s="1"/>
      <c r="R117" s="1" t="s">
        <v>545</v>
      </c>
      <c r="S117" s="1" t="s">
        <v>551</v>
      </c>
    </row>
    <row r="118" spans="1:19" x14ac:dyDescent="0.5">
      <c r="A118">
        <v>6.7800000000001304E-2</v>
      </c>
      <c r="B118">
        <v>0.10570000000000239</v>
      </c>
      <c r="C118">
        <v>0.10750000000000244</v>
      </c>
      <c r="M118" t="s">
        <v>582</v>
      </c>
      <c r="N118">
        <v>0.1127614130420594</v>
      </c>
      <c r="O118">
        <v>0.13139184782487906</v>
      </c>
      <c r="Q118" t="s">
        <v>582</v>
      </c>
      <c r="R118">
        <v>0.1127614130420594</v>
      </c>
      <c r="S118">
        <v>0.10714402173792376</v>
      </c>
    </row>
    <row r="119" spans="1:19" x14ac:dyDescent="0.5">
      <c r="A119">
        <v>5.0100000000000804E-2</v>
      </c>
      <c r="B119">
        <v>0.10480000000000236</v>
      </c>
      <c r="C119">
        <v>0.10860000000000247</v>
      </c>
      <c r="M119" t="s">
        <v>560</v>
      </c>
      <c r="N119">
        <v>9.1294577071211877E-4</v>
      </c>
      <c r="O119">
        <v>1.8108033757867608E-3</v>
      </c>
      <c r="Q119" t="s">
        <v>560</v>
      </c>
      <c r="R119">
        <v>9.1294577071211877E-4</v>
      </c>
      <c r="S119">
        <v>2.1188794223616478E-4</v>
      </c>
    </row>
    <row r="120" spans="1:19" x14ac:dyDescent="0.5">
      <c r="A120">
        <v>7.4000000000001481E-2</v>
      </c>
      <c r="B120">
        <v>0.10050000000000224</v>
      </c>
      <c r="C120">
        <v>0.11770000000000273</v>
      </c>
      <c r="M120" t="s">
        <v>583</v>
      </c>
      <c r="N120">
        <v>184</v>
      </c>
      <c r="O120">
        <v>184</v>
      </c>
      <c r="Q120" t="s">
        <v>583</v>
      </c>
      <c r="R120">
        <v>184</v>
      </c>
      <c r="S120">
        <v>184</v>
      </c>
    </row>
    <row r="121" spans="1:19" x14ac:dyDescent="0.5">
      <c r="A121">
        <v>7.430000000000149E-2</v>
      </c>
      <c r="B121">
        <v>9.8800000000002192E-2</v>
      </c>
      <c r="C121">
        <v>0.10730000000000244</v>
      </c>
      <c r="M121" t="s">
        <v>584</v>
      </c>
      <c r="N121">
        <v>0</v>
      </c>
      <c r="Q121" t="s">
        <v>584</v>
      </c>
      <c r="R121">
        <v>0</v>
      </c>
    </row>
    <row r="122" spans="1:19" x14ac:dyDescent="0.5">
      <c r="A122">
        <v>8.6400000000001836E-2</v>
      </c>
      <c r="B122">
        <v>0.13620000000000171</v>
      </c>
      <c r="C122">
        <v>0.13770000000000154</v>
      </c>
      <c r="M122" t="s">
        <v>564</v>
      </c>
      <c r="N122">
        <v>330</v>
      </c>
      <c r="Q122" t="s">
        <v>564</v>
      </c>
      <c r="R122">
        <v>264</v>
      </c>
    </row>
    <row r="123" spans="1:19" x14ac:dyDescent="0.5">
      <c r="A123">
        <v>6.4700000000001215E-2</v>
      </c>
      <c r="B123">
        <v>0.10630000000000241</v>
      </c>
      <c r="C123">
        <v>0.10690000000000242</v>
      </c>
      <c r="M123" t="s">
        <v>585</v>
      </c>
      <c r="N123">
        <v>-4.8422627144697934</v>
      </c>
      <c r="Q123" t="s">
        <v>585</v>
      </c>
      <c r="R123">
        <v>2.2719534399874948</v>
      </c>
    </row>
    <row r="124" spans="1:19" x14ac:dyDescent="0.5">
      <c r="A124">
        <v>0.12290000000000288</v>
      </c>
      <c r="B124">
        <v>0.10510000000000237</v>
      </c>
      <c r="C124">
        <v>0.10800000000000246</v>
      </c>
      <c r="M124" t="s">
        <v>586</v>
      </c>
      <c r="N124">
        <v>9.8818911488502833E-7</v>
      </c>
      <c r="Q124" t="s">
        <v>586</v>
      </c>
      <c r="R124">
        <v>1.1947057443648115E-2</v>
      </c>
    </row>
    <row r="125" spans="1:19" x14ac:dyDescent="0.5">
      <c r="A125">
        <v>9.4000000000002054E-2</v>
      </c>
      <c r="B125">
        <v>9.6600000000002129E-2</v>
      </c>
      <c r="C125">
        <v>0.10350000000000233</v>
      </c>
      <c r="M125" t="s">
        <v>587</v>
      </c>
      <c r="N125">
        <v>1.6494841779566627</v>
      </c>
      <c r="Q125" t="s">
        <v>587</v>
      </c>
      <c r="R125">
        <v>1.6506459104063216</v>
      </c>
    </row>
    <row r="126" spans="1:19" x14ac:dyDescent="0.5">
      <c r="A126">
        <v>7.9100000000001627E-2</v>
      </c>
      <c r="B126">
        <v>0.10120000000000226</v>
      </c>
      <c r="C126">
        <v>0.11760000000000273</v>
      </c>
      <c r="M126" t="s">
        <v>588</v>
      </c>
      <c r="N126">
        <v>1.9763782297700567E-6</v>
      </c>
      <c r="Q126" t="s">
        <v>588</v>
      </c>
      <c r="R126">
        <v>2.3894114887296231E-2</v>
      </c>
    </row>
    <row r="127" spans="1:19" ht="14.7" thickBot="1" x14ac:dyDescent="0.55000000000000004">
      <c r="A127">
        <v>7.9100000000001627E-2</v>
      </c>
      <c r="B127">
        <v>0.12700000000000272</v>
      </c>
      <c r="C127">
        <v>0.1235000000000029</v>
      </c>
      <c r="M127" s="3" t="s">
        <v>589</v>
      </c>
      <c r="N127" s="3">
        <v>1.9671786747533757</v>
      </c>
      <c r="O127" s="3"/>
      <c r="Q127" s="3" t="s">
        <v>589</v>
      </c>
      <c r="R127" s="3">
        <v>1.9689904969297212</v>
      </c>
      <c r="S127" s="3"/>
    </row>
    <row r="128" spans="1:19" x14ac:dyDescent="0.5">
      <c r="A128">
        <v>7.640000000000155E-2</v>
      </c>
      <c r="B128">
        <v>0.11010000000000252</v>
      </c>
      <c r="C128">
        <v>0.10150000000000227</v>
      </c>
    </row>
    <row r="129" spans="1:19" x14ac:dyDescent="0.5">
      <c r="A129">
        <v>9.8300000000002177E-2</v>
      </c>
      <c r="B129">
        <v>0.12820000000000259</v>
      </c>
      <c r="C129">
        <v>0.1317000000000022</v>
      </c>
      <c r="M129" s="10" t="s">
        <v>590</v>
      </c>
      <c r="N129" s="10" t="str">
        <f>IF(N126&lt;$N$61, "Sig Diff", IF(N126&gt;$N$61, "No Sig Diff", "Error"))</f>
        <v>Sig Diff</v>
      </c>
      <c r="Q129" s="12" t="s">
        <v>590</v>
      </c>
      <c r="R129" s="12" t="str">
        <f>IF(R126&lt;$N$61, "Sig Diff", IF(R126&gt;$N$61, "No Sig Diff", "Error"))</f>
        <v>No Sig Diff</v>
      </c>
    </row>
    <row r="130" spans="1:19" x14ac:dyDescent="0.5">
      <c r="A130">
        <v>7.5600000000001527E-2</v>
      </c>
      <c r="B130">
        <v>0.10790000000000245</v>
      </c>
      <c r="C130">
        <v>9.9200000000002203E-2</v>
      </c>
    </row>
    <row r="131" spans="1:19" x14ac:dyDescent="0.5">
      <c r="A131">
        <v>7.4400000000001493E-2</v>
      </c>
      <c r="B131">
        <v>8.8000000000001882E-2</v>
      </c>
      <c r="C131">
        <v>9.0500000000001954E-2</v>
      </c>
      <c r="M131" s="9" t="s">
        <v>599</v>
      </c>
      <c r="Q131" s="9" t="s">
        <v>600</v>
      </c>
    </row>
    <row r="132" spans="1:19" x14ac:dyDescent="0.5">
      <c r="A132">
        <v>7.4900000000001507E-2</v>
      </c>
      <c r="B132">
        <v>0.11820000000000275</v>
      </c>
      <c r="C132">
        <v>0.12110000000000283</v>
      </c>
      <c r="M132" t="s">
        <v>581</v>
      </c>
      <c r="Q132" t="s">
        <v>581</v>
      </c>
    </row>
    <row r="133" spans="1:19" ht="14.7" thickBot="1" x14ac:dyDescent="0.55000000000000004">
      <c r="A133">
        <v>7.6700000000001559E-2</v>
      </c>
      <c r="B133">
        <v>0.1060000000000024</v>
      </c>
      <c r="C133">
        <v>0.10040000000000224</v>
      </c>
    </row>
    <row r="134" spans="1:19" x14ac:dyDescent="0.5">
      <c r="A134">
        <v>7.6300000000001547E-2</v>
      </c>
      <c r="B134">
        <v>0.11110000000000254</v>
      </c>
      <c r="C134">
        <v>0.11080000000000254</v>
      </c>
      <c r="M134" s="1"/>
      <c r="N134" s="1" t="s">
        <v>545</v>
      </c>
      <c r="O134" s="1" t="s">
        <v>553</v>
      </c>
      <c r="Q134" s="1"/>
      <c r="R134" s="1" t="s">
        <v>547</v>
      </c>
      <c r="S134" s="1" t="s">
        <v>549</v>
      </c>
    </row>
    <row r="135" spans="1:19" x14ac:dyDescent="0.5">
      <c r="A135">
        <v>7.1100000000001398E-2</v>
      </c>
      <c r="B135">
        <v>0.11550000000000267</v>
      </c>
      <c r="C135">
        <v>0.11230000000000258</v>
      </c>
      <c r="M135" t="s">
        <v>582</v>
      </c>
      <c r="N135">
        <v>0.11298142076381593</v>
      </c>
      <c r="O135">
        <v>9.6110928960537259E-2</v>
      </c>
      <c r="Q135" t="s">
        <v>582</v>
      </c>
      <c r="R135">
        <v>0.10901249999858144</v>
      </c>
      <c r="S135">
        <v>0.13139184782487906</v>
      </c>
    </row>
    <row r="136" spans="1:19" x14ac:dyDescent="0.5">
      <c r="A136">
        <v>8.0500000000001667E-2</v>
      </c>
      <c r="B136">
        <v>0.1095000000000025</v>
      </c>
      <c r="C136">
        <v>0.10780000000000245</v>
      </c>
      <c r="M136" t="s">
        <v>560</v>
      </c>
      <c r="N136">
        <v>9.0900679579800233E-4</v>
      </c>
      <c r="O136">
        <v>1.1054537443142944E-4</v>
      </c>
      <c r="Q136" t="s">
        <v>560</v>
      </c>
      <c r="R136">
        <v>1.160815368961009E-4</v>
      </c>
      <c r="S136">
        <v>1.8108033757867608E-3</v>
      </c>
    </row>
    <row r="137" spans="1:19" x14ac:dyDescent="0.5">
      <c r="A137">
        <v>6.9300000000001347E-2</v>
      </c>
      <c r="B137">
        <v>0.10180000000000228</v>
      </c>
      <c r="C137">
        <v>0.11140000000000255</v>
      </c>
      <c r="M137" t="s">
        <v>583</v>
      </c>
      <c r="N137">
        <v>183</v>
      </c>
      <c r="O137">
        <v>183</v>
      </c>
      <c r="Q137" t="s">
        <v>583</v>
      </c>
      <c r="R137">
        <v>184</v>
      </c>
      <c r="S137">
        <v>184</v>
      </c>
    </row>
    <row r="138" spans="1:19" x14ac:dyDescent="0.5">
      <c r="A138">
        <v>8.060000000000167E-2</v>
      </c>
      <c r="B138">
        <v>9.420000000000206E-2</v>
      </c>
      <c r="C138">
        <v>0.10830000000000246</v>
      </c>
      <c r="M138" t="s">
        <v>584</v>
      </c>
      <c r="N138">
        <v>0</v>
      </c>
      <c r="Q138" t="s">
        <v>584</v>
      </c>
      <c r="R138">
        <v>0</v>
      </c>
    </row>
    <row r="139" spans="1:19" x14ac:dyDescent="0.5">
      <c r="A139">
        <v>8.9900000000001937E-2</v>
      </c>
      <c r="B139">
        <v>0.11580000000000268</v>
      </c>
      <c r="C139">
        <v>0.11790000000000274</v>
      </c>
      <c r="M139" t="s">
        <v>564</v>
      </c>
      <c r="N139">
        <v>226</v>
      </c>
      <c r="Q139" t="s">
        <v>564</v>
      </c>
      <c r="R139">
        <v>206</v>
      </c>
    </row>
    <row r="140" spans="1:19" x14ac:dyDescent="0.5">
      <c r="A140">
        <v>7.7200000000001573E-2</v>
      </c>
      <c r="B140">
        <v>0.11680000000000271</v>
      </c>
      <c r="C140">
        <v>0.11110000000000254</v>
      </c>
      <c r="M140" t="s">
        <v>585</v>
      </c>
      <c r="N140">
        <v>7.1474077931157254</v>
      </c>
      <c r="Q140" t="s">
        <v>585</v>
      </c>
      <c r="R140">
        <v>-6.9155774521937357</v>
      </c>
    </row>
    <row r="141" spans="1:19" x14ac:dyDescent="0.5">
      <c r="A141">
        <v>7.4500000000001496E-2</v>
      </c>
      <c r="B141">
        <v>0.10910000000000249</v>
      </c>
      <c r="C141">
        <v>9.2700000000002017E-2</v>
      </c>
      <c r="M141" t="s">
        <v>586</v>
      </c>
      <c r="N141">
        <v>6.0448161624856054E-12</v>
      </c>
      <c r="Q141" t="s">
        <v>586</v>
      </c>
      <c r="R141">
        <v>2.8744740340680502E-11</v>
      </c>
    </row>
    <row r="142" spans="1:19" x14ac:dyDescent="0.5">
      <c r="A142">
        <v>7.2100000000001427E-2</v>
      </c>
      <c r="B142">
        <v>0.12080000000000282</v>
      </c>
      <c r="C142">
        <v>0.12440000000000292</v>
      </c>
      <c r="M142" t="s">
        <v>587</v>
      </c>
      <c r="N142">
        <v>1.6516238593191253</v>
      </c>
      <c r="Q142" t="s">
        <v>587</v>
      </c>
      <c r="R142">
        <v>1.6522841441887575</v>
      </c>
    </row>
    <row r="143" spans="1:19" x14ac:dyDescent="0.5">
      <c r="A143">
        <v>7.9800000000001647E-2</v>
      </c>
      <c r="B143">
        <v>0.2097999999999936</v>
      </c>
      <c r="C143">
        <v>0.12790000000000262</v>
      </c>
      <c r="M143" t="s">
        <v>588</v>
      </c>
      <c r="N143">
        <v>1.2089632324971211E-11</v>
      </c>
      <c r="Q143" t="s">
        <v>588</v>
      </c>
      <c r="R143">
        <v>5.7489480681361004E-11</v>
      </c>
    </row>
    <row r="144" spans="1:19" ht="14.7" thickBot="1" x14ac:dyDescent="0.55000000000000004">
      <c r="A144">
        <v>7.3000000000001453E-2</v>
      </c>
      <c r="B144">
        <v>0.12620000000000281</v>
      </c>
      <c r="C144">
        <v>0.10290000000000231</v>
      </c>
      <c r="M144" s="3" t="s">
        <v>589</v>
      </c>
      <c r="N144" s="3">
        <v>1.9705162426831593</v>
      </c>
      <c r="O144" s="3"/>
      <c r="Q144" s="3" t="s">
        <v>589</v>
      </c>
      <c r="R144" s="3">
        <v>1.9715466694452266</v>
      </c>
      <c r="S144" s="3"/>
    </row>
    <row r="145" spans="1:19" x14ac:dyDescent="0.5">
      <c r="A145">
        <v>0.11840000000000275</v>
      </c>
      <c r="B145">
        <v>0.11430000000000264</v>
      </c>
      <c r="C145">
        <v>0.10800000000000246</v>
      </c>
    </row>
    <row r="146" spans="1:19" x14ac:dyDescent="0.5">
      <c r="A146">
        <v>7.3100000000001455E-2</v>
      </c>
      <c r="B146">
        <v>0.11350000000000261</v>
      </c>
      <c r="C146">
        <v>0.10240000000000229</v>
      </c>
      <c r="M146" s="10" t="s">
        <v>590</v>
      </c>
      <c r="N146" s="10" t="str">
        <f>IF(N143&lt;$N$61, "Sig Diff", IF(N143&gt;$N$61, "No Sig Diff", "Error"))</f>
        <v>Sig Diff</v>
      </c>
      <c r="Q146" s="10" t="s">
        <v>590</v>
      </c>
      <c r="R146" s="10" t="str">
        <f>IF(R143&lt;$N$61, "Sig Diff", IF(R143&gt;$N$61, "No Sig Diff", "Error"))</f>
        <v>Sig Diff</v>
      </c>
    </row>
    <row r="147" spans="1:19" x14ac:dyDescent="0.5">
      <c r="A147">
        <v>8.7300000000001862E-2</v>
      </c>
      <c r="B147">
        <v>0.1254000000000029</v>
      </c>
      <c r="C147">
        <v>9.9300000000002206E-2</v>
      </c>
    </row>
    <row r="148" spans="1:19" x14ac:dyDescent="0.5">
      <c r="A148">
        <v>6.4200000000001201E-2</v>
      </c>
      <c r="B148">
        <v>0.11190000000000257</v>
      </c>
      <c r="C148">
        <v>0.11120000000000255</v>
      </c>
      <c r="M148" s="9" t="s">
        <v>601</v>
      </c>
      <c r="Q148" s="9" t="s">
        <v>602</v>
      </c>
    </row>
    <row r="149" spans="1:19" x14ac:dyDescent="0.5">
      <c r="A149">
        <v>8.0700000000001673E-2</v>
      </c>
      <c r="B149">
        <v>0.13180000000000219</v>
      </c>
      <c r="C149">
        <v>0.10020000000000223</v>
      </c>
      <c r="M149" t="s">
        <v>581</v>
      </c>
      <c r="Q149" t="s">
        <v>581</v>
      </c>
    </row>
    <row r="150" spans="1:19" ht="14.7" thickBot="1" x14ac:dyDescent="0.55000000000000004">
      <c r="A150">
        <v>7.4700000000001501E-2</v>
      </c>
      <c r="B150">
        <v>0.10510000000000237</v>
      </c>
      <c r="C150">
        <v>0.10920000000000249</v>
      </c>
    </row>
    <row r="151" spans="1:19" x14ac:dyDescent="0.5">
      <c r="A151">
        <v>7.5600000000001527E-2</v>
      </c>
      <c r="B151">
        <v>9.1100000000001971E-2</v>
      </c>
      <c r="C151">
        <v>9.0800000000001962E-2</v>
      </c>
      <c r="M151" s="1"/>
      <c r="N151" s="1" t="s">
        <v>547</v>
      </c>
      <c r="O151" s="1" t="s">
        <v>551</v>
      </c>
      <c r="Q151" s="1"/>
      <c r="R151" s="1" t="s">
        <v>547</v>
      </c>
      <c r="S151" s="1" t="s">
        <v>553</v>
      </c>
    </row>
    <row r="152" spans="1:19" x14ac:dyDescent="0.5">
      <c r="A152">
        <v>7.5400000000001521E-2</v>
      </c>
      <c r="B152">
        <v>0.1202000000000028</v>
      </c>
      <c r="C152">
        <v>0.1129000000000026</v>
      </c>
      <c r="M152" t="s">
        <v>582</v>
      </c>
      <c r="N152">
        <v>0.10901249999858144</v>
      </c>
      <c r="O152">
        <v>0.10714402173792376</v>
      </c>
      <c r="Q152" t="s">
        <v>582</v>
      </c>
      <c r="R152">
        <v>0.10917814207529164</v>
      </c>
      <c r="S152">
        <v>9.6110928960537259E-2</v>
      </c>
    </row>
    <row r="153" spans="1:19" x14ac:dyDescent="0.5">
      <c r="A153">
        <v>7.3300000000001461E-2</v>
      </c>
      <c r="B153">
        <v>0.12130000000000284</v>
      </c>
      <c r="C153">
        <v>0.11430000000000264</v>
      </c>
      <c r="M153" t="s">
        <v>560</v>
      </c>
      <c r="N153">
        <v>1.160815368961009E-4</v>
      </c>
      <c r="O153">
        <v>2.1188794223616478E-4</v>
      </c>
      <c r="Q153" t="s">
        <v>560</v>
      </c>
      <c r="R153">
        <v>1.116431459779025E-4</v>
      </c>
      <c r="S153">
        <v>1.1054537443142944E-4</v>
      </c>
    </row>
    <row r="154" spans="1:19" x14ac:dyDescent="0.5">
      <c r="A154">
        <v>9.3600000000002043E-2</v>
      </c>
      <c r="B154">
        <v>0.12410000000000292</v>
      </c>
      <c r="C154">
        <v>0.11090000000000254</v>
      </c>
      <c r="M154" t="s">
        <v>583</v>
      </c>
      <c r="N154">
        <v>184</v>
      </c>
      <c r="O154">
        <v>184</v>
      </c>
      <c r="Q154" t="s">
        <v>583</v>
      </c>
      <c r="R154">
        <v>183</v>
      </c>
      <c r="S154">
        <v>183</v>
      </c>
    </row>
    <row r="155" spans="1:19" x14ac:dyDescent="0.5">
      <c r="A155">
        <v>0.11880000000000276</v>
      </c>
      <c r="B155">
        <v>0.10740000000000244</v>
      </c>
      <c r="C155">
        <v>0.11270000000000259</v>
      </c>
      <c r="M155" t="s">
        <v>584</v>
      </c>
      <c r="N155">
        <v>0</v>
      </c>
      <c r="Q155" t="s">
        <v>584</v>
      </c>
      <c r="R155">
        <v>0</v>
      </c>
    </row>
    <row r="156" spans="1:19" x14ac:dyDescent="0.5">
      <c r="A156">
        <v>7.3200000000001458E-2</v>
      </c>
      <c r="B156">
        <v>0.20289999999999436</v>
      </c>
      <c r="C156">
        <v>9.9400000000002209E-2</v>
      </c>
      <c r="M156" t="s">
        <v>564</v>
      </c>
      <c r="N156">
        <v>337</v>
      </c>
      <c r="Q156" t="s">
        <v>564</v>
      </c>
      <c r="R156">
        <v>364</v>
      </c>
    </row>
    <row r="157" spans="1:19" x14ac:dyDescent="0.5">
      <c r="A157">
        <v>9.8600000000002186E-2</v>
      </c>
      <c r="B157">
        <v>0.10090000000000225</v>
      </c>
      <c r="C157">
        <v>0.10160000000000227</v>
      </c>
      <c r="M157" t="s">
        <v>585</v>
      </c>
      <c r="N157">
        <v>1.399523662586649</v>
      </c>
      <c r="Q157" t="s">
        <v>585</v>
      </c>
      <c r="R157">
        <v>11.858990209514179</v>
      </c>
    </row>
    <row r="158" spans="1:19" x14ac:dyDescent="0.5">
      <c r="A158">
        <v>8.4400000000001779E-2</v>
      </c>
      <c r="B158">
        <v>0.11890000000000277</v>
      </c>
      <c r="C158">
        <v>9.5000000000002083E-2</v>
      </c>
      <c r="M158" t="s">
        <v>586</v>
      </c>
      <c r="N158">
        <v>8.1287907094189454E-2</v>
      </c>
      <c r="Q158" t="s">
        <v>586</v>
      </c>
      <c r="R158">
        <v>5.9286037764074634E-28</v>
      </c>
    </row>
    <row r="159" spans="1:19" x14ac:dyDescent="0.5">
      <c r="A159">
        <v>6.9800000000001361E-2</v>
      </c>
      <c r="B159">
        <v>0.10300000000000231</v>
      </c>
      <c r="C159">
        <v>9.9000000000002197E-2</v>
      </c>
      <c r="M159" t="s">
        <v>587</v>
      </c>
      <c r="N159">
        <v>1.6493877280394473</v>
      </c>
      <c r="Q159" t="s">
        <v>587</v>
      </c>
      <c r="R159">
        <v>1.6490505451718778</v>
      </c>
    </row>
    <row r="160" spans="1:19" x14ac:dyDescent="0.5">
      <c r="A160">
        <v>4.6300000000000695E-2</v>
      </c>
      <c r="B160">
        <v>9.9200000000002203E-2</v>
      </c>
      <c r="C160">
        <v>0.11090000000000254</v>
      </c>
      <c r="M160" t="s">
        <v>588</v>
      </c>
      <c r="N160">
        <v>0.16257581418837891</v>
      </c>
      <c r="Q160" t="s">
        <v>588</v>
      </c>
      <c r="R160">
        <v>1.1857207552814927E-27</v>
      </c>
    </row>
    <row r="161" spans="1:19" ht="14.7" thickBot="1" x14ac:dyDescent="0.55000000000000004">
      <c r="A161">
        <v>7.6200000000001544E-2</v>
      </c>
      <c r="B161">
        <v>0.1129000000000026</v>
      </c>
      <c r="C161">
        <v>0.10120000000000226</v>
      </c>
      <c r="M161" s="3" t="s">
        <v>589</v>
      </c>
      <c r="N161" s="3">
        <v>1.967028284669176</v>
      </c>
      <c r="O161" s="3"/>
      <c r="Q161" s="3" t="s">
        <v>589</v>
      </c>
      <c r="R161" s="3">
        <v>1.9665025687993565</v>
      </c>
      <c r="S161" s="3"/>
    </row>
    <row r="162" spans="1:19" x14ac:dyDescent="0.5">
      <c r="A162">
        <v>7.1600000000002842E-2</v>
      </c>
      <c r="B162">
        <v>0.10730000000000386</v>
      </c>
      <c r="C162">
        <v>0.11520000000000409</v>
      </c>
    </row>
    <row r="163" spans="1:19" x14ac:dyDescent="0.5">
      <c r="A163">
        <v>4.7500000000000327E-2</v>
      </c>
      <c r="B163">
        <v>9.7700000000001758E-2</v>
      </c>
      <c r="C163">
        <v>9.0300000000001546E-2</v>
      </c>
      <c r="M163" t="s">
        <v>590</v>
      </c>
      <c r="N163" t="str">
        <f>IF(N160&lt;$N$61, "Sig Diff", IF(N160&gt;$N$61, "No Sig Diff", "Error"))</f>
        <v>No Sig Diff</v>
      </c>
      <c r="Q163" s="10" t="s">
        <v>590</v>
      </c>
      <c r="R163" s="10" t="str">
        <f>IF(R160&lt;$N$61, "Sig Diff", IF(R160&gt;$N$61, "No Sig Diff", "Error"))</f>
        <v>Sig Diff</v>
      </c>
    </row>
    <row r="164" spans="1:19" x14ac:dyDescent="0.5">
      <c r="A164">
        <v>9.5700000000003532E-2</v>
      </c>
      <c r="B164">
        <v>0.10570000000000382</v>
      </c>
      <c r="C164">
        <v>0.11740000000000415</v>
      </c>
    </row>
    <row r="165" spans="1:19" x14ac:dyDescent="0.5">
      <c r="A165">
        <v>7.5000000000001107E-2</v>
      </c>
      <c r="B165">
        <v>0.11860000000000236</v>
      </c>
      <c r="C165">
        <v>0.11530000000000226</v>
      </c>
      <c r="M165" s="9" t="s">
        <v>603</v>
      </c>
      <c r="Q165" s="9" t="s">
        <v>604</v>
      </c>
    </row>
    <row r="166" spans="1:19" x14ac:dyDescent="0.5">
      <c r="A166">
        <v>9.010000000000154E-2</v>
      </c>
      <c r="B166">
        <v>0.11240000000000218</v>
      </c>
      <c r="C166">
        <v>0.10310000000000191</v>
      </c>
      <c r="M166" t="s">
        <v>581</v>
      </c>
      <c r="Q166" t="s">
        <v>581</v>
      </c>
    </row>
    <row r="167" spans="1:19" ht="14.7" thickBot="1" x14ac:dyDescent="0.55000000000000004">
      <c r="A167">
        <v>9.6100000000003544E-2</v>
      </c>
      <c r="B167">
        <v>0.10360000000000376</v>
      </c>
      <c r="C167">
        <v>0.10290000000000374</v>
      </c>
    </row>
    <row r="168" spans="1:19" x14ac:dyDescent="0.5">
      <c r="A168">
        <v>7.5300000000002948E-2</v>
      </c>
      <c r="B168">
        <v>0.11500000000000409</v>
      </c>
      <c r="C168">
        <v>0.11690000000000414</v>
      </c>
      <c r="M168" s="1"/>
      <c r="N168" s="1" t="s">
        <v>549</v>
      </c>
      <c r="O168" s="1" t="s">
        <v>551</v>
      </c>
      <c r="Q168" s="1"/>
      <c r="R168" s="1" t="s">
        <v>549</v>
      </c>
      <c r="S168" s="1" t="s">
        <v>553</v>
      </c>
    </row>
    <row r="169" spans="1:19" x14ac:dyDescent="0.5">
      <c r="A169">
        <v>8.900000000000334E-2</v>
      </c>
      <c r="B169">
        <v>0.12950000000000386</v>
      </c>
      <c r="C169">
        <v>0.12280000000000431</v>
      </c>
      <c r="M169" t="s">
        <v>582</v>
      </c>
      <c r="N169">
        <v>0.13139184782487906</v>
      </c>
      <c r="O169">
        <v>0.10714402173792376</v>
      </c>
      <c r="Q169" t="s">
        <v>582</v>
      </c>
      <c r="R169">
        <v>0.13172459016272209</v>
      </c>
      <c r="S169">
        <v>9.6110928960537259E-2</v>
      </c>
    </row>
    <row r="170" spans="1:19" x14ac:dyDescent="0.5">
      <c r="A170">
        <v>8.270000000000316E-2</v>
      </c>
      <c r="B170">
        <v>9.6300000000003549E-2</v>
      </c>
      <c r="C170">
        <v>0.11880000000000419</v>
      </c>
      <c r="M170" t="s">
        <v>560</v>
      </c>
      <c r="N170">
        <v>1.8108033757867608E-3</v>
      </c>
      <c r="O170">
        <v>2.1188794223616478E-4</v>
      </c>
      <c r="Q170" t="s">
        <v>560</v>
      </c>
      <c r="R170">
        <v>1.8002688974813187E-3</v>
      </c>
      <c r="S170">
        <v>1.1054537443142944E-4</v>
      </c>
    </row>
    <row r="171" spans="1:19" x14ac:dyDescent="0.5">
      <c r="A171">
        <v>7.1000000000002825E-2</v>
      </c>
      <c r="B171">
        <v>0.11000000000000394</v>
      </c>
      <c r="C171">
        <v>0.10040000000000367</v>
      </c>
      <c r="M171" t="s">
        <v>583</v>
      </c>
      <c r="N171">
        <v>184</v>
      </c>
      <c r="O171">
        <v>184</v>
      </c>
      <c r="Q171" t="s">
        <v>583</v>
      </c>
      <c r="R171">
        <v>183</v>
      </c>
      <c r="S171">
        <v>183</v>
      </c>
    </row>
    <row r="172" spans="1:19" x14ac:dyDescent="0.5">
      <c r="A172">
        <v>9.4900000000003509E-2</v>
      </c>
      <c r="B172">
        <v>0.10210000000000372</v>
      </c>
      <c r="C172">
        <v>9.1000000000003398E-2</v>
      </c>
      <c r="M172" t="s">
        <v>584</v>
      </c>
      <c r="N172">
        <v>0</v>
      </c>
      <c r="Q172" t="s">
        <v>584</v>
      </c>
      <c r="R172">
        <v>0</v>
      </c>
    </row>
    <row r="173" spans="1:19" x14ac:dyDescent="0.5">
      <c r="A173">
        <v>8.5800000000003249E-2</v>
      </c>
      <c r="B173">
        <v>0.11770000000000416</v>
      </c>
      <c r="C173">
        <v>0.1226000000000043</v>
      </c>
      <c r="M173" t="s">
        <v>564</v>
      </c>
      <c r="N173">
        <v>225</v>
      </c>
      <c r="Q173" t="s">
        <v>564</v>
      </c>
      <c r="R173">
        <v>204</v>
      </c>
    </row>
    <row r="174" spans="1:19" x14ac:dyDescent="0.5">
      <c r="A174">
        <v>6.700000000000271E-2</v>
      </c>
      <c r="B174">
        <v>0.10220000000000372</v>
      </c>
      <c r="C174">
        <v>7.5400000000002951E-2</v>
      </c>
      <c r="M174" t="s">
        <v>585</v>
      </c>
      <c r="N174">
        <v>7.3133593721559063</v>
      </c>
      <c r="Q174" t="s">
        <v>585</v>
      </c>
      <c r="R174">
        <v>11.021302677308313</v>
      </c>
    </row>
    <row r="175" spans="1:19" x14ac:dyDescent="0.5">
      <c r="A175">
        <v>9.8100000000002172E-2</v>
      </c>
      <c r="B175">
        <v>0.1096000000000025</v>
      </c>
      <c r="C175">
        <v>0.1167000000000027</v>
      </c>
      <c r="M175" t="s">
        <v>586</v>
      </c>
      <c r="N175">
        <v>2.2656979526176037E-12</v>
      </c>
      <c r="Q175" t="s">
        <v>586</v>
      </c>
      <c r="R175">
        <v>9.1704844301455955E-23</v>
      </c>
    </row>
    <row r="176" spans="1:19" x14ac:dyDescent="0.5">
      <c r="A176">
        <v>7.430000000000149E-2</v>
      </c>
      <c r="B176">
        <v>0.11050000000000253</v>
      </c>
      <c r="C176">
        <v>0.11240000000000258</v>
      </c>
      <c r="M176" t="s">
        <v>587</v>
      </c>
      <c r="N176">
        <v>1.6516540741350731</v>
      </c>
      <c r="Q176" t="s">
        <v>587</v>
      </c>
      <c r="R176">
        <v>1.6523573259655893</v>
      </c>
    </row>
    <row r="177" spans="1:19" x14ac:dyDescent="0.5">
      <c r="A177">
        <v>0.10080000000000225</v>
      </c>
      <c r="B177">
        <v>9.8800000000002192E-2</v>
      </c>
      <c r="C177">
        <v>8.7300000000001862E-2</v>
      </c>
      <c r="M177" t="s">
        <v>588</v>
      </c>
      <c r="N177">
        <v>4.5313959052352074E-12</v>
      </c>
      <c r="Q177" t="s">
        <v>588</v>
      </c>
      <c r="R177">
        <v>1.8340968860291191E-22</v>
      </c>
    </row>
    <row r="178" spans="1:19" ht="14.7" thickBot="1" x14ac:dyDescent="0.55000000000000004">
      <c r="A178">
        <v>8.5200000000001802E-2</v>
      </c>
      <c r="B178">
        <v>0.12280000000000288</v>
      </c>
      <c r="C178">
        <v>0.10200000000000228</v>
      </c>
      <c r="M178" s="3" t="s">
        <v>589</v>
      </c>
      <c r="N178" s="3">
        <v>1.9705633902926905</v>
      </c>
      <c r="O178" s="3"/>
      <c r="Q178" s="3" t="s">
        <v>589</v>
      </c>
      <c r="R178" s="3">
        <v>1.9716608894937595</v>
      </c>
      <c r="S178" s="3"/>
    </row>
    <row r="179" spans="1:19" x14ac:dyDescent="0.5">
      <c r="A179">
        <v>7.4600000000001498E-2</v>
      </c>
      <c r="B179">
        <v>0.13340000000000202</v>
      </c>
      <c r="C179">
        <v>0.12120000000000283</v>
      </c>
    </row>
    <row r="180" spans="1:19" x14ac:dyDescent="0.5">
      <c r="A180">
        <v>8.1600000000001699E-2</v>
      </c>
      <c r="B180">
        <v>9.7800000000002163E-2</v>
      </c>
      <c r="C180">
        <v>0.10490000000000237</v>
      </c>
      <c r="M180" s="10" t="s">
        <v>590</v>
      </c>
      <c r="N180" s="10" t="str">
        <f>IF(N177&lt;$N$61, "Sig Diff", IF(N177&gt;$N$61, "No Sig Diff", "Error"))</f>
        <v>Sig Diff</v>
      </c>
      <c r="Q180" s="10" t="s">
        <v>590</v>
      </c>
      <c r="R180" s="10" t="str">
        <f>IF(R177&lt;$N$61, "Sig Diff", IF(R177&gt;$N$61, "No Sig Diff", "Error"))</f>
        <v>Sig Diff</v>
      </c>
    </row>
    <row r="181" spans="1:19" x14ac:dyDescent="0.5">
      <c r="A181">
        <v>8.3900000000003194E-2</v>
      </c>
      <c r="B181">
        <v>9.2600000000003443E-2</v>
      </c>
      <c r="C181">
        <v>0.10000000000000366</v>
      </c>
    </row>
    <row r="182" spans="1:19" x14ac:dyDescent="0.5">
      <c r="A182">
        <v>7.220000000000143E-2</v>
      </c>
      <c r="B182">
        <v>0.29309999999998443</v>
      </c>
      <c r="C182">
        <v>0.11400000000000263</v>
      </c>
      <c r="M182" s="9" t="s">
        <v>605</v>
      </c>
    </row>
    <row r="183" spans="1:19" x14ac:dyDescent="0.5">
      <c r="A183">
        <v>7.6000000000001539E-2</v>
      </c>
      <c r="B183">
        <v>0.1167000000000027</v>
      </c>
      <c r="C183">
        <v>0.11430000000000264</v>
      </c>
      <c r="M183" t="s">
        <v>581</v>
      </c>
    </row>
    <row r="184" spans="1:19" ht="14.7" thickBot="1" x14ac:dyDescent="0.55000000000000004">
      <c r="A184">
        <v>9.5300000000002091E-2</v>
      </c>
      <c r="B184">
        <v>0.23529999999999079</v>
      </c>
      <c r="C184">
        <v>0.12050000000000281</v>
      </c>
    </row>
    <row r="185" spans="1:19" x14ac:dyDescent="0.5">
      <c r="A185">
        <v>8.1800000000001705E-2</v>
      </c>
      <c r="B185">
        <v>0.11410000000000263</v>
      </c>
      <c r="C185">
        <v>0.10090000000000225</v>
      </c>
      <c r="G185" s="11"/>
      <c r="H185" s="11"/>
      <c r="M185" s="1"/>
      <c r="N185" s="1" t="s">
        <v>551</v>
      </c>
      <c r="O185" s="1" t="s">
        <v>553</v>
      </c>
    </row>
    <row r="186" spans="1:19" x14ac:dyDescent="0.5">
      <c r="A186">
        <v>8.9800000000001934E-2</v>
      </c>
      <c r="B186">
        <v>0.10520000000000237</v>
      </c>
      <c r="C186">
        <v>0.10210000000000229</v>
      </c>
      <c r="M186" t="s">
        <v>582</v>
      </c>
      <c r="N186">
        <v>0.10736284152884348</v>
      </c>
      <c r="O186">
        <v>9.6110928960537259E-2</v>
      </c>
    </row>
    <row r="187" spans="1:19" x14ac:dyDescent="0.5">
      <c r="A187">
        <v>7.8300000000001604E-2</v>
      </c>
      <c r="B187">
        <v>0.10800000000000246</v>
      </c>
      <c r="C187">
        <v>0.11090000000000254</v>
      </c>
      <c r="M187" t="s">
        <v>560</v>
      </c>
      <c r="N187">
        <v>2.0419344685590664E-4</v>
      </c>
      <c r="O187">
        <v>1.1054537443142944E-4</v>
      </c>
    </row>
    <row r="188" spans="1:19" x14ac:dyDescent="0.5">
      <c r="A188">
        <v>8.0400000000001665E-2</v>
      </c>
      <c r="B188">
        <v>0.10040000000000224</v>
      </c>
      <c r="C188">
        <v>9.1000000000001968E-2</v>
      </c>
      <c r="M188" t="s">
        <v>583</v>
      </c>
      <c r="N188">
        <v>183</v>
      </c>
      <c r="O188">
        <v>183</v>
      </c>
    </row>
    <row r="189" spans="1:19" x14ac:dyDescent="0.5">
      <c r="A189">
        <v>7.0200000000001372E-2</v>
      </c>
      <c r="B189">
        <v>0.11850000000000276</v>
      </c>
      <c r="C189">
        <v>0.11150000000000256</v>
      </c>
      <c r="M189" t="s">
        <v>584</v>
      </c>
      <c r="N189">
        <v>0</v>
      </c>
    </row>
    <row r="190" spans="1:19" x14ac:dyDescent="0.5">
      <c r="A190">
        <v>6.5800000000001246E-2</v>
      </c>
      <c r="B190">
        <v>9.8700000000002189E-2</v>
      </c>
      <c r="C190">
        <v>0.10890000000000248</v>
      </c>
      <c r="M190" t="s">
        <v>564</v>
      </c>
      <c r="N190">
        <v>334</v>
      </c>
    </row>
    <row r="191" spans="1:19" x14ac:dyDescent="0.5">
      <c r="A191">
        <v>7.9100000000001627E-2</v>
      </c>
      <c r="B191">
        <v>0.11350000000000261</v>
      </c>
      <c r="C191">
        <v>0.11540000000000267</v>
      </c>
      <c r="M191" t="s">
        <v>585</v>
      </c>
      <c r="N191">
        <v>8.5797915525366886</v>
      </c>
    </row>
    <row r="192" spans="1:19" x14ac:dyDescent="0.5">
      <c r="A192">
        <v>0.1025000000000023</v>
      </c>
      <c r="B192">
        <v>0.11450000000000264</v>
      </c>
      <c r="C192">
        <v>8.9800000000001934E-2</v>
      </c>
      <c r="M192" t="s">
        <v>586</v>
      </c>
      <c r="N192">
        <v>1.8153071045454854E-16</v>
      </c>
    </row>
    <row r="193" spans="1:15" x14ac:dyDescent="0.5">
      <c r="A193">
        <v>6.5000000000001223E-2</v>
      </c>
      <c r="B193">
        <v>0.11910000000000277</v>
      </c>
      <c r="C193">
        <v>0.12180000000000285</v>
      </c>
      <c r="M193" t="s">
        <v>587</v>
      </c>
      <c r="N193">
        <v>1.6494285672978861</v>
      </c>
    </row>
    <row r="194" spans="1:15" x14ac:dyDescent="0.5">
      <c r="A194">
        <v>8.8700000000001902E-2</v>
      </c>
      <c r="B194">
        <v>0.11690000000000271</v>
      </c>
      <c r="C194">
        <v>0.11410000000000263</v>
      </c>
      <c r="M194" t="s">
        <v>588</v>
      </c>
      <c r="N194">
        <v>3.6306142090909708E-16</v>
      </c>
    </row>
    <row r="195" spans="1:15" ht="14.7" thickBot="1" x14ac:dyDescent="0.55000000000000004">
      <c r="A195">
        <v>8.270000000000173E-2</v>
      </c>
      <c r="B195">
        <v>0.1129000000000026</v>
      </c>
      <c r="C195">
        <v>0.10860000000000247</v>
      </c>
      <c r="M195" s="3" t="s">
        <v>589</v>
      </c>
      <c r="N195" s="3">
        <v>1.9670919629190615</v>
      </c>
      <c r="O195" s="3"/>
    </row>
    <row r="196" spans="1:15" x14ac:dyDescent="0.5">
      <c r="A196">
        <v>7.4600000000001498E-2</v>
      </c>
      <c r="B196">
        <v>8.7300000000001862E-2</v>
      </c>
      <c r="C196">
        <v>8.4500000000001782E-2</v>
      </c>
    </row>
    <row r="197" spans="1:15" x14ac:dyDescent="0.5">
      <c r="A197">
        <v>7.5800000000001533E-2</v>
      </c>
      <c r="B197">
        <v>0.11940000000000278</v>
      </c>
      <c r="C197">
        <v>0.11110000000000254</v>
      </c>
      <c r="M197" s="10" t="s">
        <v>590</v>
      </c>
      <c r="N197" s="10" t="str">
        <f>IF(N194&lt;$N$61, "Sig Diff", IF(N194&gt;$N$61, "No Sig Diff", "Error"))</f>
        <v>Sig Diff</v>
      </c>
    </row>
    <row r="198" spans="1:15" x14ac:dyDescent="0.5">
      <c r="A198">
        <v>8.5800000000001819E-2</v>
      </c>
      <c r="B198">
        <v>0.11520000000000266</v>
      </c>
      <c r="C198">
        <v>9.6800000000002134E-2</v>
      </c>
    </row>
    <row r="199" spans="1:15" x14ac:dyDescent="0.5">
      <c r="A199">
        <v>8.1600000000001699E-2</v>
      </c>
      <c r="B199">
        <v>0.12100000000000283</v>
      </c>
      <c r="C199">
        <v>0.11200000000000257</v>
      </c>
    </row>
    <row r="200" spans="1:15" x14ac:dyDescent="0.5">
      <c r="A200">
        <v>7.7400000000001579E-2</v>
      </c>
      <c r="B200">
        <v>0.1199000000000028</v>
      </c>
      <c r="C200">
        <v>0.10850000000000247</v>
      </c>
    </row>
    <row r="201" spans="1:15" x14ac:dyDescent="0.5">
      <c r="A201">
        <v>9.1900000000001994E-2</v>
      </c>
      <c r="B201">
        <v>0.10130000000000226</v>
      </c>
      <c r="C201">
        <v>9.8600000000002186E-2</v>
      </c>
    </row>
    <row r="202" spans="1:15" x14ac:dyDescent="0.5">
      <c r="A202">
        <v>8.270000000000173E-2</v>
      </c>
      <c r="B202">
        <v>0.10920000000000249</v>
      </c>
      <c r="C202">
        <v>0.11900000000000277</v>
      </c>
    </row>
    <row r="203" spans="1:15" x14ac:dyDescent="0.5">
      <c r="A203">
        <v>7.6000000000001539E-2</v>
      </c>
      <c r="B203">
        <v>0.10450000000000235</v>
      </c>
      <c r="C203">
        <v>0.11550000000000267</v>
      </c>
    </row>
    <row r="204" spans="1:15" x14ac:dyDescent="0.5">
      <c r="A204">
        <v>0.10840000000000247</v>
      </c>
      <c r="B204">
        <v>9.8000000000002169E-2</v>
      </c>
      <c r="C204">
        <v>0.10760000000000244</v>
      </c>
    </row>
    <row r="205" spans="1:15" x14ac:dyDescent="0.5">
      <c r="A205">
        <v>0.12120000000000283</v>
      </c>
      <c r="B205">
        <v>0.11480000000000265</v>
      </c>
      <c r="C205">
        <v>0.11710000000000272</v>
      </c>
    </row>
    <row r="206" spans="1:15" x14ac:dyDescent="0.5">
      <c r="A206">
        <v>9.1900000000001994E-2</v>
      </c>
      <c r="B206">
        <v>8.8700000000001902E-2</v>
      </c>
      <c r="C206">
        <v>8.9800000000001934E-2</v>
      </c>
    </row>
    <row r="207" spans="1:15" x14ac:dyDescent="0.5">
      <c r="A207">
        <v>8.6500000000001839E-2</v>
      </c>
      <c r="B207">
        <v>9.7300000000002149E-2</v>
      </c>
      <c r="C207">
        <v>0.10050000000000224</v>
      </c>
    </row>
    <row r="208" spans="1:15" x14ac:dyDescent="0.5">
      <c r="A208">
        <v>6.8400000000001321E-2</v>
      </c>
      <c r="B208">
        <v>0.10980000000000251</v>
      </c>
      <c r="C208">
        <v>0.1165000000000027</v>
      </c>
    </row>
    <row r="209" spans="1:3" x14ac:dyDescent="0.5">
      <c r="A209">
        <v>7.0900000000002822E-2</v>
      </c>
      <c r="B209">
        <v>0.12290000000000431</v>
      </c>
      <c r="C209">
        <v>0.12380000000000434</v>
      </c>
    </row>
    <row r="210" spans="1:3" x14ac:dyDescent="0.5">
      <c r="A210">
        <v>8.1100000000003114E-2</v>
      </c>
      <c r="B210">
        <v>0.10410000000000377</v>
      </c>
      <c r="C210">
        <v>0.10210000000000372</v>
      </c>
    </row>
    <row r="211" spans="1:3" x14ac:dyDescent="0.5">
      <c r="A211">
        <v>7.6500000000002982E-2</v>
      </c>
      <c r="B211">
        <v>0.112000000000004</v>
      </c>
      <c r="C211">
        <v>0.1225000000000043</v>
      </c>
    </row>
    <row r="212" spans="1:3" x14ac:dyDescent="0.5">
      <c r="A212">
        <v>7.9100000000003057E-2</v>
      </c>
      <c r="B212">
        <v>0.11980000000000422</v>
      </c>
      <c r="C212">
        <v>0.112000000000004</v>
      </c>
    </row>
    <row r="213" spans="1:3" x14ac:dyDescent="0.5">
      <c r="A213">
        <v>7.0900000000002822E-2</v>
      </c>
      <c r="B213">
        <v>0.31749999999998318</v>
      </c>
      <c r="C213">
        <v>0.10570000000000382</v>
      </c>
    </row>
    <row r="214" spans="1:3" x14ac:dyDescent="0.5">
      <c r="A214">
        <v>6.9300000000002776E-2</v>
      </c>
      <c r="B214">
        <v>0.11000000000000394</v>
      </c>
      <c r="C214">
        <v>9.8300000000003607E-2</v>
      </c>
    </row>
    <row r="215" spans="1:3" x14ac:dyDescent="0.5">
      <c r="A215">
        <v>7.4600000000002928E-2</v>
      </c>
      <c r="B215">
        <v>0.11790000000000417</v>
      </c>
      <c r="C215">
        <v>0.10220000000000372</v>
      </c>
    </row>
    <row r="216" spans="1:3" x14ac:dyDescent="0.5">
      <c r="A216">
        <v>8.2600000000003157E-2</v>
      </c>
      <c r="B216">
        <v>0.11720000000000415</v>
      </c>
      <c r="C216">
        <v>0.11230000000000401</v>
      </c>
    </row>
    <row r="217" spans="1:3" x14ac:dyDescent="0.5">
      <c r="A217">
        <v>8.1600000000003128E-2</v>
      </c>
      <c r="B217">
        <v>0.20959999999999504</v>
      </c>
      <c r="C217">
        <v>0.10720000000000386</v>
      </c>
    </row>
    <row r="218" spans="1:3" x14ac:dyDescent="0.5">
      <c r="A218">
        <v>9.9500000000003641E-2</v>
      </c>
      <c r="B218">
        <v>0.1346000000000033</v>
      </c>
      <c r="C218">
        <v>0.1155000000000041</v>
      </c>
    </row>
    <row r="219" spans="1:3" x14ac:dyDescent="0.5">
      <c r="A219">
        <v>8.1100000000003114E-2</v>
      </c>
      <c r="B219">
        <v>0.11320000000000403</v>
      </c>
      <c r="C219">
        <v>0.10810000000000389</v>
      </c>
    </row>
    <row r="220" spans="1:3" x14ac:dyDescent="0.5">
      <c r="A220">
        <v>9.4900000000003509E-2</v>
      </c>
      <c r="B220">
        <v>0.10920000000000392</v>
      </c>
      <c r="C220">
        <v>0.10810000000000389</v>
      </c>
    </row>
    <row r="221" spans="1:3" x14ac:dyDescent="0.5">
      <c r="A221">
        <v>9.4600000000003501E-2</v>
      </c>
      <c r="B221">
        <v>0.10210000000000372</v>
      </c>
      <c r="C221">
        <v>9.5300000000003521E-2</v>
      </c>
    </row>
    <row r="222" spans="1:3" x14ac:dyDescent="0.5">
      <c r="A222">
        <v>5.7400000000002442E-2</v>
      </c>
      <c r="B222">
        <v>9.3600000000003472E-2</v>
      </c>
      <c r="C222">
        <v>9.3800000000003478E-2</v>
      </c>
    </row>
    <row r="223" spans="1:3" x14ac:dyDescent="0.5">
      <c r="A223">
        <v>7.2400000000002865E-2</v>
      </c>
      <c r="B223">
        <v>8.900000000000334E-2</v>
      </c>
      <c r="C223">
        <v>9.980000000000365E-2</v>
      </c>
    </row>
    <row r="224" spans="1:3" x14ac:dyDescent="0.5">
      <c r="A224">
        <v>6.980000000000279E-2</v>
      </c>
      <c r="B224">
        <v>9.7200000000003575E-2</v>
      </c>
      <c r="C224">
        <v>8.3600000000003186E-2</v>
      </c>
    </row>
    <row r="225" spans="1:3" x14ac:dyDescent="0.5">
      <c r="A225">
        <v>7.8900000000003051E-2</v>
      </c>
      <c r="B225">
        <v>0.10940000000000392</v>
      </c>
      <c r="C225">
        <v>0.11100000000000397</v>
      </c>
    </row>
    <row r="226" spans="1:3" x14ac:dyDescent="0.5">
      <c r="A226">
        <v>6.6200000000002687E-2</v>
      </c>
      <c r="B226">
        <v>0.112200000000004</v>
      </c>
      <c r="C226">
        <v>0.10010000000000366</v>
      </c>
    </row>
    <row r="227" spans="1:3" x14ac:dyDescent="0.5">
      <c r="A227">
        <v>6.0100000000002519E-2</v>
      </c>
      <c r="B227">
        <v>9.1600000000003415E-2</v>
      </c>
      <c r="C227">
        <v>9.2200000000003432E-2</v>
      </c>
    </row>
    <row r="228" spans="1:3" x14ac:dyDescent="0.5">
      <c r="A228">
        <v>8.5700000000003246E-2</v>
      </c>
      <c r="B228">
        <v>0.13600000000000315</v>
      </c>
      <c r="C228">
        <v>0.11570000000000411</v>
      </c>
    </row>
    <row r="229" spans="1:3" x14ac:dyDescent="0.5">
      <c r="A229">
        <v>4.7499999999656595E-2</v>
      </c>
      <c r="B229">
        <v>0.10109999999953168</v>
      </c>
      <c r="C229">
        <v>9.7799999999539367E-2</v>
      </c>
    </row>
    <row r="230" spans="1:3" x14ac:dyDescent="0.5">
      <c r="A230">
        <v>8.2099999999575957E-2</v>
      </c>
      <c r="B230">
        <v>0.11869999999949066</v>
      </c>
      <c r="C230">
        <v>0.10969999999951163</v>
      </c>
    </row>
    <row r="231" spans="1:3" x14ac:dyDescent="0.5">
      <c r="A231">
        <v>6.5599999999614411E-2</v>
      </c>
      <c r="B231">
        <v>0.10819999999951513</v>
      </c>
      <c r="C231">
        <v>9.9699999999534938E-2</v>
      </c>
    </row>
    <row r="232" spans="1:3" x14ac:dyDescent="0.5">
      <c r="A232">
        <v>7.1799999999599962E-2</v>
      </c>
      <c r="B232">
        <v>0.12389999999947854</v>
      </c>
      <c r="C232">
        <v>0.12759999999946992</v>
      </c>
    </row>
    <row r="233" spans="1:3" x14ac:dyDescent="0.5">
      <c r="A233">
        <v>8.2099999999575957E-2</v>
      </c>
      <c r="B233">
        <v>0.10309999999952701</v>
      </c>
      <c r="C233">
        <v>0.10449999999952375</v>
      </c>
    </row>
    <row r="234" spans="1:3" x14ac:dyDescent="0.5">
      <c r="A234">
        <v>8.2599999999574791E-2</v>
      </c>
      <c r="B234">
        <v>9.3299999999549854E-2</v>
      </c>
      <c r="C234">
        <v>0.10519999999952212</v>
      </c>
    </row>
    <row r="235" spans="1:3" x14ac:dyDescent="0.5">
      <c r="A235">
        <v>7.5799999999590639E-2</v>
      </c>
      <c r="B235">
        <v>0.13169999999946036</v>
      </c>
      <c r="C235">
        <v>0.10629999999951956</v>
      </c>
    </row>
    <row r="236" spans="1:3" x14ac:dyDescent="0.5">
      <c r="A236">
        <v>9.0799999999555681E-2</v>
      </c>
      <c r="B236">
        <v>0.11019999999951047</v>
      </c>
      <c r="C236">
        <v>0.11259999999950487</v>
      </c>
    </row>
    <row r="237" spans="1:3" x14ac:dyDescent="0.5">
      <c r="A237">
        <v>7.6199999999589707E-2</v>
      </c>
      <c r="B237">
        <v>0.10739999999951699</v>
      </c>
      <c r="C237">
        <v>0.12239999999948203</v>
      </c>
    </row>
    <row r="238" spans="1:3" x14ac:dyDescent="0.5">
      <c r="A238">
        <v>6.4499999999616975E-2</v>
      </c>
      <c r="B238">
        <v>0.11869999999949066</v>
      </c>
      <c r="C238">
        <v>9.6099999999543328E-2</v>
      </c>
    </row>
    <row r="239" spans="1:3" x14ac:dyDescent="0.5">
      <c r="A239">
        <v>8.8399999999561274E-2</v>
      </c>
      <c r="B239">
        <v>9.4999999999545892E-2</v>
      </c>
      <c r="C239">
        <v>0.11139999999950767</v>
      </c>
    </row>
    <row r="240" spans="1:3" x14ac:dyDescent="0.5">
      <c r="A240">
        <v>6.0699999999625831E-2</v>
      </c>
      <c r="B240">
        <v>0.10089999999953214</v>
      </c>
      <c r="C240">
        <v>9.8799999999537036E-2</v>
      </c>
    </row>
    <row r="241" spans="1:3" x14ac:dyDescent="0.5">
      <c r="A241">
        <v>7.6299999999589474E-2</v>
      </c>
      <c r="B241">
        <v>0.11189999999950651</v>
      </c>
      <c r="C241">
        <v>0.11079999999950907</v>
      </c>
    </row>
    <row r="242" spans="1:3" x14ac:dyDescent="0.5">
      <c r="A242">
        <v>5.2499999999644942E-2</v>
      </c>
      <c r="B242">
        <v>0.11929999999948926</v>
      </c>
      <c r="C242">
        <v>0.1112999999995079</v>
      </c>
    </row>
    <row r="243" spans="1:3" x14ac:dyDescent="0.5">
      <c r="A243">
        <v>8.7499999999563371E-2</v>
      </c>
      <c r="B243">
        <v>8.55999999995678E-2</v>
      </c>
      <c r="C243">
        <v>9.309999999955032E-2</v>
      </c>
    </row>
    <row r="244" spans="1:3" x14ac:dyDescent="0.5">
      <c r="A244">
        <v>8.2299999999575491E-2</v>
      </c>
      <c r="B244">
        <v>0.10339999999952632</v>
      </c>
      <c r="C244">
        <v>0.10519999999952212</v>
      </c>
    </row>
    <row r="245" spans="1:3" x14ac:dyDescent="0.5">
      <c r="A245">
        <v>8.2899999999574092E-2</v>
      </c>
      <c r="B245">
        <v>0.12029999999948693</v>
      </c>
      <c r="C245">
        <v>0.11079999999950907</v>
      </c>
    </row>
    <row r="246" spans="1:3" x14ac:dyDescent="0.5">
      <c r="A246">
        <v>8.7199999999564071E-2</v>
      </c>
      <c r="B246">
        <v>0.10609999999952002</v>
      </c>
      <c r="C246">
        <v>0.11879999999949042</v>
      </c>
    </row>
    <row r="247" spans="1:3" x14ac:dyDescent="0.5">
      <c r="A247">
        <v>8.3500000000003544E-2</v>
      </c>
      <c r="B247">
        <v>0.11890000000000456</v>
      </c>
      <c r="C247">
        <v>0.11910000000000456</v>
      </c>
    </row>
    <row r="248" spans="1:3" x14ac:dyDescent="0.5">
      <c r="A248">
        <v>5.9300000000002857E-2</v>
      </c>
      <c r="B248">
        <v>9.5100000000003876E-2</v>
      </c>
      <c r="C248">
        <v>8.2500000000003515E-2</v>
      </c>
    </row>
    <row r="249" spans="1:3" x14ac:dyDescent="0.5">
      <c r="A249">
        <v>9.5399999962947069E-2</v>
      </c>
      <c r="B249">
        <v>9.0099999962946917E-2</v>
      </c>
      <c r="C249">
        <v>8.9699999962946905E-2</v>
      </c>
    </row>
    <row r="250" spans="1:3" x14ac:dyDescent="0.5">
      <c r="A250">
        <v>8.2099999962946688E-2</v>
      </c>
      <c r="B250">
        <v>0.1207999999629478</v>
      </c>
      <c r="C250">
        <v>0.11769999996294771</v>
      </c>
    </row>
    <row r="251" spans="1:3" x14ac:dyDescent="0.5">
      <c r="A251">
        <v>7.239999996294641E-2</v>
      </c>
      <c r="B251">
        <v>0.12039999996294778</v>
      </c>
      <c r="C251">
        <v>0.11679999996294768</v>
      </c>
    </row>
    <row r="252" spans="1:3" x14ac:dyDescent="0.5">
      <c r="A252">
        <v>7.3599999960615864E-2</v>
      </c>
      <c r="B252">
        <v>0.12349999996061729</v>
      </c>
      <c r="C252">
        <v>0.1270999999606171</v>
      </c>
    </row>
    <row r="253" spans="1:3" x14ac:dyDescent="0.5">
      <c r="A253">
        <v>8.6999999960616248E-2</v>
      </c>
      <c r="B253">
        <v>0.1343999999606163</v>
      </c>
      <c r="C253">
        <v>0.12779999996061703</v>
      </c>
    </row>
    <row r="254" spans="1:3" x14ac:dyDescent="0.5">
      <c r="A254">
        <v>7.9799999960616042E-2</v>
      </c>
      <c r="B254">
        <v>0.13329999996061642</v>
      </c>
      <c r="C254">
        <v>9.5999999960616506E-2</v>
      </c>
    </row>
    <row r="255" spans="1:3" x14ac:dyDescent="0.5">
      <c r="A255">
        <v>0.12129999996061723</v>
      </c>
      <c r="B255">
        <v>0.10099999996061665</v>
      </c>
      <c r="C255">
        <v>0.11229999996061697</v>
      </c>
    </row>
    <row r="256" spans="1:3" x14ac:dyDescent="0.5">
      <c r="A256">
        <v>8.2599999960616122E-2</v>
      </c>
      <c r="B256">
        <v>0.11599999996061708</v>
      </c>
      <c r="C256">
        <v>0.11079999996061693</v>
      </c>
    </row>
    <row r="257" spans="1:3" x14ac:dyDescent="0.5">
      <c r="A257">
        <v>8.6999999960616248E-2</v>
      </c>
      <c r="B257">
        <v>0.1027999999606167</v>
      </c>
      <c r="C257">
        <v>9.3199999960616425E-2</v>
      </c>
    </row>
    <row r="258" spans="1:3" x14ac:dyDescent="0.5">
      <c r="A258">
        <v>9.1499999960616377E-2</v>
      </c>
      <c r="B258">
        <v>0.10029999996061663</v>
      </c>
      <c r="C258">
        <v>8.9799999960616328E-2</v>
      </c>
    </row>
    <row r="259" spans="1:3" x14ac:dyDescent="0.5">
      <c r="A259">
        <v>6.8799999960615726E-2</v>
      </c>
      <c r="B259">
        <v>9.5599999960616494E-2</v>
      </c>
      <c r="C259">
        <v>0.10949999996061689</v>
      </c>
    </row>
    <row r="260" spans="1:3" x14ac:dyDescent="0.5">
      <c r="A260">
        <v>9.0199999960616339E-2</v>
      </c>
      <c r="B260">
        <v>0.10169999996061667</v>
      </c>
      <c r="C260">
        <v>9.7699999960616554E-2</v>
      </c>
    </row>
    <row r="261" spans="1:3" x14ac:dyDescent="0.5">
      <c r="A261">
        <v>6.2799999960615555E-2</v>
      </c>
      <c r="B261">
        <v>8.3099999960616136E-2</v>
      </c>
      <c r="C261">
        <v>8.6999999960616248E-2</v>
      </c>
    </row>
    <row r="262" spans="1:3" x14ac:dyDescent="0.5">
      <c r="A262">
        <v>9.0799999960616357E-2</v>
      </c>
      <c r="B262">
        <v>0.11249999996061698</v>
      </c>
      <c r="C262">
        <v>0.11089999996061693</v>
      </c>
    </row>
    <row r="263" spans="1:3" x14ac:dyDescent="0.5">
      <c r="A263">
        <v>6.8599999960615721E-2</v>
      </c>
      <c r="B263">
        <v>0.11999999996061719</v>
      </c>
      <c r="C263">
        <v>0.1252999999606173</v>
      </c>
    </row>
    <row r="264" spans="1:3" x14ac:dyDescent="0.5">
      <c r="A264">
        <v>8.1699999960616096E-2</v>
      </c>
      <c r="B264">
        <v>0.10369999996061673</v>
      </c>
      <c r="C264">
        <v>0.10609999996061679</v>
      </c>
    </row>
    <row r="265" spans="1:3" x14ac:dyDescent="0.5">
      <c r="A265">
        <v>9.5399999960616488E-2</v>
      </c>
      <c r="B265">
        <v>9.9599999960616609E-2</v>
      </c>
      <c r="C265">
        <v>0.10519999996061677</v>
      </c>
    </row>
    <row r="266" spans="1:3" x14ac:dyDescent="0.5">
      <c r="A266">
        <v>7.7499999962946556E-2</v>
      </c>
      <c r="B266">
        <v>0.10629999996294738</v>
      </c>
      <c r="C266">
        <v>0.10179999996294725</v>
      </c>
    </row>
    <row r="267" spans="1:3" x14ac:dyDescent="0.5">
      <c r="A267">
        <v>8.3899999962946739E-2</v>
      </c>
      <c r="B267">
        <v>0.1359999999629467</v>
      </c>
      <c r="C267">
        <v>0.10999999996294749</v>
      </c>
    </row>
    <row r="268" spans="1:3" x14ac:dyDescent="0.5">
      <c r="A268">
        <v>9.0499999962946928E-2</v>
      </c>
      <c r="B268">
        <v>9.4199999962947034E-2</v>
      </c>
      <c r="C268">
        <v>9.5899999962947083E-2</v>
      </c>
    </row>
    <row r="269" spans="1:3" x14ac:dyDescent="0.5">
      <c r="A269">
        <v>7.2199999962946404E-2</v>
      </c>
      <c r="B269">
        <v>0.10849999996294744</v>
      </c>
      <c r="C269">
        <v>0.1102999999629475</v>
      </c>
    </row>
    <row r="270" spans="1:3" x14ac:dyDescent="0.5">
      <c r="A270">
        <v>7.589999996294651E-2</v>
      </c>
      <c r="B270">
        <v>0.1070999999629474</v>
      </c>
      <c r="C270">
        <v>0.11619999996294766</v>
      </c>
    </row>
    <row r="271" spans="1:3" x14ac:dyDescent="0.5">
      <c r="A271">
        <v>0.10579999996294737</v>
      </c>
      <c r="B271">
        <v>0.10029999996294721</v>
      </c>
      <c r="C271">
        <v>0.12669999996294773</v>
      </c>
    </row>
    <row r="272" spans="1:3" x14ac:dyDescent="0.5">
      <c r="A272">
        <v>6.5199999962946203E-2</v>
      </c>
      <c r="B272">
        <v>8.9799999962946908E-2</v>
      </c>
      <c r="C272">
        <v>8.9799999962946908E-2</v>
      </c>
    </row>
    <row r="273" spans="1:9" x14ac:dyDescent="0.5">
      <c r="A273">
        <v>8.5899999962946796E-2</v>
      </c>
      <c r="B273">
        <v>0.11539999996294764</v>
      </c>
      <c r="C273">
        <v>0.1172999999629477</v>
      </c>
    </row>
    <row r="274" spans="1:9" x14ac:dyDescent="0.5">
      <c r="A274">
        <v>9.229999996294698E-2</v>
      </c>
      <c r="B274">
        <v>0.10639999996294738</v>
      </c>
      <c r="C274">
        <v>0.11149999996294753</v>
      </c>
    </row>
    <row r="275" spans="1:9" x14ac:dyDescent="0.5">
      <c r="A275">
        <v>6.8799999962946307E-2</v>
      </c>
      <c r="B275">
        <v>9.7499999962947129E-2</v>
      </c>
      <c r="C275">
        <v>0.1069999999629474</v>
      </c>
      <c r="D275">
        <v>6.8799999962946307E-2</v>
      </c>
      <c r="E275">
        <v>9.7499999962947129E-2</v>
      </c>
      <c r="F275">
        <v>0.1069999999629474</v>
      </c>
      <c r="G275">
        <v>0.10719999996294741</v>
      </c>
      <c r="H275">
        <v>8.9799999962946908E-2</v>
      </c>
      <c r="I275">
        <v>8.3199999962946719E-2</v>
      </c>
    </row>
    <row r="276" spans="1:9" x14ac:dyDescent="0.5">
      <c r="A276">
        <v>6.7499999962946269E-2</v>
      </c>
      <c r="B276">
        <v>9.7499999962947129E-2</v>
      </c>
      <c r="C276">
        <v>0.10119999996294723</v>
      </c>
      <c r="D276">
        <v>6.7499999962946269E-2</v>
      </c>
      <c r="E276">
        <v>9.7499999962947129E-2</v>
      </c>
      <c r="F276">
        <v>0.10119999996294723</v>
      </c>
      <c r="G276">
        <v>0.11009999996294749</v>
      </c>
      <c r="H276">
        <v>8.7399999962946839E-2</v>
      </c>
      <c r="I276">
        <v>8.7499999962946842E-2</v>
      </c>
    </row>
    <row r="277" spans="1:9" x14ac:dyDescent="0.5">
      <c r="A277">
        <v>7.1100000000002828E-2</v>
      </c>
      <c r="B277">
        <v>0.10090000000000368</v>
      </c>
      <c r="C277">
        <v>0.10190000000000371</v>
      </c>
      <c r="D277">
        <v>7.1100000000002828E-2</v>
      </c>
      <c r="E277">
        <v>0.10090000000000368</v>
      </c>
      <c r="F277">
        <v>0.10190000000000371</v>
      </c>
      <c r="G277">
        <v>0.11310000000000403</v>
      </c>
      <c r="H277">
        <v>0.10620000000000383</v>
      </c>
      <c r="I277">
        <v>9.8500000000003612E-2</v>
      </c>
    </row>
    <row r="278" spans="1:9" x14ac:dyDescent="0.5">
      <c r="A278">
        <v>9.1499999962946957E-2</v>
      </c>
      <c r="B278">
        <v>0.10249999996294727</v>
      </c>
      <c r="C278">
        <v>0.10779999996294742</v>
      </c>
    </row>
    <row r="279" spans="1:9" x14ac:dyDescent="0.5">
      <c r="A279">
        <v>6.8599999962946301E-2</v>
      </c>
      <c r="B279">
        <v>0.11199999996294754</v>
      </c>
      <c r="C279">
        <v>0.12189999996294783</v>
      </c>
      <c r="D279">
        <v>6.8599999962946301E-2</v>
      </c>
      <c r="E279">
        <v>0.11199999996294754</v>
      </c>
      <c r="F279">
        <v>0.12189999996294783</v>
      </c>
      <c r="G279">
        <v>0.11229999996294755</v>
      </c>
      <c r="H279">
        <v>8.8899999962946882E-2</v>
      </c>
      <c r="I279">
        <v>8.7699999962946848E-2</v>
      </c>
    </row>
    <row r="280" spans="1:9" x14ac:dyDescent="0.5">
      <c r="A280">
        <v>6.6699999962946246E-2</v>
      </c>
      <c r="B280">
        <v>0.10159999996294725</v>
      </c>
      <c r="C280">
        <v>0.10889999996294746</v>
      </c>
      <c r="D280">
        <v>6.6699999962946246E-2</v>
      </c>
      <c r="E280">
        <v>0.10159999996294725</v>
      </c>
      <c r="F280">
        <v>0.10889999996294746</v>
      </c>
      <c r="G280">
        <v>0.20749999996293883</v>
      </c>
      <c r="H280">
        <v>0.10409999996294732</v>
      </c>
      <c r="I280">
        <v>8.8099999962946859E-2</v>
      </c>
    </row>
    <row r="281" spans="1:9" x14ac:dyDescent="0.5">
      <c r="A281">
        <v>7.5700000000002959E-2</v>
      </c>
      <c r="B281">
        <v>0.10230000000000372</v>
      </c>
      <c r="C281">
        <v>0.1051000000000038</v>
      </c>
      <c r="D281">
        <v>7.5700000000002959E-2</v>
      </c>
      <c r="E281">
        <v>0.10230000000000372</v>
      </c>
      <c r="F281">
        <v>0.1051000000000038</v>
      </c>
      <c r="G281">
        <v>0.11030000000000395</v>
      </c>
      <c r="H281">
        <v>9.4000000000003484E-2</v>
      </c>
      <c r="I281">
        <v>9.1900000000003423E-2</v>
      </c>
    </row>
    <row r="282" spans="1:9" x14ac:dyDescent="0.5">
      <c r="A282">
        <v>7.2699999962946418E-2</v>
      </c>
      <c r="B282">
        <v>0.11899999996294774</v>
      </c>
      <c r="C282">
        <v>0.1103999999629475</v>
      </c>
      <c r="D282">
        <v>7.2699999962946418E-2</v>
      </c>
      <c r="E282">
        <v>0.11899999996294774</v>
      </c>
      <c r="F282">
        <v>0.1103999999629475</v>
      </c>
      <c r="G282">
        <v>0.11789999996294771</v>
      </c>
      <c r="H282">
        <v>0.1033999999629473</v>
      </c>
      <c r="I282">
        <v>0.10199999996294726</v>
      </c>
    </row>
    <row r="283" spans="1:9" x14ac:dyDescent="0.5">
      <c r="A283">
        <v>9.3300000000003463E-2</v>
      </c>
      <c r="B283">
        <v>0.11430000000000407</v>
      </c>
      <c r="C283">
        <v>0.1014000000000037</v>
      </c>
      <c r="D283">
        <v>9.3300000000003463E-2</v>
      </c>
      <c r="E283">
        <v>0.11430000000000407</v>
      </c>
      <c r="F283">
        <v>0.1014000000000037</v>
      </c>
      <c r="G283">
        <v>0.11400000000000406</v>
      </c>
      <c r="H283">
        <v>8.2900000000003166E-2</v>
      </c>
      <c r="I283">
        <v>8.9900000000003366E-2</v>
      </c>
    </row>
    <row r="284" spans="1:9" x14ac:dyDescent="0.5">
      <c r="A284">
        <v>7.780000000000302E-2</v>
      </c>
      <c r="B284">
        <v>9.3300000000003463E-2</v>
      </c>
      <c r="C284">
        <v>0.10920000000000392</v>
      </c>
      <c r="D284">
        <v>7.780000000000302E-2</v>
      </c>
      <c r="E284">
        <v>9.3300000000003463E-2</v>
      </c>
      <c r="F284">
        <v>0.10920000000000392</v>
      </c>
      <c r="G284">
        <v>0.1155000000000041</v>
      </c>
      <c r="H284">
        <v>8.6800000000003277E-2</v>
      </c>
      <c r="I284">
        <v>8.2800000000003163E-2</v>
      </c>
    </row>
    <row r="285" spans="1:9" x14ac:dyDescent="0.5">
      <c r="A285">
        <v>7.0000000000002796E-2</v>
      </c>
      <c r="B285">
        <v>0.11090000000000397</v>
      </c>
      <c r="C285">
        <v>0.10550000000000381</v>
      </c>
      <c r="D285">
        <v>7.0000000000002796E-2</v>
      </c>
      <c r="E285">
        <v>0.11090000000000397</v>
      </c>
      <c r="F285">
        <v>0.10550000000000381</v>
      </c>
      <c r="G285">
        <v>0.11530000000000409</v>
      </c>
      <c r="H285">
        <v>0.10910000000000392</v>
      </c>
      <c r="I285">
        <v>9.4900000000003509E-2</v>
      </c>
    </row>
    <row r="286" spans="1:9" x14ac:dyDescent="0.5">
      <c r="A286">
        <v>9.0800000000003392E-2</v>
      </c>
      <c r="B286">
        <v>0.11790000000000417</v>
      </c>
      <c r="C286">
        <v>0.11570000000000411</v>
      </c>
      <c r="D286">
        <v>9.0800000000003392E-2</v>
      </c>
      <c r="E286">
        <v>0.11790000000000417</v>
      </c>
      <c r="F286">
        <v>0.11570000000000411</v>
      </c>
      <c r="G286">
        <v>0.11610000000000412</v>
      </c>
      <c r="H286">
        <v>0.10390000000000377</v>
      </c>
      <c r="I286">
        <v>0.10200000000000371</v>
      </c>
    </row>
    <row r="287" spans="1:9" x14ac:dyDescent="0.5">
      <c r="A287">
        <v>5.6400000000002413E-2</v>
      </c>
      <c r="B287">
        <v>9.9300000000003635E-2</v>
      </c>
      <c r="C287">
        <v>0.10800000000000388</v>
      </c>
      <c r="D287">
        <v>5.6400000000002413E-2</v>
      </c>
      <c r="E287">
        <v>9.9300000000003635E-2</v>
      </c>
      <c r="F287">
        <v>0.10800000000000388</v>
      </c>
      <c r="G287">
        <v>9.7300000000003578E-2</v>
      </c>
      <c r="H287">
        <v>0.10530000000000381</v>
      </c>
      <c r="I287">
        <v>0.10230000000000372</v>
      </c>
    </row>
    <row r="288" spans="1:9" x14ac:dyDescent="0.5">
      <c r="A288">
        <v>5.4100000000002348E-2</v>
      </c>
      <c r="B288">
        <v>9.8300000000003607E-2</v>
      </c>
      <c r="C288">
        <v>0.1017000000000037</v>
      </c>
      <c r="D288">
        <v>5.4100000000002348E-2</v>
      </c>
      <c r="E288">
        <v>9.8300000000003607E-2</v>
      </c>
      <c r="F288">
        <v>0.1017000000000037</v>
      </c>
      <c r="G288">
        <v>0.10730000000000386</v>
      </c>
      <c r="H288">
        <v>8.6500000000003269E-2</v>
      </c>
      <c r="I288">
        <v>8.9800000000003363E-2</v>
      </c>
    </row>
    <row r="289" spans="1:9" x14ac:dyDescent="0.5">
      <c r="A289">
        <v>7.5400000000002951E-2</v>
      </c>
      <c r="B289">
        <v>0.1014000000000037</v>
      </c>
      <c r="C289">
        <v>0.1052000000000038</v>
      </c>
      <c r="D289">
        <v>7.5400000000002951E-2</v>
      </c>
      <c r="E289">
        <v>0.1014000000000037</v>
      </c>
      <c r="F289">
        <v>0.1052000000000038</v>
      </c>
      <c r="G289">
        <v>0.10330000000000375</v>
      </c>
      <c r="H289">
        <v>9.0100000000003372E-2</v>
      </c>
      <c r="I289">
        <v>8.5100000000003229E-2</v>
      </c>
    </row>
    <row r="290" spans="1:9" x14ac:dyDescent="0.5">
      <c r="A290">
        <v>5.4899999962945915E-2</v>
      </c>
      <c r="B290">
        <v>8.7399999962946839E-2</v>
      </c>
      <c r="C290">
        <v>0.11009999996294749</v>
      </c>
      <c r="D290">
        <v>5.4899999962945915E-2</v>
      </c>
      <c r="E290">
        <v>8.7399999962946839E-2</v>
      </c>
      <c r="F290">
        <v>0.11009999996294749</v>
      </c>
      <c r="G290">
        <v>0.17039999996294292</v>
      </c>
      <c r="H290">
        <v>9.8099999962947146E-2</v>
      </c>
      <c r="I290">
        <v>6.8199999962946289E-2</v>
      </c>
    </row>
    <row r="291" spans="1:9" x14ac:dyDescent="0.5">
      <c r="A291">
        <v>7.2199999962946404E-2</v>
      </c>
      <c r="B291">
        <v>0.13109999996294724</v>
      </c>
      <c r="C291">
        <v>9.1899999962946968E-2</v>
      </c>
    </row>
    <row r="292" spans="1:9" x14ac:dyDescent="0.5">
      <c r="A292">
        <v>7.2400000000002865E-2</v>
      </c>
      <c r="B292">
        <v>0.10480000000000379</v>
      </c>
      <c r="C292">
        <v>0.10280000000000374</v>
      </c>
      <c r="D292">
        <v>7.2400000000002865E-2</v>
      </c>
      <c r="E292">
        <v>0.10480000000000379</v>
      </c>
      <c r="F292">
        <v>0.10280000000000374</v>
      </c>
      <c r="G292">
        <v>0.11500000000000409</v>
      </c>
      <c r="H292">
        <v>8.3500000000003183E-2</v>
      </c>
      <c r="I292">
        <v>8.3300000000003177E-2</v>
      </c>
    </row>
    <row r="293" spans="1:9" x14ac:dyDescent="0.5">
      <c r="A293">
        <v>8.340000000000318E-2</v>
      </c>
      <c r="B293">
        <v>0.1050000000000038</v>
      </c>
      <c r="C293">
        <v>0.12840000000000398</v>
      </c>
      <c r="D293">
        <v>8.340000000000318E-2</v>
      </c>
      <c r="E293">
        <v>0.1050000000000038</v>
      </c>
      <c r="F293">
        <v>0.12840000000000398</v>
      </c>
      <c r="G293">
        <v>0.12630000000000421</v>
      </c>
      <c r="H293">
        <v>0.12380000000000434</v>
      </c>
      <c r="I293">
        <v>9.5700000000003532E-2</v>
      </c>
    </row>
    <row r="294" spans="1:9" x14ac:dyDescent="0.5">
      <c r="A294">
        <v>9.4800000000003506E-2</v>
      </c>
      <c r="B294">
        <v>0.11450000000000407</v>
      </c>
      <c r="C294">
        <v>0.11320000000000403</v>
      </c>
      <c r="D294">
        <v>9.4800000000003506E-2</v>
      </c>
      <c r="E294">
        <v>0.11450000000000407</v>
      </c>
      <c r="F294">
        <v>0.11320000000000403</v>
      </c>
      <c r="G294">
        <v>0.1292000000000039</v>
      </c>
      <c r="H294">
        <v>0.10400000000000377</v>
      </c>
      <c r="I294">
        <v>0.1017000000000037</v>
      </c>
    </row>
    <row r="295" spans="1:9" x14ac:dyDescent="0.5">
      <c r="A295">
        <v>6.560000000000267E-2</v>
      </c>
      <c r="B295">
        <v>9.6900000000003567E-2</v>
      </c>
      <c r="C295">
        <v>8.4200000000003203E-2</v>
      </c>
      <c r="D295">
        <v>6.560000000000267E-2</v>
      </c>
      <c r="E295">
        <v>9.6900000000003567E-2</v>
      </c>
      <c r="F295">
        <v>8.4200000000003203E-2</v>
      </c>
      <c r="G295">
        <v>0.10780000000000388</v>
      </c>
      <c r="H295">
        <v>9.11000000000034E-2</v>
      </c>
      <c r="I295">
        <v>8.8200000000003317E-2</v>
      </c>
    </row>
    <row r="296" spans="1:9" x14ac:dyDescent="0.5">
      <c r="A296">
        <v>8.9100000000003343E-2</v>
      </c>
      <c r="B296">
        <v>0.11260000000000402</v>
      </c>
      <c r="C296">
        <v>0.1190000000000042</v>
      </c>
      <c r="D296">
        <v>8.9100000000003343E-2</v>
      </c>
      <c r="E296">
        <v>0.11260000000000402</v>
      </c>
      <c r="F296">
        <v>0.1190000000000042</v>
      </c>
      <c r="G296">
        <v>0.1156000000000041</v>
      </c>
      <c r="H296">
        <v>0.12290000000000431</v>
      </c>
      <c r="I296">
        <v>9.770000000000359E-2</v>
      </c>
    </row>
    <row r="297" spans="1:9" x14ac:dyDescent="0.5">
      <c r="A297">
        <v>8.7800000000003306E-2</v>
      </c>
      <c r="B297">
        <v>0.13620000000000312</v>
      </c>
      <c r="C297">
        <v>0.1156000000000041</v>
      </c>
      <c r="D297">
        <v>8.7800000000003306E-2</v>
      </c>
      <c r="E297">
        <v>0.13620000000000312</v>
      </c>
      <c r="F297">
        <v>0.1156000000000041</v>
      </c>
      <c r="G297">
        <v>0.11600000000000411</v>
      </c>
      <c r="H297">
        <v>0.11570000000000411</v>
      </c>
      <c r="I297">
        <v>0.10220000000000372</v>
      </c>
    </row>
    <row r="298" spans="1:9" x14ac:dyDescent="0.5">
      <c r="A298">
        <v>0.10760000000000387</v>
      </c>
      <c r="B298">
        <v>0.10000000000000366</v>
      </c>
      <c r="C298">
        <v>0.11710000000000415</v>
      </c>
      <c r="D298">
        <v>0.10760000000000387</v>
      </c>
      <c r="E298">
        <v>0.10000000000000366</v>
      </c>
      <c r="F298">
        <v>0.11710000000000415</v>
      </c>
      <c r="G298">
        <v>0.12430000000000435</v>
      </c>
      <c r="H298">
        <v>0.11750000000000416</v>
      </c>
      <c r="I298">
        <v>0.10280000000000374</v>
      </c>
    </row>
    <row r="299" spans="1:9" x14ac:dyDescent="0.5">
      <c r="A299">
        <v>7.7600000000003014E-2</v>
      </c>
      <c r="B299">
        <v>0.10670000000000385</v>
      </c>
      <c r="C299">
        <v>0.1084000000000039</v>
      </c>
      <c r="D299">
        <v>7.7600000000003014E-2</v>
      </c>
      <c r="E299">
        <v>0.10670000000000385</v>
      </c>
      <c r="F299">
        <v>0.1084000000000039</v>
      </c>
      <c r="G299">
        <v>0.12040000000000424</v>
      </c>
      <c r="H299">
        <v>0.10120000000000369</v>
      </c>
      <c r="I299">
        <v>9.5500000000003527E-2</v>
      </c>
    </row>
    <row r="300" spans="1:9" x14ac:dyDescent="0.5">
      <c r="A300">
        <v>8.0200000000003088E-2</v>
      </c>
      <c r="B300">
        <v>0.10220000000000372</v>
      </c>
      <c r="C300">
        <v>0.10910000000000392</v>
      </c>
      <c r="D300">
        <v>8.0200000000003088E-2</v>
      </c>
      <c r="E300">
        <v>0.10220000000000372</v>
      </c>
      <c r="F300">
        <v>0.10910000000000392</v>
      </c>
      <c r="G300">
        <v>0.11730000000000415</v>
      </c>
      <c r="H300">
        <v>0.11730000000000415</v>
      </c>
      <c r="I300">
        <v>0.10040000000000367</v>
      </c>
    </row>
    <row r="301" spans="1:9" x14ac:dyDescent="0.5">
      <c r="A301">
        <v>9.1300000000003406E-2</v>
      </c>
      <c r="B301">
        <v>0.10820000000000389</v>
      </c>
      <c r="C301">
        <v>0.11070000000000396</v>
      </c>
      <c r="D301">
        <v>9.1300000000003406E-2</v>
      </c>
      <c r="E301">
        <v>0.10820000000000389</v>
      </c>
      <c r="F301">
        <v>0.11070000000000396</v>
      </c>
      <c r="G301">
        <v>0.12090000000000425</v>
      </c>
      <c r="H301">
        <v>0.11650000000000413</v>
      </c>
      <c r="I301">
        <v>0.10020000000000366</v>
      </c>
    </row>
    <row r="302" spans="1:9" x14ac:dyDescent="0.5">
      <c r="A302">
        <v>7.2300000000002862E-2</v>
      </c>
      <c r="B302">
        <v>9.6300000000003549E-2</v>
      </c>
      <c r="C302">
        <v>0.10890000000000391</v>
      </c>
      <c r="D302">
        <v>7.2300000000002862E-2</v>
      </c>
      <c r="E302">
        <v>9.6300000000003549E-2</v>
      </c>
      <c r="F302">
        <v>0.10890000000000391</v>
      </c>
      <c r="G302">
        <v>0.10600000000000383</v>
      </c>
      <c r="H302">
        <v>0.11310000000000403</v>
      </c>
      <c r="I302">
        <v>8.2800000000003163E-2</v>
      </c>
    </row>
    <row r="303" spans="1:9" x14ac:dyDescent="0.5">
      <c r="A303">
        <v>7.8800000000003048E-2</v>
      </c>
      <c r="B303">
        <v>9.7800000000003592E-2</v>
      </c>
      <c r="C303">
        <v>0.1017000000000037</v>
      </c>
      <c r="D303">
        <v>7.8800000000003048E-2</v>
      </c>
      <c r="E303">
        <v>9.7800000000003592E-2</v>
      </c>
      <c r="F303">
        <v>0.1017000000000037</v>
      </c>
      <c r="G303">
        <v>0.11240000000000401</v>
      </c>
      <c r="H303">
        <v>9.6000000000003541E-2</v>
      </c>
      <c r="I303">
        <v>9.1200000000003403E-2</v>
      </c>
    </row>
    <row r="304" spans="1:9" x14ac:dyDescent="0.5">
      <c r="A304">
        <v>8.0500000000003097E-2</v>
      </c>
      <c r="B304">
        <v>0.10450000000000378</v>
      </c>
      <c r="C304">
        <v>0.10370000000000376</v>
      </c>
      <c r="D304">
        <v>8.0500000000003097E-2</v>
      </c>
      <c r="E304">
        <v>0.10450000000000378</v>
      </c>
      <c r="F304">
        <v>0.10370000000000376</v>
      </c>
      <c r="G304">
        <v>0.11310000000000403</v>
      </c>
      <c r="H304">
        <v>9.1500000000003412E-2</v>
      </c>
      <c r="I304">
        <v>8.5100000000003229E-2</v>
      </c>
    </row>
    <row r="305" spans="1:9" x14ac:dyDescent="0.5">
      <c r="A305">
        <v>8.8800000000003335E-2</v>
      </c>
      <c r="B305">
        <v>0.10210000000000372</v>
      </c>
      <c r="C305">
        <v>0.11480000000000408</v>
      </c>
      <c r="D305">
        <v>8.8800000000003335E-2</v>
      </c>
      <c r="E305">
        <v>0.10210000000000372</v>
      </c>
      <c r="F305">
        <v>0.11480000000000408</v>
      </c>
      <c r="G305">
        <v>0.12680000000000416</v>
      </c>
      <c r="H305">
        <v>0.10960000000000393</v>
      </c>
      <c r="I305">
        <v>0.10820000000000389</v>
      </c>
    </row>
    <row r="306" spans="1:9" x14ac:dyDescent="0.5">
      <c r="A306">
        <v>9.6100000000003544E-2</v>
      </c>
      <c r="B306">
        <v>0.10830000000000389</v>
      </c>
      <c r="C306">
        <v>0.12280000000000431</v>
      </c>
      <c r="D306">
        <v>9.6100000000003544E-2</v>
      </c>
      <c r="E306">
        <v>0.10830000000000389</v>
      </c>
      <c r="F306">
        <v>0.12280000000000431</v>
      </c>
      <c r="G306">
        <v>0.32129999999998277</v>
      </c>
      <c r="H306">
        <v>0.12130000000000427</v>
      </c>
      <c r="I306">
        <v>7.9600000000003071E-2</v>
      </c>
    </row>
    <row r="307" spans="1:9" x14ac:dyDescent="0.5">
      <c r="A307">
        <v>0.10380000000000376</v>
      </c>
      <c r="B307">
        <v>9.8900000000003624E-2</v>
      </c>
      <c r="C307">
        <v>8.7900000000003309E-2</v>
      </c>
      <c r="D307">
        <v>0.10380000000000376</v>
      </c>
      <c r="E307">
        <v>9.8900000000003624E-2</v>
      </c>
      <c r="F307">
        <v>8.7900000000003309E-2</v>
      </c>
      <c r="G307">
        <v>0.12010000000000423</v>
      </c>
      <c r="H307">
        <v>7.920000000000306E-2</v>
      </c>
      <c r="I307">
        <v>7.850000000000304E-2</v>
      </c>
    </row>
    <row r="308" spans="1:9" x14ac:dyDescent="0.5">
      <c r="A308">
        <v>8.3200000000003174E-2</v>
      </c>
      <c r="B308">
        <v>0.12520000000000434</v>
      </c>
      <c r="C308">
        <v>0.11140000000000398</v>
      </c>
      <c r="D308">
        <v>8.3200000000003174E-2</v>
      </c>
      <c r="E308">
        <v>0.12520000000000434</v>
      </c>
      <c r="F308">
        <v>0.11140000000000398</v>
      </c>
      <c r="G308">
        <v>0.1155000000000041</v>
      </c>
      <c r="H308">
        <v>9.3500000000003469E-2</v>
      </c>
      <c r="I308">
        <v>8.8400000000003323E-2</v>
      </c>
    </row>
    <row r="309" spans="1:9" x14ac:dyDescent="0.5">
      <c r="A309">
        <v>7.9400000000003065E-2</v>
      </c>
      <c r="B309">
        <v>0.11940000000000421</v>
      </c>
      <c r="C309">
        <v>0.11830000000000418</v>
      </c>
      <c r="D309">
        <v>7.9400000000003065E-2</v>
      </c>
      <c r="E309">
        <v>0.11940000000000421</v>
      </c>
      <c r="F309">
        <v>0.11830000000000418</v>
      </c>
      <c r="G309">
        <v>0.12120000000000426</v>
      </c>
      <c r="H309">
        <v>0.11050000000000396</v>
      </c>
      <c r="I309">
        <v>0.10030000000000366</v>
      </c>
    </row>
    <row r="310" spans="1:9" x14ac:dyDescent="0.5">
      <c r="A310">
        <v>0.10819999996294744</v>
      </c>
      <c r="B310">
        <v>0.11649999996294767</v>
      </c>
      <c r="C310">
        <v>0.11779999996294771</v>
      </c>
    </row>
    <row r="311" spans="1:9" x14ac:dyDescent="0.5">
      <c r="A311">
        <v>0.1035999999629473</v>
      </c>
      <c r="B311">
        <v>0.1210999999629478</v>
      </c>
      <c r="C311">
        <v>0.10749999996294742</v>
      </c>
    </row>
    <row r="312" spans="1:9" x14ac:dyDescent="0.5">
      <c r="A312">
        <v>0.10419999996294732</v>
      </c>
      <c r="B312">
        <v>9.8299999962947152E-2</v>
      </c>
      <c r="C312">
        <v>9.8199999962947149E-2</v>
      </c>
    </row>
    <row r="313" spans="1:9" x14ac:dyDescent="0.5">
      <c r="A313">
        <v>0.10940000000000392</v>
      </c>
      <c r="B313">
        <v>0.12100000000000426</v>
      </c>
      <c r="C313">
        <v>9.1300000000003406E-2</v>
      </c>
      <c r="D313">
        <v>0.10940000000000392</v>
      </c>
      <c r="E313">
        <v>0.12100000000000426</v>
      </c>
      <c r="F313">
        <v>9.1300000000003406E-2</v>
      </c>
      <c r="G313">
        <v>0.11170000000000399</v>
      </c>
      <c r="H313">
        <v>0.12830000000000399</v>
      </c>
      <c r="I313">
        <v>0.10000000000000366</v>
      </c>
    </row>
    <row r="314" spans="1:9" x14ac:dyDescent="0.5">
      <c r="A314">
        <v>9.64999999629471E-2</v>
      </c>
      <c r="B314">
        <v>0.10779999996294742</v>
      </c>
      <c r="C314">
        <v>0.10649999996294739</v>
      </c>
    </row>
    <row r="315" spans="1:9" x14ac:dyDescent="0.5">
      <c r="A315">
        <v>8.200000000000314E-2</v>
      </c>
      <c r="B315">
        <v>0.11820000000000418</v>
      </c>
      <c r="C315">
        <v>0.11370000000000405</v>
      </c>
      <c r="D315">
        <v>8.200000000000314E-2</v>
      </c>
      <c r="E315">
        <v>0.11820000000000418</v>
      </c>
      <c r="F315">
        <v>0.11370000000000405</v>
      </c>
      <c r="G315">
        <v>0.26749999999998869</v>
      </c>
      <c r="H315">
        <v>0.11000000000000394</v>
      </c>
      <c r="I315">
        <v>0.11060000000000396</v>
      </c>
    </row>
    <row r="316" spans="1:9" x14ac:dyDescent="0.5">
      <c r="A316">
        <v>0.4589999999999676</v>
      </c>
      <c r="B316">
        <v>0.1015000000000037</v>
      </c>
      <c r="C316">
        <v>0.10720000000000386</v>
      </c>
      <c r="D316">
        <v>0.4589999999999676</v>
      </c>
      <c r="E316">
        <v>0.1015000000000037</v>
      </c>
      <c r="F316">
        <v>0.10720000000000386</v>
      </c>
      <c r="G316">
        <v>0.10550000000000381</v>
      </c>
      <c r="H316">
        <v>7.7100000000002999E-2</v>
      </c>
      <c r="I316">
        <v>8.1400000000003123E-2</v>
      </c>
    </row>
    <row r="317" spans="1:9" x14ac:dyDescent="0.5">
      <c r="A317">
        <v>7.6700000000002988E-2</v>
      </c>
      <c r="B317">
        <v>0.12180000000000428</v>
      </c>
      <c r="C317">
        <v>9.5600000000003529E-2</v>
      </c>
      <c r="D317">
        <v>7.6700000000002988E-2</v>
      </c>
      <c r="E317">
        <v>0.12180000000000428</v>
      </c>
      <c r="F317">
        <v>9.5600000000003529E-2</v>
      </c>
      <c r="G317">
        <v>0.10420000000000378</v>
      </c>
      <c r="H317">
        <v>0.10750000000000387</v>
      </c>
      <c r="I317">
        <v>9.9700000000003647E-2</v>
      </c>
    </row>
    <row r="318" spans="1:9" x14ac:dyDescent="0.5">
      <c r="A318">
        <v>8.1600000000003128E-2</v>
      </c>
      <c r="B318">
        <v>0.10090000000000368</v>
      </c>
      <c r="C318">
        <v>0.1050000000000038</v>
      </c>
      <c r="D318">
        <v>8.1600000000003128E-2</v>
      </c>
      <c r="E318">
        <v>0.10090000000000368</v>
      </c>
      <c r="F318">
        <v>0.1050000000000038</v>
      </c>
      <c r="G318">
        <v>0.11080000000000396</v>
      </c>
      <c r="H318">
        <v>8.7400000000003294E-2</v>
      </c>
      <c r="I318">
        <v>8.6600000000003272E-2</v>
      </c>
    </row>
    <row r="319" spans="1:9" x14ac:dyDescent="0.5">
      <c r="A319">
        <v>9.6900000000003567E-2</v>
      </c>
      <c r="B319">
        <v>0.10900000000000391</v>
      </c>
      <c r="C319">
        <v>9.910000000000363E-2</v>
      </c>
      <c r="D319">
        <v>9.6900000000003567E-2</v>
      </c>
      <c r="E319">
        <v>0.10900000000000391</v>
      </c>
      <c r="F319">
        <v>9.910000000000363E-2</v>
      </c>
      <c r="G319">
        <v>0.11980000000000422</v>
      </c>
      <c r="H319">
        <v>0.112200000000004</v>
      </c>
      <c r="I319">
        <v>9.8200000000003604E-2</v>
      </c>
    </row>
    <row r="320" spans="1:9" x14ac:dyDescent="0.5">
      <c r="A320">
        <v>9.1900000000003423E-2</v>
      </c>
      <c r="B320">
        <v>0.11880000000000419</v>
      </c>
      <c r="C320">
        <v>0.10650000000000384</v>
      </c>
      <c r="D320">
        <v>9.1900000000003423E-2</v>
      </c>
      <c r="E320">
        <v>0.11880000000000419</v>
      </c>
      <c r="F320">
        <v>0.10650000000000384</v>
      </c>
      <c r="G320">
        <v>0.10890000000000391</v>
      </c>
      <c r="H320">
        <v>9.840000000000361E-2</v>
      </c>
      <c r="I320">
        <v>8.7700000000003303E-2</v>
      </c>
    </row>
    <row r="321" spans="1:9" x14ac:dyDescent="0.5">
      <c r="A321">
        <v>7.9000000000003054E-2</v>
      </c>
      <c r="B321">
        <v>0.13760000000000297</v>
      </c>
      <c r="C321">
        <v>0.10760000000000387</v>
      </c>
      <c r="D321">
        <v>7.9000000000003054E-2</v>
      </c>
      <c r="E321">
        <v>0.13760000000000297</v>
      </c>
      <c r="F321">
        <v>0.10760000000000387</v>
      </c>
      <c r="G321">
        <v>0.11260000000000402</v>
      </c>
      <c r="H321">
        <v>8.1200000000003117E-2</v>
      </c>
      <c r="I321">
        <v>7.9600000000003071E-2</v>
      </c>
    </row>
    <row r="322" spans="1:9" x14ac:dyDescent="0.5">
      <c r="A322">
        <v>7.6500000000002982E-2</v>
      </c>
      <c r="B322">
        <v>0.10050000000000367</v>
      </c>
      <c r="C322">
        <v>0.10230000000000372</v>
      </c>
      <c r="D322">
        <v>7.6500000000002982E-2</v>
      </c>
      <c r="E322">
        <v>0.10050000000000367</v>
      </c>
      <c r="F322">
        <v>0.10230000000000372</v>
      </c>
      <c r="G322">
        <v>0.12010000000000423</v>
      </c>
      <c r="H322">
        <v>8.3900000000003194E-2</v>
      </c>
      <c r="I322">
        <v>0.11840000000000418</v>
      </c>
    </row>
    <row r="323" spans="1:9" x14ac:dyDescent="0.5">
      <c r="A323">
        <v>4.2400000000002012E-2</v>
      </c>
      <c r="B323">
        <v>0.10100000000000368</v>
      </c>
      <c r="C323">
        <v>9.3300000000003463E-2</v>
      </c>
      <c r="D323">
        <v>4.2400000000002012E-2</v>
      </c>
      <c r="E323">
        <v>0.10100000000000368</v>
      </c>
      <c r="F323">
        <v>9.3300000000003463E-2</v>
      </c>
      <c r="G323">
        <v>0.10290000000000374</v>
      </c>
      <c r="H323">
        <v>9.1500000000003412E-2</v>
      </c>
      <c r="I323">
        <v>8.0400000000003094E-2</v>
      </c>
    </row>
    <row r="324" spans="1:9" x14ac:dyDescent="0.5">
      <c r="A324">
        <v>8.7900000000003309E-2</v>
      </c>
      <c r="B324">
        <v>9.6100000000003544E-2</v>
      </c>
      <c r="C324">
        <v>0.10070000000000368</v>
      </c>
      <c r="D324">
        <v>8.7900000000003309E-2</v>
      </c>
      <c r="E324">
        <v>9.6100000000003544E-2</v>
      </c>
      <c r="F324">
        <v>0.10070000000000368</v>
      </c>
      <c r="G324">
        <v>0.10420000000000378</v>
      </c>
      <c r="H324">
        <v>0.10820000000000389</v>
      </c>
      <c r="I324">
        <v>0.10560000000000382</v>
      </c>
    </row>
    <row r="325" spans="1:9" x14ac:dyDescent="0.5">
      <c r="A325">
        <v>8.6000000000003254E-2</v>
      </c>
      <c r="B325">
        <v>9.3300000000003463E-2</v>
      </c>
      <c r="C325">
        <v>0.10120000000000369</v>
      </c>
      <c r="D325">
        <v>8.6000000000003254E-2</v>
      </c>
      <c r="E325">
        <v>9.3300000000003463E-2</v>
      </c>
      <c r="F325">
        <v>0.10120000000000369</v>
      </c>
      <c r="G325">
        <v>0.10620000000000383</v>
      </c>
      <c r="H325">
        <v>0.10750000000000387</v>
      </c>
      <c r="I325">
        <v>0.10590000000000382</v>
      </c>
    </row>
    <row r="326" spans="1:9" x14ac:dyDescent="0.5">
      <c r="A326">
        <v>8.2500000000003154E-2</v>
      </c>
      <c r="B326">
        <v>0.11410000000000406</v>
      </c>
      <c r="C326">
        <v>0.12220000000000429</v>
      </c>
      <c r="D326">
        <v>8.2500000000003154E-2</v>
      </c>
      <c r="E326">
        <v>0.11410000000000406</v>
      </c>
      <c r="F326">
        <v>0.12220000000000429</v>
      </c>
      <c r="G326">
        <v>0.12710000000000413</v>
      </c>
      <c r="H326">
        <v>0.11580000000000411</v>
      </c>
      <c r="I326">
        <v>0.10000000000000366</v>
      </c>
    </row>
    <row r="327" spans="1:9" x14ac:dyDescent="0.5">
      <c r="A327">
        <v>6.1800000000002568E-2</v>
      </c>
      <c r="B327">
        <v>0.10410000000000377</v>
      </c>
      <c r="C327">
        <v>0.1052000000000038</v>
      </c>
      <c r="D327">
        <v>6.1800000000002568E-2</v>
      </c>
      <c r="E327">
        <v>0.10410000000000377</v>
      </c>
      <c r="F327">
        <v>0.1052000000000038</v>
      </c>
      <c r="G327">
        <v>0.12360000000000433</v>
      </c>
      <c r="H327">
        <v>0.112100000000004</v>
      </c>
      <c r="I327">
        <v>0.11520000000000409</v>
      </c>
    </row>
    <row r="328" spans="1:9" x14ac:dyDescent="0.5">
      <c r="A328">
        <v>8.550000000000324E-2</v>
      </c>
      <c r="B328">
        <v>0.10640000000000384</v>
      </c>
      <c r="C328">
        <v>0.11150000000000398</v>
      </c>
      <c r="D328">
        <v>8.550000000000324E-2</v>
      </c>
      <c r="E328">
        <v>0.10640000000000384</v>
      </c>
      <c r="F328">
        <v>0.11150000000000398</v>
      </c>
      <c r="G328">
        <v>0.20399999999999566</v>
      </c>
      <c r="H328">
        <v>0.12270000000000431</v>
      </c>
      <c r="I328">
        <v>9.4200000000003489E-2</v>
      </c>
    </row>
    <row r="329" spans="1:9" x14ac:dyDescent="0.5">
      <c r="A329">
        <v>7.7100000000002999E-2</v>
      </c>
      <c r="B329">
        <v>0.10580000000000382</v>
      </c>
      <c r="C329">
        <v>0.12510000000000435</v>
      </c>
      <c r="D329">
        <v>7.7100000000002999E-2</v>
      </c>
      <c r="E329">
        <v>0.10580000000000382</v>
      </c>
      <c r="F329">
        <v>0.12510000000000435</v>
      </c>
      <c r="G329">
        <v>0.12230000000000429</v>
      </c>
      <c r="H329">
        <v>0.12120000000000426</v>
      </c>
      <c r="I329">
        <v>0.11720000000000415</v>
      </c>
    </row>
    <row r="330" spans="1:9" x14ac:dyDescent="0.5">
      <c r="A330">
        <v>0.12010000000000423</v>
      </c>
      <c r="B330">
        <v>0.14260000000000242</v>
      </c>
      <c r="C330">
        <v>0.13310000000000347</v>
      </c>
      <c r="D330">
        <v>0.12010000000000423</v>
      </c>
      <c r="E330">
        <v>0.14260000000000242</v>
      </c>
      <c r="F330">
        <v>0.13310000000000347</v>
      </c>
      <c r="G330">
        <v>0.12790000000000404</v>
      </c>
      <c r="H330">
        <v>0.12400000000000434</v>
      </c>
      <c r="I330">
        <v>0.11000000000000394</v>
      </c>
    </row>
    <row r="331" spans="1:9" x14ac:dyDescent="0.5">
      <c r="A331">
        <v>0.10240000000000372</v>
      </c>
      <c r="B331">
        <v>0.11590000000000411</v>
      </c>
      <c r="C331">
        <v>0.12430000000000435</v>
      </c>
      <c r="D331">
        <v>0.10240000000000372</v>
      </c>
      <c r="E331">
        <v>0.11590000000000411</v>
      </c>
      <c r="F331">
        <v>0.12430000000000435</v>
      </c>
      <c r="G331">
        <v>0.12380000000000434</v>
      </c>
      <c r="H331">
        <v>0.12850000000000397</v>
      </c>
      <c r="I331">
        <v>0.13030000000000377</v>
      </c>
    </row>
    <row r="332" spans="1:9" x14ac:dyDescent="0.5">
      <c r="A332">
        <v>8.200000000000314E-2</v>
      </c>
      <c r="B332">
        <v>0.12900000000000392</v>
      </c>
      <c r="C332">
        <v>0.12390000000000434</v>
      </c>
      <c r="D332">
        <v>8.200000000000314E-2</v>
      </c>
      <c r="E332">
        <v>0.12900000000000392</v>
      </c>
      <c r="F332">
        <v>0.12390000000000434</v>
      </c>
      <c r="G332">
        <v>0.20639999999999539</v>
      </c>
      <c r="H332">
        <v>0.10680000000000385</v>
      </c>
      <c r="I332">
        <v>0.10480000000000379</v>
      </c>
    </row>
    <row r="333" spans="1:9" x14ac:dyDescent="0.5">
      <c r="A333">
        <v>7.7600000000003014E-2</v>
      </c>
      <c r="B333">
        <v>9.4700000000003504E-2</v>
      </c>
      <c r="C333">
        <v>0.10610000000000383</v>
      </c>
      <c r="D333">
        <v>7.7600000000003014E-2</v>
      </c>
      <c r="E333">
        <v>9.4700000000003504E-2</v>
      </c>
      <c r="F333">
        <v>0.10610000000000383</v>
      </c>
      <c r="G333">
        <v>0.11230000000000401</v>
      </c>
      <c r="H333">
        <v>0.12010000000000423</v>
      </c>
      <c r="I333">
        <v>8.4500000000003211E-2</v>
      </c>
    </row>
    <row r="334" spans="1:9" x14ac:dyDescent="0.5">
      <c r="A334">
        <v>8.3700000000003189E-2</v>
      </c>
      <c r="B334">
        <v>0.10270000000000373</v>
      </c>
      <c r="C334">
        <v>9.5900000000003538E-2</v>
      </c>
      <c r="D334">
        <v>8.3700000000003189E-2</v>
      </c>
      <c r="E334">
        <v>0.10270000000000373</v>
      </c>
      <c r="F334">
        <v>9.5900000000003538E-2</v>
      </c>
      <c r="G334">
        <v>0.12540000000000431</v>
      </c>
      <c r="H334">
        <v>0.12880000000000394</v>
      </c>
      <c r="I334">
        <v>9.7900000000003595E-2</v>
      </c>
    </row>
    <row r="335" spans="1:9" x14ac:dyDescent="0.5">
      <c r="A335">
        <v>7.5700000000002959E-2</v>
      </c>
      <c r="B335">
        <v>0.10180000000000371</v>
      </c>
      <c r="C335">
        <v>0.10090000000000368</v>
      </c>
      <c r="D335">
        <v>7.5700000000002959E-2</v>
      </c>
      <c r="E335">
        <v>0.10180000000000371</v>
      </c>
      <c r="F335">
        <v>0.10090000000000368</v>
      </c>
      <c r="G335">
        <v>0.12370000000000433</v>
      </c>
      <c r="H335">
        <v>0.12600000000000425</v>
      </c>
      <c r="I335">
        <v>9.8200000000003604E-2</v>
      </c>
    </row>
    <row r="336" spans="1:9" x14ac:dyDescent="0.5">
      <c r="A336">
        <v>5.8500000000002474E-2</v>
      </c>
      <c r="B336">
        <v>0.10890000000000391</v>
      </c>
      <c r="C336">
        <v>0.10790000000000388</v>
      </c>
      <c r="D336">
        <v>5.8500000000002474E-2</v>
      </c>
      <c r="E336">
        <v>0.10890000000000391</v>
      </c>
      <c r="F336">
        <v>0.10790000000000388</v>
      </c>
      <c r="G336">
        <v>0.11610000000000412</v>
      </c>
      <c r="H336">
        <v>0.11610000000000412</v>
      </c>
      <c r="I336">
        <v>8.6600000000003272E-2</v>
      </c>
    </row>
    <row r="337" spans="1:9" x14ac:dyDescent="0.5">
      <c r="A337">
        <v>8.4600000000003214E-2</v>
      </c>
      <c r="B337">
        <v>0.10660000000000384</v>
      </c>
      <c r="C337">
        <v>0.10360000000000376</v>
      </c>
      <c r="D337">
        <v>8.4600000000003214E-2</v>
      </c>
      <c r="E337">
        <v>0.10660000000000384</v>
      </c>
      <c r="F337">
        <v>0.10360000000000376</v>
      </c>
      <c r="G337">
        <v>0.2471999999999909</v>
      </c>
      <c r="H337">
        <v>0.10480000000000379</v>
      </c>
      <c r="I337">
        <v>8.2300000000003148E-2</v>
      </c>
    </row>
    <row r="338" spans="1:9" x14ac:dyDescent="0.5">
      <c r="A338">
        <v>8.6800000000003277E-2</v>
      </c>
      <c r="B338">
        <v>0.10630000000000384</v>
      </c>
      <c r="C338">
        <v>0.10960000000000393</v>
      </c>
      <c r="D338">
        <v>8.6800000000003277E-2</v>
      </c>
      <c r="E338">
        <v>0.10630000000000384</v>
      </c>
      <c r="F338">
        <v>0.10960000000000393</v>
      </c>
      <c r="G338">
        <v>0.11590000000000411</v>
      </c>
      <c r="H338">
        <v>9.8600000000003615E-2</v>
      </c>
      <c r="I338">
        <v>9.4800000000003506E-2</v>
      </c>
    </row>
    <row r="339" spans="1:9" x14ac:dyDescent="0.5">
      <c r="A339">
        <v>9.4100000000003486E-2</v>
      </c>
      <c r="B339">
        <v>0.13610000000000314</v>
      </c>
      <c r="C339">
        <v>0.12980000000000383</v>
      </c>
      <c r="D339">
        <v>9.4100000000003486E-2</v>
      </c>
      <c r="E339">
        <v>0.13610000000000314</v>
      </c>
      <c r="F339">
        <v>0.12980000000000383</v>
      </c>
      <c r="G339">
        <v>0.12190000000000428</v>
      </c>
      <c r="H339">
        <v>0.11300000000000403</v>
      </c>
      <c r="I339">
        <v>0.10080000000000368</v>
      </c>
    </row>
    <row r="340" spans="1:9" x14ac:dyDescent="0.5">
      <c r="A340">
        <v>7.4900000000002936E-2</v>
      </c>
      <c r="B340">
        <v>0.11250000000000401</v>
      </c>
      <c r="C340">
        <v>0.112000000000004</v>
      </c>
      <c r="D340">
        <v>7.4900000000002936E-2</v>
      </c>
      <c r="E340">
        <v>0.11250000000000401</v>
      </c>
      <c r="F340">
        <v>0.112000000000004</v>
      </c>
      <c r="G340">
        <v>0.11410000000000406</v>
      </c>
      <c r="H340">
        <v>8.41000000000032E-2</v>
      </c>
      <c r="I340">
        <v>8.1800000000003134E-2</v>
      </c>
    </row>
    <row r="341" spans="1:9" x14ac:dyDescent="0.5">
      <c r="A341">
        <v>9.0700000000003389E-2</v>
      </c>
      <c r="B341">
        <v>0.13850000000000287</v>
      </c>
      <c r="C341">
        <v>0.11300000000000403</v>
      </c>
      <c r="D341">
        <v>9.0700000000003389E-2</v>
      </c>
      <c r="E341">
        <v>0.13850000000000287</v>
      </c>
      <c r="F341">
        <v>0.11300000000000403</v>
      </c>
      <c r="G341">
        <v>0.12780000000000405</v>
      </c>
      <c r="H341">
        <v>0.11700000000000414</v>
      </c>
      <c r="I341">
        <v>9.9900000000003653E-2</v>
      </c>
    </row>
    <row r="342" spans="1:9" x14ac:dyDescent="0.5">
      <c r="A342">
        <v>8.4500000000003211E-2</v>
      </c>
      <c r="B342">
        <v>0.12180000000000428</v>
      </c>
      <c r="C342">
        <v>0.12450000000000436</v>
      </c>
      <c r="D342">
        <v>8.4500000000003211E-2</v>
      </c>
      <c r="E342">
        <v>0.12180000000000428</v>
      </c>
      <c r="F342">
        <v>0.12450000000000436</v>
      </c>
      <c r="G342">
        <v>0.12540000000000431</v>
      </c>
      <c r="H342">
        <v>0.11990000000000423</v>
      </c>
      <c r="I342">
        <v>0.12280000000000431</v>
      </c>
    </row>
    <row r="343" spans="1:9" x14ac:dyDescent="0.5">
      <c r="A343">
        <v>9.8200000000003604E-2</v>
      </c>
      <c r="B343">
        <v>0.10240000000000372</v>
      </c>
      <c r="C343">
        <v>0.10400000000000377</v>
      </c>
      <c r="D343">
        <v>9.8200000000003604E-2</v>
      </c>
      <c r="E343">
        <v>0.10240000000000372</v>
      </c>
      <c r="F343">
        <v>0.10400000000000377</v>
      </c>
      <c r="G343">
        <v>0.10980000000000394</v>
      </c>
      <c r="H343">
        <v>0.10980000000000394</v>
      </c>
      <c r="I343">
        <v>8.5400000000003237E-2</v>
      </c>
    </row>
    <row r="344" spans="1:9" x14ac:dyDescent="0.5">
      <c r="A344">
        <v>7.3500000000002896E-2</v>
      </c>
      <c r="B344">
        <v>8.9200000000003346E-2</v>
      </c>
      <c r="C344">
        <v>0.10730000000000386</v>
      </c>
      <c r="D344">
        <v>7.3500000000002896E-2</v>
      </c>
      <c r="E344">
        <v>8.9200000000003346E-2</v>
      </c>
      <c r="F344">
        <v>0.10730000000000386</v>
      </c>
      <c r="G344">
        <v>0.22889999999999291</v>
      </c>
      <c r="H344">
        <v>0.10310000000000374</v>
      </c>
      <c r="I344">
        <v>8.7300000000003292E-2</v>
      </c>
    </row>
    <row r="345" spans="1:9" x14ac:dyDescent="0.5">
      <c r="A345">
        <v>9.2700000000003446E-2</v>
      </c>
      <c r="B345">
        <v>0.11850000000000419</v>
      </c>
      <c r="C345">
        <v>0.12270000000000431</v>
      </c>
      <c r="D345">
        <v>9.2700000000003446E-2</v>
      </c>
      <c r="E345">
        <v>0.11850000000000419</v>
      </c>
      <c r="F345">
        <v>0.12270000000000431</v>
      </c>
      <c r="G345">
        <v>0.11300000000000403</v>
      </c>
      <c r="H345">
        <v>0.11330000000000404</v>
      </c>
      <c r="I345">
        <v>0.10250000000000373</v>
      </c>
    </row>
    <row r="346" spans="1:9" x14ac:dyDescent="0.5">
      <c r="A346">
        <v>8.1800000000003134E-2</v>
      </c>
      <c r="B346">
        <v>0.10930000000000392</v>
      </c>
      <c r="C346">
        <v>0.10690000000000385</v>
      </c>
      <c r="D346">
        <v>8.1800000000003134E-2</v>
      </c>
      <c r="E346">
        <v>0.10930000000000392</v>
      </c>
      <c r="F346">
        <v>0.10690000000000385</v>
      </c>
      <c r="G346">
        <v>0.12480000000000437</v>
      </c>
      <c r="H346">
        <v>0.12010000000000423</v>
      </c>
      <c r="I346">
        <v>9.4600000000003501E-2</v>
      </c>
    </row>
    <row r="347" spans="1:9" x14ac:dyDescent="0.5">
      <c r="A347">
        <v>9.3200000000003461E-2</v>
      </c>
      <c r="B347">
        <v>0.11310000000000403</v>
      </c>
      <c r="C347">
        <v>0.11230000000000401</v>
      </c>
      <c r="D347">
        <v>9.3200000000003461E-2</v>
      </c>
      <c r="E347">
        <v>0.11310000000000403</v>
      </c>
      <c r="F347">
        <v>0.11230000000000401</v>
      </c>
      <c r="G347">
        <v>0.12600000000000425</v>
      </c>
      <c r="H347">
        <v>0.11480000000000408</v>
      </c>
      <c r="I347">
        <v>0.10400000000000377</v>
      </c>
    </row>
    <row r="348" spans="1:9" x14ac:dyDescent="0.5">
      <c r="A348">
        <v>7.7200000000003002E-2</v>
      </c>
      <c r="B348">
        <v>0.12070000000000425</v>
      </c>
      <c r="C348">
        <v>0.10630000000000384</v>
      </c>
      <c r="D348">
        <v>7.7200000000003002E-2</v>
      </c>
      <c r="E348">
        <v>0.12070000000000425</v>
      </c>
      <c r="F348">
        <v>0.10630000000000384</v>
      </c>
      <c r="G348">
        <v>0.10060000000000367</v>
      </c>
      <c r="H348">
        <v>0.11450000000000407</v>
      </c>
      <c r="I348">
        <v>0.11250000000000401</v>
      </c>
    </row>
    <row r="349" spans="1:9" x14ac:dyDescent="0.5">
      <c r="A349">
        <v>7.5700000000002959E-2</v>
      </c>
      <c r="B349">
        <v>0.11480000000000408</v>
      </c>
      <c r="C349">
        <v>0.11130000000000398</v>
      </c>
      <c r="D349">
        <v>7.5700000000002959E-2</v>
      </c>
      <c r="E349">
        <v>0.11480000000000408</v>
      </c>
      <c r="F349">
        <v>0.11130000000000398</v>
      </c>
      <c r="G349">
        <v>0.11310000000000403</v>
      </c>
      <c r="H349">
        <v>0.11780000000000417</v>
      </c>
      <c r="I349">
        <v>0.11330000000000404</v>
      </c>
    </row>
    <row r="350" spans="1:9" x14ac:dyDescent="0.5">
      <c r="A350">
        <v>9.0100000000003372E-2</v>
      </c>
      <c r="B350">
        <v>0.10760000000000387</v>
      </c>
      <c r="C350">
        <v>0.1052000000000038</v>
      </c>
      <c r="D350">
        <v>9.0100000000003372E-2</v>
      </c>
      <c r="E350">
        <v>0.10760000000000387</v>
      </c>
      <c r="F350">
        <v>0.1052000000000038</v>
      </c>
      <c r="G350">
        <v>0.12670000000000417</v>
      </c>
      <c r="H350">
        <v>0.10070000000000368</v>
      </c>
      <c r="I350">
        <v>9.9300000000003635E-2</v>
      </c>
    </row>
    <row r="351" spans="1:9" x14ac:dyDescent="0.5">
      <c r="A351">
        <v>9.2200000000003432E-2</v>
      </c>
      <c r="B351">
        <v>0.12000000000000423</v>
      </c>
      <c r="C351">
        <v>0.10610000000000383</v>
      </c>
      <c r="D351">
        <v>9.2200000000003432E-2</v>
      </c>
      <c r="E351">
        <v>0.12000000000000423</v>
      </c>
      <c r="F351">
        <v>0.10610000000000383</v>
      </c>
      <c r="G351">
        <v>0.26229999999998926</v>
      </c>
      <c r="H351">
        <v>0.11600000000000411</v>
      </c>
      <c r="I351">
        <v>0.10410000000000377</v>
      </c>
    </row>
    <row r="352" spans="1:9" x14ac:dyDescent="0.5">
      <c r="A352">
        <v>7.7700000000003017E-2</v>
      </c>
      <c r="B352">
        <v>0.12200000000000429</v>
      </c>
      <c r="C352">
        <v>0.10800000000000388</v>
      </c>
      <c r="D352">
        <v>7.7700000000003017E-2</v>
      </c>
      <c r="E352">
        <v>0.12200000000000429</v>
      </c>
      <c r="F352">
        <v>0.10800000000000388</v>
      </c>
      <c r="G352">
        <v>0.12430000000000435</v>
      </c>
      <c r="H352">
        <v>0.1156000000000041</v>
      </c>
      <c r="I352">
        <v>0.11280000000000402</v>
      </c>
    </row>
    <row r="353" spans="1:9" x14ac:dyDescent="0.5">
      <c r="A353">
        <v>9.4000000000003484E-2</v>
      </c>
      <c r="B353">
        <v>0.10400000000000377</v>
      </c>
      <c r="C353">
        <v>0.11360000000000404</v>
      </c>
      <c r="D353">
        <v>9.4000000000003484E-2</v>
      </c>
      <c r="E353">
        <v>0.10400000000000377</v>
      </c>
      <c r="F353">
        <v>0.11360000000000404</v>
      </c>
      <c r="G353">
        <v>0.12980000000000383</v>
      </c>
      <c r="H353">
        <v>0.11680000000000414</v>
      </c>
      <c r="I353">
        <v>0.10750000000000387</v>
      </c>
    </row>
    <row r="354" spans="1:9" x14ac:dyDescent="0.5">
      <c r="A354">
        <v>7.1700000000002845E-2</v>
      </c>
      <c r="B354">
        <v>0.10960000000000393</v>
      </c>
      <c r="C354">
        <v>0.11850000000000419</v>
      </c>
      <c r="D354">
        <v>7.1700000000002845E-2</v>
      </c>
      <c r="E354">
        <v>0.10960000000000393</v>
      </c>
      <c r="F354">
        <v>0.11850000000000419</v>
      </c>
      <c r="G354">
        <v>0.11630000000000412</v>
      </c>
      <c r="H354">
        <v>0.10960000000000393</v>
      </c>
      <c r="I354">
        <v>9.3000000000003455E-2</v>
      </c>
    </row>
    <row r="355" spans="1:9" x14ac:dyDescent="0.5">
      <c r="A355">
        <v>9.5800000000003535E-2</v>
      </c>
      <c r="B355">
        <v>0.13990000000000272</v>
      </c>
      <c r="C355">
        <v>0.10750000000000387</v>
      </c>
      <c r="D355">
        <v>9.5800000000003535E-2</v>
      </c>
      <c r="E355">
        <v>0.13990000000000272</v>
      </c>
      <c r="F355">
        <v>0.10750000000000387</v>
      </c>
      <c r="G355">
        <v>0.12050000000000424</v>
      </c>
      <c r="H355">
        <v>0.12080000000000425</v>
      </c>
      <c r="I355">
        <v>0.1051000000000038</v>
      </c>
    </row>
    <row r="356" spans="1:9" x14ac:dyDescent="0.5">
      <c r="A356">
        <v>8.1800000000003134E-2</v>
      </c>
      <c r="B356">
        <v>0.12720000000000412</v>
      </c>
      <c r="C356">
        <v>0.12080000000000425</v>
      </c>
      <c r="D356">
        <v>8.1800000000003134E-2</v>
      </c>
      <c r="E356">
        <v>0.12720000000000412</v>
      </c>
      <c r="F356">
        <v>0.12080000000000425</v>
      </c>
      <c r="G356">
        <v>0.11710000000000415</v>
      </c>
      <c r="H356">
        <v>0.10960000000000393</v>
      </c>
      <c r="I356">
        <v>0.1155000000000041</v>
      </c>
    </row>
    <row r="357" spans="1:9" x14ac:dyDescent="0.5">
      <c r="A357">
        <v>8.270000000000316E-2</v>
      </c>
      <c r="B357">
        <v>0.10320000000000375</v>
      </c>
      <c r="C357">
        <v>0.10960000000000393</v>
      </c>
      <c r="D357">
        <v>8.270000000000316E-2</v>
      </c>
      <c r="E357">
        <v>0.10320000000000375</v>
      </c>
      <c r="F357">
        <v>0.10960000000000393</v>
      </c>
      <c r="G357">
        <v>0.12950000000000386</v>
      </c>
      <c r="H357">
        <v>0.11800000000000417</v>
      </c>
      <c r="I357">
        <v>0.10320000000000375</v>
      </c>
    </row>
    <row r="358" spans="1:9" x14ac:dyDescent="0.5">
      <c r="A358">
        <v>8.7100000000003286E-2</v>
      </c>
      <c r="B358">
        <v>9.5700000000003532E-2</v>
      </c>
      <c r="C358">
        <v>0.112100000000004</v>
      </c>
      <c r="D358">
        <v>8.7100000000003286E-2</v>
      </c>
      <c r="E358">
        <v>9.5700000000003532E-2</v>
      </c>
      <c r="F358">
        <v>0.112100000000004</v>
      </c>
      <c r="G358">
        <v>0.29479999999998568</v>
      </c>
      <c r="H358">
        <v>0.11140000000000398</v>
      </c>
      <c r="I358">
        <v>9.1000000000003398E-2</v>
      </c>
    </row>
    <row r="359" spans="1:9" x14ac:dyDescent="0.5">
      <c r="A359">
        <v>7.9100000000003057E-2</v>
      </c>
      <c r="B359">
        <v>9.6900000000003567E-2</v>
      </c>
      <c r="C359">
        <v>0.1084000000000039</v>
      </c>
      <c r="D359">
        <v>7.9100000000003057E-2</v>
      </c>
      <c r="E359">
        <v>9.6900000000003567E-2</v>
      </c>
      <c r="F359">
        <v>0.1084000000000039</v>
      </c>
      <c r="G359">
        <v>0.11090000000000397</v>
      </c>
      <c r="H359">
        <v>8.2500000000003154E-2</v>
      </c>
      <c r="I359">
        <v>7.4900000000002936E-2</v>
      </c>
    </row>
    <row r="360" spans="1:9" x14ac:dyDescent="0.5">
      <c r="A360">
        <v>9.0600000000003386E-2</v>
      </c>
      <c r="B360">
        <v>9.7200000000003575E-2</v>
      </c>
      <c r="C360">
        <v>0.10010000000000366</v>
      </c>
      <c r="D360">
        <v>9.0600000000003386E-2</v>
      </c>
      <c r="E360">
        <v>9.7200000000003575E-2</v>
      </c>
      <c r="F360">
        <v>0.10010000000000366</v>
      </c>
      <c r="G360">
        <v>0.23409999999999234</v>
      </c>
      <c r="H360">
        <v>0.12100000000000426</v>
      </c>
      <c r="I360">
        <v>9.7900000000003595E-2</v>
      </c>
    </row>
    <row r="361" spans="1:9" x14ac:dyDescent="0.5">
      <c r="A361">
        <v>6.8300000000002747E-2</v>
      </c>
      <c r="B361">
        <v>0.11920000000000421</v>
      </c>
      <c r="C361">
        <v>0.11810000000000417</v>
      </c>
      <c r="D361">
        <v>6.8300000000002747E-2</v>
      </c>
      <c r="E361">
        <v>0.11920000000000421</v>
      </c>
      <c r="F361">
        <v>0.11810000000000417</v>
      </c>
      <c r="G361">
        <v>0.12360000000000433</v>
      </c>
      <c r="H361">
        <v>0.10730000000000386</v>
      </c>
      <c r="I361">
        <v>0.10210000000000372</v>
      </c>
    </row>
    <row r="362" spans="1:9" x14ac:dyDescent="0.5">
      <c r="A362">
        <v>6.9200000000002773E-2</v>
      </c>
      <c r="B362">
        <v>0.13510000000000325</v>
      </c>
      <c r="C362">
        <v>8.5300000000003234E-2</v>
      </c>
      <c r="D362">
        <v>6.9200000000002773E-2</v>
      </c>
      <c r="E362">
        <v>0.13510000000000325</v>
      </c>
      <c r="F362">
        <v>8.5300000000003234E-2</v>
      </c>
      <c r="G362">
        <v>0.11570000000000411</v>
      </c>
      <c r="H362">
        <v>0.10880000000000391</v>
      </c>
      <c r="I362">
        <v>8.9200000000003346E-2</v>
      </c>
    </row>
    <row r="363" spans="1:9" x14ac:dyDescent="0.5">
      <c r="A363">
        <v>6.6600000000002699E-2</v>
      </c>
      <c r="B363">
        <v>0.11630000000000412</v>
      </c>
      <c r="C363">
        <v>0.10360000000000376</v>
      </c>
      <c r="D363">
        <v>6.6600000000002699E-2</v>
      </c>
      <c r="E363">
        <v>0.11630000000000412</v>
      </c>
      <c r="F363">
        <v>0.10360000000000376</v>
      </c>
      <c r="G363">
        <v>0.11370000000000405</v>
      </c>
      <c r="H363">
        <v>9.6100000000003544E-2</v>
      </c>
      <c r="I363">
        <v>9.0000000000003369E-2</v>
      </c>
    </row>
    <row r="364" spans="1:9" x14ac:dyDescent="0.5">
      <c r="A364">
        <v>7.8800000000003048E-2</v>
      </c>
      <c r="B364">
        <v>0.12440000000000435</v>
      </c>
      <c r="C364">
        <v>0.10020000000000366</v>
      </c>
      <c r="D364">
        <v>7.8800000000003048E-2</v>
      </c>
      <c r="E364">
        <v>0.12440000000000435</v>
      </c>
      <c r="F364">
        <v>0.10020000000000366</v>
      </c>
      <c r="G364">
        <v>0.10780000000000388</v>
      </c>
      <c r="H364">
        <v>0.10230000000000372</v>
      </c>
      <c r="I364">
        <v>0.10430000000000378</v>
      </c>
    </row>
    <row r="365" spans="1:9" x14ac:dyDescent="0.5">
      <c r="A365">
        <v>7.5200000000002945E-2</v>
      </c>
      <c r="B365">
        <v>0.11070000000000396</v>
      </c>
      <c r="C365">
        <v>0.11000000000000394</v>
      </c>
      <c r="D365">
        <v>7.5200000000002945E-2</v>
      </c>
      <c r="E365">
        <v>0.11070000000000396</v>
      </c>
      <c r="F365">
        <v>0.11000000000000394</v>
      </c>
      <c r="G365">
        <v>0.12060000000000425</v>
      </c>
      <c r="H365">
        <v>0.11090000000000397</v>
      </c>
      <c r="I365">
        <v>9.6900000000003567E-2</v>
      </c>
    </row>
    <row r="366" spans="1:9" x14ac:dyDescent="0.5">
      <c r="A366">
        <v>7.050000000000281E-2</v>
      </c>
      <c r="B366">
        <v>8.690000000000328E-2</v>
      </c>
      <c r="C366">
        <v>9.7600000000003587E-2</v>
      </c>
      <c r="D366">
        <v>7.050000000000281E-2</v>
      </c>
      <c r="E366">
        <v>8.690000000000328E-2</v>
      </c>
      <c r="F366">
        <v>9.7600000000003587E-2</v>
      </c>
      <c r="G366">
        <v>0.23699999999999202</v>
      </c>
      <c r="H366">
        <v>0.10990000000000394</v>
      </c>
      <c r="I366">
        <v>0.10910000000000392</v>
      </c>
    </row>
    <row r="367" spans="1:9" x14ac:dyDescent="0.5">
      <c r="A367">
        <v>0.11020000000000395</v>
      </c>
      <c r="B367">
        <v>0.13330000000000344</v>
      </c>
      <c r="C367">
        <v>0.1346000000000033</v>
      </c>
      <c r="D367">
        <v>0.11020000000000395</v>
      </c>
      <c r="E367">
        <v>0.13330000000000344</v>
      </c>
      <c r="F367">
        <v>0.1346000000000033</v>
      </c>
      <c r="G367">
        <v>0.11170000000000399</v>
      </c>
      <c r="H367">
        <v>0.10180000000000371</v>
      </c>
      <c r="I367">
        <v>0.11640000000000413</v>
      </c>
    </row>
    <row r="368" spans="1:9" x14ac:dyDescent="0.5">
      <c r="A368">
        <v>0.11710000000000415</v>
      </c>
      <c r="B368">
        <v>0.12700000000000414</v>
      </c>
      <c r="C368">
        <v>0.13700000000000304</v>
      </c>
      <c r="D368">
        <v>0.11710000000000415</v>
      </c>
      <c r="E368">
        <v>0.12700000000000414</v>
      </c>
      <c r="F368">
        <v>0.13700000000000304</v>
      </c>
      <c r="G368">
        <v>0.12770000000000406</v>
      </c>
      <c r="H368">
        <v>0.12760000000000407</v>
      </c>
      <c r="I368">
        <v>0.11630000000000412</v>
      </c>
    </row>
    <row r="369" spans="1:9" x14ac:dyDescent="0.5">
      <c r="A369">
        <v>7.6200000000002974E-2</v>
      </c>
      <c r="B369">
        <v>0.10460000000000379</v>
      </c>
      <c r="C369">
        <v>0.10650000000000384</v>
      </c>
      <c r="D369">
        <v>7.6200000000002974E-2</v>
      </c>
      <c r="E369">
        <v>0.10460000000000379</v>
      </c>
      <c r="F369">
        <v>0.10650000000000384</v>
      </c>
      <c r="G369">
        <v>0.12090000000000425</v>
      </c>
      <c r="H369">
        <v>0.12700000000000414</v>
      </c>
      <c r="I369">
        <v>9.8100000000003601E-2</v>
      </c>
    </row>
    <row r="370" spans="1:9" x14ac:dyDescent="0.5">
      <c r="A370">
        <v>7.2900000000002879E-2</v>
      </c>
      <c r="B370">
        <v>9.7600000000003587E-2</v>
      </c>
      <c r="C370">
        <v>0.10570000000000382</v>
      </c>
      <c r="D370">
        <v>7.2900000000002879E-2</v>
      </c>
      <c r="E370">
        <v>9.7600000000003587E-2</v>
      </c>
      <c r="F370">
        <v>0.10570000000000382</v>
      </c>
      <c r="G370">
        <v>0.11080000000000396</v>
      </c>
      <c r="H370">
        <v>0.11780000000000417</v>
      </c>
      <c r="I370">
        <v>0.11700000000000414</v>
      </c>
    </row>
    <row r="371" spans="1:9" x14ac:dyDescent="0.5">
      <c r="A371">
        <v>9.2200000000003432E-2</v>
      </c>
      <c r="B371">
        <v>0.10350000000000376</v>
      </c>
      <c r="C371">
        <v>0.12120000000000426</v>
      </c>
      <c r="D371">
        <v>9.2200000000003432E-2</v>
      </c>
      <c r="E371">
        <v>0.10350000000000376</v>
      </c>
      <c r="F371">
        <v>0.12120000000000426</v>
      </c>
      <c r="G371">
        <v>0.10610000000000383</v>
      </c>
      <c r="H371">
        <v>8.6600000000003272E-2</v>
      </c>
      <c r="I371">
        <v>8.2100000000003143E-2</v>
      </c>
    </row>
    <row r="372" spans="1:9" x14ac:dyDescent="0.5">
      <c r="A372">
        <v>6.9900000000002793E-2</v>
      </c>
      <c r="B372">
        <v>0.10960000000000393</v>
      </c>
      <c r="C372">
        <v>0.10390000000000377</v>
      </c>
      <c r="D372">
        <v>6.9900000000002793E-2</v>
      </c>
      <c r="E372">
        <v>0.10960000000000393</v>
      </c>
      <c r="F372">
        <v>0.10390000000000377</v>
      </c>
      <c r="G372">
        <v>0.24009999999999168</v>
      </c>
      <c r="H372">
        <v>9.9200000000003632E-2</v>
      </c>
      <c r="I372">
        <v>0.10540000000000381</v>
      </c>
    </row>
    <row r="373" spans="1:9" x14ac:dyDescent="0.5">
      <c r="A373">
        <v>6.7200000000002716E-2</v>
      </c>
      <c r="B373">
        <v>9.3100000000003458E-2</v>
      </c>
      <c r="C373">
        <v>9.6200000000003547E-2</v>
      </c>
      <c r="D373">
        <v>6.7200000000002716E-2</v>
      </c>
      <c r="E373">
        <v>9.3100000000003458E-2</v>
      </c>
      <c r="F373">
        <v>9.6200000000003547E-2</v>
      </c>
      <c r="G373">
        <v>0.13560000000000319</v>
      </c>
      <c r="H373">
        <v>0.12510000000000435</v>
      </c>
      <c r="I373">
        <v>8.8800000000003335E-2</v>
      </c>
    </row>
    <row r="374" spans="1:9" x14ac:dyDescent="0.5">
      <c r="A374">
        <v>7.3500000000002896E-2</v>
      </c>
      <c r="B374">
        <v>0.13650000000000309</v>
      </c>
      <c r="C374">
        <v>0.12660000000000418</v>
      </c>
      <c r="D374">
        <v>7.3500000000002896E-2</v>
      </c>
      <c r="E374">
        <v>0.13650000000000309</v>
      </c>
      <c r="F374">
        <v>0.12660000000000418</v>
      </c>
      <c r="G374">
        <v>0.12720000000000412</v>
      </c>
      <c r="H374">
        <v>9.4200000000003489E-2</v>
      </c>
      <c r="I374">
        <v>9.040000000000338E-2</v>
      </c>
    </row>
    <row r="375" spans="1:9" x14ac:dyDescent="0.5">
      <c r="A375">
        <v>0.11110000000000397</v>
      </c>
      <c r="B375">
        <v>0.10600000000000383</v>
      </c>
      <c r="C375">
        <v>0.11460000000000407</v>
      </c>
      <c r="D375">
        <v>0.11110000000000397</v>
      </c>
      <c r="E375">
        <v>0.10600000000000383</v>
      </c>
      <c r="F375">
        <v>0.11460000000000407</v>
      </c>
      <c r="G375">
        <v>0.12200000000000429</v>
      </c>
      <c r="H375">
        <v>0.13670000000000307</v>
      </c>
      <c r="I375">
        <v>0.10410000000000377</v>
      </c>
    </row>
    <row r="376" spans="1:9" x14ac:dyDescent="0.5">
      <c r="A376">
        <v>8.8400000000003323E-2</v>
      </c>
      <c r="B376">
        <v>0.10270000000000373</v>
      </c>
      <c r="C376">
        <v>0.10580000000000382</v>
      </c>
      <c r="D376">
        <v>8.8400000000003323E-2</v>
      </c>
      <c r="E376">
        <v>0.10270000000000373</v>
      </c>
      <c r="F376">
        <v>0.10580000000000382</v>
      </c>
      <c r="G376">
        <v>0.12510000000000435</v>
      </c>
      <c r="H376">
        <v>0.11240000000000401</v>
      </c>
      <c r="I376">
        <v>0.1084000000000039</v>
      </c>
    </row>
    <row r="377" spans="1:9" x14ac:dyDescent="0.5">
      <c r="A377">
        <v>6.9700000000002788E-2</v>
      </c>
      <c r="B377">
        <v>0.14310000000000236</v>
      </c>
      <c r="C377">
        <v>0.10210000000000372</v>
      </c>
      <c r="D377">
        <v>6.9700000000002788E-2</v>
      </c>
      <c r="E377">
        <v>0.14310000000000236</v>
      </c>
      <c r="F377">
        <v>0.10210000000000372</v>
      </c>
      <c r="G377">
        <v>0.11970000000000422</v>
      </c>
      <c r="H377">
        <v>0.1017000000000037</v>
      </c>
      <c r="I377">
        <v>9.1500000000003412E-2</v>
      </c>
    </row>
    <row r="378" spans="1:9" x14ac:dyDescent="0.5">
      <c r="A378">
        <v>8.1700000000003131E-2</v>
      </c>
      <c r="B378">
        <v>0.12500000000000436</v>
      </c>
      <c r="C378">
        <v>0.11020000000000395</v>
      </c>
      <c r="D378">
        <v>8.1700000000003131E-2</v>
      </c>
      <c r="E378">
        <v>0.12500000000000436</v>
      </c>
      <c r="F378">
        <v>0.11020000000000395</v>
      </c>
      <c r="G378">
        <v>0.11080000000000396</v>
      </c>
      <c r="H378">
        <v>9.5600000000003529E-2</v>
      </c>
      <c r="I378">
        <v>8.8100000000003315E-2</v>
      </c>
    </row>
    <row r="379" spans="1:9" x14ac:dyDescent="0.5">
      <c r="A379">
        <v>9.0000000000003369E-2</v>
      </c>
      <c r="B379">
        <v>0.1190000000000042</v>
      </c>
      <c r="C379">
        <v>0.1225000000000043</v>
      </c>
      <c r="D379">
        <v>9.0000000000003369E-2</v>
      </c>
      <c r="E379">
        <v>0.1190000000000042</v>
      </c>
      <c r="F379">
        <v>0.1225000000000043</v>
      </c>
      <c r="G379">
        <v>0.12390000000000434</v>
      </c>
      <c r="H379">
        <v>0.11090000000000397</v>
      </c>
      <c r="I379">
        <v>0.10940000000000392</v>
      </c>
    </row>
    <row r="380" spans="1:9" x14ac:dyDescent="0.5">
      <c r="A380">
        <v>9.8300000000003607E-2</v>
      </c>
      <c r="B380">
        <v>0.10660000000000384</v>
      </c>
      <c r="C380">
        <v>0.10770000000000388</v>
      </c>
      <c r="D380">
        <v>9.8300000000003607E-2</v>
      </c>
      <c r="E380">
        <v>0.10660000000000384</v>
      </c>
      <c r="F380">
        <v>0.10770000000000388</v>
      </c>
      <c r="G380">
        <v>0.12810000000000402</v>
      </c>
      <c r="H380">
        <v>9.7400000000003581E-2</v>
      </c>
      <c r="I380">
        <v>9.0100000000003372E-2</v>
      </c>
    </row>
    <row r="381" spans="1:9" x14ac:dyDescent="0.5">
      <c r="A381">
        <v>8.3600000000003186E-2</v>
      </c>
      <c r="B381">
        <v>0.10390000000000377</v>
      </c>
      <c r="C381">
        <v>0.10230000000000372</v>
      </c>
      <c r="D381">
        <v>8.3600000000003186E-2</v>
      </c>
      <c r="E381">
        <v>0.10390000000000377</v>
      </c>
      <c r="F381">
        <v>0.10230000000000372</v>
      </c>
      <c r="G381">
        <v>5.0300000000002239E-2</v>
      </c>
      <c r="H381">
        <v>9.9000000000003627E-2</v>
      </c>
      <c r="I381">
        <v>8.9500000000003355E-2</v>
      </c>
    </row>
    <row r="382" spans="1:9" x14ac:dyDescent="0.5">
      <c r="A382">
        <v>0.10250000000000373</v>
      </c>
      <c r="B382">
        <v>0.14770000000000186</v>
      </c>
      <c r="C382">
        <v>0.11660000000000413</v>
      </c>
      <c r="D382">
        <v>0.10250000000000373</v>
      </c>
      <c r="E382">
        <v>0.14770000000000186</v>
      </c>
      <c r="F382">
        <v>0.11660000000000413</v>
      </c>
      <c r="G382">
        <v>0.13790000000000294</v>
      </c>
      <c r="H382">
        <v>0.11980000000000422</v>
      </c>
      <c r="I382">
        <v>0.10310000000000374</v>
      </c>
    </row>
    <row r="383" spans="1:9" x14ac:dyDescent="0.5">
      <c r="A383">
        <v>8.6300000000003263E-2</v>
      </c>
      <c r="B383">
        <v>0.10460000000000379</v>
      </c>
      <c r="C383">
        <v>0.10680000000000385</v>
      </c>
      <c r="D383">
        <v>8.6300000000003263E-2</v>
      </c>
      <c r="E383">
        <v>0.10460000000000379</v>
      </c>
      <c r="F383">
        <v>0.10680000000000385</v>
      </c>
      <c r="G383">
        <v>0.12650000000000419</v>
      </c>
      <c r="H383">
        <v>0.12130000000000427</v>
      </c>
      <c r="I383">
        <v>0.11280000000000402</v>
      </c>
    </row>
    <row r="384" spans="1:9" x14ac:dyDescent="0.5">
      <c r="A384">
        <v>8.4500000000003211E-2</v>
      </c>
      <c r="B384">
        <v>9.1300000000003406E-2</v>
      </c>
      <c r="C384">
        <v>9.11000000000034E-2</v>
      </c>
      <c r="D384">
        <v>8.4500000000003211E-2</v>
      </c>
      <c r="E384">
        <v>9.1300000000003406E-2</v>
      </c>
      <c r="F384">
        <v>9.11000000000034E-2</v>
      </c>
      <c r="G384">
        <v>0.10330000000000375</v>
      </c>
      <c r="H384">
        <v>9.1900000000003423E-2</v>
      </c>
      <c r="I384">
        <v>8.8800000000003335E-2</v>
      </c>
    </row>
    <row r="385" spans="1:9" x14ac:dyDescent="0.5">
      <c r="A385">
        <v>8.0900000000003108E-2</v>
      </c>
      <c r="B385">
        <v>9.7300000000003578E-2</v>
      </c>
      <c r="C385">
        <v>0.10940000000000392</v>
      </c>
      <c r="D385">
        <v>8.0900000000003108E-2</v>
      </c>
      <c r="E385">
        <v>9.7300000000003578E-2</v>
      </c>
      <c r="F385">
        <v>0.10940000000000392</v>
      </c>
      <c r="G385">
        <v>0.12770000000000406</v>
      </c>
      <c r="H385">
        <v>0.12000000000000423</v>
      </c>
      <c r="I385">
        <v>9.8500000000003612E-2</v>
      </c>
    </row>
    <row r="386" spans="1:9" x14ac:dyDescent="0.5">
      <c r="A386">
        <v>7.2500000000002868E-2</v>
      </c>
      <c r="B386">
        <v>9.4800000000003506E-2</v>
      </c>
      <c r="C386">
        <v>8.6800000000003277E-2</v>
      </c>
      <c r="D386">
        <v>7.2500000000002868E-2</v>
      </c>
      <c r="E386">
        <v>9.4800000000003506E-2</v>
      </c>
      <c r="F386">
        <v>8.6800000000003277E-2</v>
      </c>
      <c r="G386">
        <v>0.10530000000000381</v>
      </c>
      <c r="H386">
        <v>0.11380000000000405</v>
      </c>
      <c r="I386">
        <v>8.6400000000003266E-2</v>
      </c>
    </row>
    <row r="387" spans="1:9" x14ac:dyDescent="0.5">
      <c r="A387">
        <v>9.1800000000003421E-2</v>
      </c>
      <c r="B387">
        <v>0.10610000000000383</v>
      </c>
      <c r="C387">
        <v>0.11160000000000399</v>
      </c>
      <c r="D387">
        <v>9.1800000000003421E-2</v>
      </c>
      <c r="E387">
        <v>0.10610000000000383</v>
      </c>
      <c r="F387">
        <v>0.11160000000000399</v>
      </c>
      <c r="G387">
        <v>0.11110000000000397</v>
      </c>
      <c r="H387">
        <v>0.11300000000000403</v>
      </c>
      <c r="I387">
        <v>8.8700000000003332E-2</v>
      </c>
    </row>
    <row r="388" spans="1:9" x14ac:dyDescent="0.5">
      <c r="A388">
        <v>8.1000000000003111E-2</v>
      </c>
      <c r="B388">
        <v>0.1189000000000042</v>
      </c>
      <c r="C388">
        <v>9.8700000000003618E-2</v>
      </c>
      <c r="D388">
        <v>8.1000000000003111E-2</v>
      </c>
      <c r="E388">
        <v>0.1189000000000042</v>
      </c>
      <c r="F388">
        <v>9.8700000000003618E-2</v>
      </c>
      <c r="G388">
        <v>0.11070000000000396</v>
      </c>
      <c r="H388">
        <v>0.10040000000000367</v>
      </c>
      <c r="I388">
        <v>9.1200000000003403E-2</v>
      </c>
    </row>
    <row r="389" spans="1:9" x14ac:dyDescent="0.5">
      <c r="A389">
        <v>7.0600000000002813E-2</v>
      </c>
      <c r="B389">
        <v>0.12190000000000428</v>
      </c>
      <c r="C389">
        <v>0.1015000000000037</v>
      </c>
      <c r="D389">
        <v>7.0600000000002813E-2</v>
      </c>
      <c r="E389">
        <v>0.12190000000000428</v>
      </c>
      <c r="F389">
        <v>0.1015000000000037</v>
      </c>
      <c r="G389">
        <v>0.112100000000004</v>
      </c>
      <c r="H389">
        <v>9.5500000000003527E-2</v>
      </c>
      <c r="I389">
        <v>8.8000000000003312E-2</v>
      </c>
    </row>
    <row r="390" spans="1:9" x14ac:dyDescent="0.5">
      <c r="A390">
        <v>8.2100000000003143E-2</v>
      </c>
      <c r="B390">
        <v>9.0700000000003389E-2</v>
      </c>
      <c r="C390">
        <v>9.3000000000003455E-2</v>
      </c>
      <c r="D390">
        <v>8.2100000000003143E-2</v>
      </c>
      <c r="E390">
        <v>9.0700000000003389E-2</v>
      </c>
      <c r="F390">
        <v>9.3000000000003455E-2</v>
      </c>
      <c r="G390">
        <v>0.11040000000000395</v>
      </c>
      <c r="H390">
        <v>8.8600000000003329E-2</v>
      </c>
      <c r="I390">
        <v>8.5000000000003226E-2</v>
      </c>
    </row>
    <row r="391" spans="1:9" x14ac:dyDescent="0.5">
      <c r="A391">
        <v>8.1200000000003117E-2</v>
      </c>
      <c r="B391">
        <v>0.13320000000000345</v>
      </c>
      <c r="C391">
        <v>0.11050000000000396</v>
      </c>
      <c r="D391">
        <v>8.1200000000003117E-2</v>
      </c>
      <c r="E391">
        <v>0.13320000000000345</v>
      </c>
      <c r="F391">
        <v>0.11050000000000396</v>
      </c>
      <c r="G391">
        <v>0.12610000000000424</v>
      </c>
      <c r="H391">
        <v>0.10810000000000389</v>
      </c>
      <c r="I391">
        <v>0.10540000000000381</v>
      </c>
    </row>
    <row r="392" spans="1:9" x14ac:dyDescent="0.5">
      <c r="A392">
        <v>7.8200000000003031E-2</v>
      </c>
      <c r="B392">
        <v>0.12040000000000424</v>
      </c>
      <c r="C392">
        <v>0.10590000000000382</v>
      </c>
      <c r="D392">
        <v>7.8200000000003031E-2</v>
      </c>
      <c r="E392">
        <v>0.12040000000000424</v>
      </c>
      <c r="F392">
        <v>0.10590000000000382</v>
      </c>
      <c r="G392">
        <v>0.12690000000000415</v>
      </c>
      <c r="H392">
        <v>0.12210000000000429</v>
      </c>
      <c r="I392">
        <v>8.690000000000328E-2</v>
      </c>
    </row>
    <row r="393" spans="1:9" x14ac:dyDescent="0.5">
      <c r="A393">
        <v>7.9700000000003074E-2</v>
      </c>
      <c r="B393">
        <v>0.13300000000000348</v>
      </c>
      <c r="C393">
        <v>0.10090000000000368</v>
      </c>
      <c r="D393">
        <v>7.9700000000003074E-2</v>
      </c>
      <c r="E393">
        <v>0.13300000000000348</v>
      </c>
      <c r="F393">
        <v>0.10090000000000368</v>
      </c>
      <c r="G393">
        <v>0.11590000000000411</v>
      </c>
      <c r="H393">
        <v>9.3200000000003461E-2</v>
      </c>
      <c r="I393">
        <v>9.8500000000003612E-2</v>
      </c>
    </row>
    <row r="394" spans="1:9" x14ac:dyDescent="0.5">
      <c r="A394">
        <v>7.9800000000003077E-2</v>
      </c>
      <c r="B394">
        <v>0.13120000000000367</v>
      </c>
      <c r="C394">
        <v>9.910000000000363E-2</v>
      </c>
      <c r="D394">
        <v>7.9800000000003077E-2</v>
      </c>
      <c r="E394">
        <v>0.13120000000000367</v>
      </c>
      <c r="F394">
        <v>9.910000000000363E-2</v>
      </c>
      <c r="G394">
        <v>0.11480000000000408</v>
      </c>
      <c r="H394">
        <v>9.3100000000003458E-2</v>
      </c>
      <c r="I394">
        <v>8.7100000000003286E-2</v>
      </c>
    </row>
    <row r="395" spans="1:9" x14ac:dyDescent="0.5">
      <c r="A395">
        <v>0.10120000000000369</v>
      </c>
      <c r="B395">
        <v>9.7400000000003581E-2</v>
      </c>
      <c r="C395">
        <v>8.8500000000003326E-2</v>
      </c>
      <c r="D395">
        <v>0.10120000000000369</v>
      </c>
      <c r="E395">
        <v>9.7400000000003581E-2</v>
      </c>
      <c r="F395">
        <v>8.8500000000003326E-2</v>
      </c>
      <c r="G395">
        <v>0.12180000000000428</v>
      </c>
      <c r="H395">
        <v>0.12390000000000434</v>
      </c>
      <c r="I395">
        <v>9.1500000000003412E-2</v>
      </c>
    </row>
    <row r="396" spans="1:9" x14ac:dyDescent="0.5">
      <c r="A396">
        <v>7.5400000000002951E-2</v>
      </c>
      <c r="B396">
        <v>9.8700000000003618E-2</v>
      </c>
      <c r="C396">
        <v>9.6500000000003555E-2</v>
      </c>
      <c r="D396">
        <v>7.5400000000002951E-2</v>
      </c>
      <c r="E396">
        <v>9.8700000000003618E-2</v>
      </c>
      <c r="F396">
        <v>9.6500000000003555E-2</v>
      </c>
      <c r="G396">
        <v>0.11130000000000398</v>
      </c>
      <c r="H396">
        <v>0.10400000000000377</v>
      </c>
      <c r="I396">
        <v>8.4300000000003206E-2</v>
      </c>
    </row>
    <row r="397" spans="1:9" x14ac:dyDescent="0.5">
      <c r="A397">
        <v>8.970000000000336E-2</v>
      </c>
      <c r="B397">
        <v>0.10080000000000368</v>
      </c>
      <c r="C397">
        <v>0.10220000000000372</v>
      </c>
      <c r="D397">
        <v>8.970000000000336E-2</v>
      </c>
      <c r="E397">
        <v>0.10080000000000368</v>
      </c>
      <c r="F397">
        <v>0.10220000000000372</v>
      </c>
      <c r="G397">
        <v>0.11860000000000419</v>
      </c>
      <c r="H397">
        <v>0.12010000000000423</v>
      </c>
      <c r="I397">
        <v>8.7700000000003303E-2</v>
      </c>
    </row>
    <row r="398" spans="1:9" x14ac:dyDescent="0.5">
      <c r="A398">
        <v>0.10630000000000384</v>
      </c>
      <c r="B398">
        <v>0.10060000000000367</v>
      </c>
      <c r="C398">
        <v>9.3000000000003455E-2</v>
      </c>
      <c r="D398">
        <v>0.10630000000000384</v>
      </c>
      <c r="E398">
        <v>0.10060000000000367</v>
      </c>
      <c r="F398">
        <v>9.3000000000003455E-2</v>
      </c>
      <c r="G398">
        <v>0.12320000000000432</v>
      </c>
      <c r="H398">
        <v>0.12800000000000403</v>
      </c>
      <c r="I398">
        <v>9.910000000000363E-2</v>
      </c>
    </row>
    <row r="399" spans="1:9" x14ac:dyDescent="0.5">
      <c r="A399">
        <v>7.6500000000002982E-2</v>
      </c>
      <c r="B399">
        <v>0.13170000000000362</v>
      </c>
      <c r="C399">
        <v>0.13130000000000366</v>
      </c>
      <c r="D399">
        <v>7.6500000000002982E-2</v>
      </c>
      <c r="E399">
        <v>0.13170000000000362</v>
      </c>
      <c r="F399">
        <v>0.13130000000000366</v>
      </c>
      <c r="G399">
        <v>0.12960000000000385</v>
      </c>
      <c r="H399">
        <v>0.13090000000000371</v>
      </c>
      <c r="I399">
        <v>9.8300000000003607E-2</v>
      </c>
    </row>
    <row r="400" spans="1:9" x14ac:dyDescent="0.5">
      <c r="A400">
        <v>8.970000000000336E-2</v>
      </c>
      <c r="B400">
        <v>0.13210000000000358</v>
      </c>
      <c r="C400">
        <v>0.12390000000000434</v>
      </c>
      <c r="D400">
        <v>8.970000000000336E-2</v>
      </c>
      <c r="E400">
        <v>0.13210000000000358</v>
      </c>
      <c r="F400">
        <v>0.12390000000000434</v>
      </c>
      <c r="G400">
        <v>0.10940000000000392</v>
      </c>
      <c r="H400">
        <v>8.5000000000003226E-2</v>
      </c>
      <c r="I400">
        <v>8.270000000000316E-2</v>
      </c>
    </row>
    <row r="401" spans="1:9" x14ac:dyDescent="0.5">
      <c r="A401">
        <v>7.1100000000002828E-2</v>
      </c>
      <c r="B401">
        <v>0.12140000000000427</v>
      </c>
      <c r="C401">
        <v>0.10590000000000382</v>
      </c>
      <c r="D401">
        <v>7.1100000000002828E-2</v>
      </c>
      <c r="E401">
        <v>0.12140000000000427</v>
      </c>
      <c r="F401">
        <v>0.10590000000000382</v>
      </c>
      <c r="G401">
        <v>0.11710000000000415</v>
      </c>
      <c r="H401">
        <v>0.10460000000000379</v>
      </c>
      <c r="I401">
        <v>8.9800000000003363E-2</v>
      </c>
    </row>
    <row r="402" spans="1:9" x14ac:dyDescent="0.5">
      <c r="A402">
        <v>7.9100000000003057E-2</v>
      </c>
      <c r="B402">
        <v>0.10000000000000366</v>
      </c>
      <c r="C402">
        <v>9.9600000000003644E-2</v>
      </c>
      <c r="D402">
        <v>7.9100000000003057E-2</v>
      </c>
      <c r="E402">
        <v>0.10000000000000366</v>
      </c>
      <c r="F402">
        <v>9.9600000000003644E-2</v>
      </c>
      <c r="G402">
        <v>0.10780000000000388</v>
      </c>
      <c r="H402">
        <v>9.2400000000003438E-2</v>
      </c>
      <c r="I402">
        <v>8.550000000000324E-2</v>
      </c>
    </row>
    <row r="403" spans="1:9" x14ac:dyDescent="0.5">
      <c r="A403">
        <v>8.9300000000003349E-2</v>
      </c>
      <c r="B403">
        <v>0.13300000000000348</v>
      </c>
      <c r="C403">
        <v>0.10020000000000366</v>
      </c>
      <c r="D403">
        <v>8.9300000000003349E-2</v>
      </c>
      <c r="E403">
        <v>0.13300000000000348</v>
      </c>
      <c r="F403">
        <v>0.10020000000000366</v>
      </c>
      <c r="G403">
        <v>0.12200000000000429</v>
      </c>
      <c r="H403">
        <v>0.10890000000000391</v>
      </c>
      <c r="I403">
        <v>0.10190000000000371</v>
      </c>
    </row>
    <row r="404" spans="1:9" x14ac:dyDescent="0.5">
      <c r="A404">
        <v>0.11240000000000401</v>
      </c>
      <c r="B404">
        <v>0.13290000000000349</v>
      </c>
      <c r="C404">
        <v>0.13420000000000334</v>
      </c>
      <c r="D404">
        <v>0.11240000000000401</v>
      </c>
      <c r="E404">
        <v>0.13290000000000349</v>
      </c>
      <c r="F404">
        <v>0.13420000000000334</v>
      </c>
      <c r="G404">
        <v>0.14000000000000271</v>
      </c>
      <c r="H404">
        <v>0.12680000000000416</v>
      </c>
      <c r="I404">
        <v>0.1050000000000038</v>
      </c>
    </row>
    <row r="405" spans="1:9" x14ac:dyDescent="0.5">
      <c r="A405">
        <v>0.10020000000000366</v>
      </c>
      <c r="B405">
        <v>0.10750000000000387</v>
      </c>
      <c r="C405">
        <v>0.12230000000000429</v>
      </c>
      <c r="D405">
        <v>0.10020000000000366</v>
      </c>
      <c r="E405">
        <v>0.10750000000000387</v>
      </c>
      <c r="F405">
        <v>0.12230000000000429</v>
      </c>
      <c r="G405">
        <v>0.14220000000000246</v>
      </c>
      <c r="H405">
        <v>0.14060000000000264</v>
      </c>
      <c r="I405">
        <v>0.10380000000000376</v>
      </c>
    </row>
    <row r="406" spans="1:9" x14ac:dyDescent="0.5">
      <c r="A406">
        <v>7.0200000000002802E-2</v>
      </c>
      <c r="B406">
        <v>0.10630000000000384</v>
      </c>
      <c r="C406">
        <v>0.12790000000000404</v>
      </c>
      <c r="D406">
        <v>7.0200000000002802E-2</v>
      </c>
      <c r="E406">
        <v>0.10630000000000384</v>
      </c>
      <c r="F406">
        <v>0.12790000000000404</v>
      </c>
      <c r="G406">
        <v>0.12090000000000425</v>
      </c>
      <c r="H406">
        <v>0.13180000000000361</v>
      </c>
      <c r="I406">
        <v>9.9200000000003632E-2</v>
      </c>
    </row>
    <row r="407" spans="1:9" x14ac:dyDescent="0.5">
      <c r="A407">
        <v>8.0900000000003108E-2</v>
      </c>
      <c r="B407">
        <v>0.12370000000000433</v>
      </c>
      <c r="C407">
        <v>0.11570000000000411</v>
      </c>
      <c r="D407">
        <v>8.0900000000003108E-2</v>
      </c>
      <c r="E407">
        <v>0.12370000000000433</v>
      </c>
      <c r="F407">
        <v>0.11570000000000411</v>
      </c>
      <c r="G407">
        <v>0.11680000000000414</v>
      </c>
      <c r="H407">
        <v>0.10890000000000391</v>
      </c>
      <c r="I407">
        <v>0.1050000000000038</v>
      </c>
    </row>
    <row r="408" spans="1:9" x14ac:dyDescent="0.5">
      <c r="A408">
        <v>8.4300000000003206E-2</v>
      </c>
      <c r="B408">
        <v>0.10410000000000377</v>
      </c>
      <c r="C408">
        <v>0.11620000000000412</v>
      </c>
      <c r="D408">
        <v>8.4300000000003206E-2</v>
      </c>
      <c r="E408">
        <v>0.10410000000000377</v>
      </c>
      <c r="F408">
        <v>0.11620000000000412</v>
      </c>
      <c r="G408">
        <v>0.12510000000000435</v>
      </c>
      <c r="H408">
        <v>0.10800000000000388</v>
      </c>
      <c r="I408">
        <v>9.4700000000003504E-2</v>
      </c>
    </row>
    <row r="409" spans="1:9" x14ac:dyDescent="0.5">
      <c r="A409">
        <v>0.10930000000000392</v>
      </c>
      <c r="B409">
        <v>9.910000000000363E-2</v>
      </c>
      <c r="C409">
        <v>9.0900000000003395E-2</v>
      </c>
      <c r="D409">
        <v>0.10930000000000392</v>
      </c>
      <c r="E409">
        <v>9.910000000000363E-2</v>
      </c>
      <c r="F409">
        <v>9.0900000000003395E-2</v>
      </c>
      <c r="G409">
        <v>0.11430000000000407</v>
      </c>
      <c r="H409">
        <v>0.12380000000000434</v>
      </c>
      <c r="I409">
        <v>9.9400000000003638E-2</v>
      </c>
    </row>
    <row r="410" spans="1:9" x14ac:dyDescent="0.5">
      <c r="A410">
        <v>7.1400000000002836E-2</v>
      </c>
      <c r="B410">
        <v>0.10440000000000378</v>
      </c>
      <c r="C410">
        <v>0.10470000000000379</v>
      </c>
      <c r="D410">
        <v>7.1400000000002836E-2</v>
      </c>
      <c r="E410">
        <v>0.10440000000000378</v>
      </c>
      <c r="F410">
        <v>0.10470000000000379</v>
      </c>
      <c r="G410">
        <v>0.11920000000000421</v>
      </c>
      <c r="H410">
        <v>9.840000000000361E-2</v>
      </c>
      <c r="I410">
        <v>9.4300000000003492E-2</v>
      </c>
    </row>
    <row r="411" spans="1:9" x14ac:dyDescent="0.5">
      <c r="A411">
        <v>7.3800000000002905E-2</v>
      </c>
      <c r="B411">
        <v>0.12880000000000394</v>
      </c>
      <c r="C411">
        <v>0.11020000000000395</v>
      </c>
      <c r="D411">
        <v>7.3800000000002905E-2</v>
      </c>
      <c r="E411">
        <v>0.12880000000000394</v>
      </c>
      <c r="F411">
        <v>0.11020000000000395</v>
      </c>
      <c r="G411">
        <v>0.1364000000000031</v>
      </c>
      <c r="H411">
        <v>0.12090000000000425</v>
      </c>
      <c r="I411">
        <v>9.0900000000003395E-2</v>
      </c>
    </row>
    <row r="412" spans="1:9" x14ac:dyDescent="0.5">
      <c r="A412">
        <v>0.10100000000000368</v>
      </c>
      <c r="B412">
        <v>0.11140000000000398</v>
      </c>
      <c r="C412">
        <v>0.12310000000000432</v>
      </c>
      <c r="D412">
        <v>0.10100000000000368</v>
      </c>
      <c r="E412">
        <v>0.11140000000000398</v>
      </c>
      <c r="F412">
        <v>0.12310000000000432</v>
      </c>
      <c r="G412">
        <v>0.13580000000000317</v>
      </c>
      <c r="H412">
        <v>0.13130000000000366</v>
      </c>
      <c r="I412">
        <v>0.10900000000000391</v>
      </c>
    </row>
    <row r="413" spans="1:9" x14ac:dyDescent="0.5">
      <c r="A413">
        <v>7.2400000000002865E-2</v>
      </c>
      <c r="B413">
        <v>0.14070000000000263</v>
      </c>
      <c r="C413">
        <v>0.13890000000000283</v>
      </c>
      <c r="D413">
        <v>7.2400000000002865E-2</v>
      </c>
      <c r="E413">
        <v>0.14070000000000263</v>
      </c>
      <c r="F413">
        <v>0.13890000000000283</v>
      </c>
      <c r="G413">
        <v>0.13390000000000338</v>
      </c>
      <c r="H413">
        <v>9.7000000000003569E-2</v>
      </c>
      <c r="I413">
        <v>0.11470000000000408</v>
      </c>
    </row>
    <row r="414" spans="1:9" x14ac:dyDescent="0.5">
      <c r="A414">
        <v>8.6300000000003263E-2</v>
      </c>
      <c r="B414">
        <v>0.11010000000000394</v>
      </c>
      <c r="C414">
        <v>0.12230000000000429</v>
      </c>
      <c r="D414">
        <v>8.6300000000003263E-2</v>
      </c>
      <c r="E414">
        <v>0.11010000000000394</v>
      </c>
      <c r="F414">
        <v>0.12230000000000429</v>
      </c>
      <c r="G414">
        <v>0.11730000000000415</v>
      </c>
      <c r="H414">
        <v>0.1224000000000043</v>
      </c>
      <c r="I414">
        <v>0.10290000000000374</v>
      </c>
    </row>
    <row r="415" spans="1:9" x14ac:dyDescent="0.5">
      <c r="A415">
        <v>6.6100000000002684E-2</v>
      </c>
      <c r="B415">
        <v>9.7800000000003592E-2</v>
      </c>
      <c r="C415">
        <v>0.11990000000000423</v>
      </c>
      <c r="D415">
        <v>6.6100000000002684E-2</v>
      </c>
      <c r="E415">
        <v>9.7800000000003592E-2</v>
      </c>
      <c r="F415">
        <v>0.11990000000000423</v>
      </c>
      <c r="G415">
        <v>0.12540000000000431</v>
      </c>
      <c r="H415">
        <v>0.1191000000000042</v>
      </c>
      <c r="I415">
        <v>0.10290000000000374</v>
      </c>
    </row>
    <row r="416" spans="1:9" x14ac:dyDescent="0.5">
      <c r="A416">
        <v>9.8800000000003621E-2</v>
      </c>
      <c r="B416">
        <v>0.11620000000000412</v>
      </c>
      <c r="C416">
        <v>0.11930000000000421</v>
      </c>
      <c r="D416">
        <v>9.8800000000003621E-2</v>
      </c>
      <c r="E416">
        <v>0.11620000000000412</v>
      </c>
      <c r="F416">
        <v>0.11930000000000421</v>
      </c>
      <c r="G416">
        <v>0.13070000000000373</v>
      </c>
      <c r="H416">
        <v>0.11850000000000419</v>
      </c>
      <c r="I416">
        <v>0.10550000000000381</v>
      </c>
    </row>
    <row r="417" spans="1:9" x14ac:dyDescent="0.5">
      <c r="A417">
        <v>7.8400000000003037E-2</v>
      </c>
      <c r="B417">
        <v>0.10290000000000374</v>
      </c>
      <c r="C417">
        <v>0.11960000000000422</v>
      </c>
      <c r="D417">
        <v>7.8400000000003037E-2</v>
      </c>
      <c r="E417">
        <v>0.10290000000000374</v>
      </c>
      <c r="F417">
        <v>0.11960000000000422</v>
      </c>
      <c r="G417">
        <v>0.12840000000000398</v>
      </c>
      <c r="H417">
        <v>0.10280000000000374</v>
      </c>
      <c r="I417">
        <v>0.10640000000000384</v>
      </c>
    </row>
    <row r="418" spans="1:9" x14ac:dyDescent="0.5">
      <c r="A418">
        <v>6.980000000000279E-2</v>
      </c>
      <c r="B418">
        <v>0.12660000000000418</v>
      </c>
      <c r="C418">
        <v>0.12580000000000427</v>
      </c>
      <c r="D418">
        <v>6.980000000000279E-2</v>
      </c>
      <c r="E418">
        <v>0.12660000000000418</v>
      </c>
      <c r="F418">
        <v>0.12580000000000427</v>
      </c>
      <c r="G418">
        <v>0.12300000000000431</v>
      </c>
      <c r="H418">
        <v>0.10080000000000368</v>
      </c>
      <c r="I418">
        <v>9.4000000000003484E-2</v>
      </c>
    </row>
    <row r="419" spans="1:9" x14ac:dyDescent="0.5">
      <c r="A419">
        <v>6.350000000000261E-2</v>
      </c>
      <c r="B419">
        <v>0.13530000000000322</v>
      </c>
      <c r="C419">
        <v>0.11130000000000398</v>
      </c>
      <c r="D419">
        <v>6.350000000000261E-2</v>
      </c>
      <c r="E419">
        <v>0.13530000000000322</v>
      </c>
      <c r="F419">
        <v>0.11130000000000398</v>
      </c>
      <c r="G419">
        <v>0.12120000000000426</v>
      </c>
      <c r="H419">
        <v>0.12980000000000383</v>
      </c>
      <c r="I419">
        <v>9.6900000000003567E-2</v>
      </c>
    </row>
    <row r="420" spans="1:9" x14ac:dyDescent="0.5">
      <c r="A420">
        <v>7.120000000000283E-2</v>
      </c>
      <c r="B420">
        <v>0.1017000000000037</v>
      </c>
      <c r="C420">
        <v>0.12190000000000428</v>
      </c>
      <c r="D420">
        <v>7.120000000000283E-2</v>
      </c>
      <c r="E420">
        <v>0.1017000000000037</v>
      </c>
      <c r="F420">
        <v>0.12190000000000428</v>
      </c>
      <c r="G420">
        <v>0.1346000000000033</v>
      </c>
      <c r="H420">
        <v>0.13740000000000299</v>
      </c>
      <c r="I420">
        <v>0.10340000000000375</v>
      </c>
    </row>
    <row r="421" spans="1:9" x14ac:dyDescent="0.5">
      <c r="A421">
        <v>7.1300000000002833E-2</v>
      </c>
      <c r="B421">
        <v>0.12820000000000401</v>
      </c>
      <c r="C421">
        <v>0.10580000000000382</v>
      </c>
      <c r="D421">
        <v>7.1300000000002833E-2</v>
      </c>
      <c r="E421">
        <v>0.12820000000000401</v>
      </c>
      <c r="F421">
        <v>0.10580000000000382</v>
      </c>
      <c r="G421">
        <v>0.12200000000000429</v>
      </c>
      <c r="H421">
        <v>0.1225000000000043</v>
      </c>
      <c r="I421">
        <v>9.4200000000003489E-2</v>
      </c>
    </row>
    <row r="422" spans="1:9" x14ac:dyDescent="0.5">
      <c r="A422">
        <v>7.0300000000002805E-2</v>
      </c>
      <c r="B422">
        <v>0.11990000000000423</v>
      </c>
      <c r="C422">
        <v>0.1016000000000037</v>
      </c>
      <c r="D422">
        <v>7.0300000000002805E-2</v>
      </c>
      <c r="E422">
        <v>0.11990000000000423</v>
      </c>
      <c r="F422">
        <v>0.1016000000000037</v>
      </c>
      <c r="G422">
        <v>0.23649999999999208</v>
      </c>
      <c r="H422">
        <v>7.8900000000003051E-2</v>
      </c>
      <c r="I422">
        <v>7.7100000000002999E-2</v>
      </c>
    </row>
    <row r="423" spans="1:9" x14ac:dyDescent="0.5">
      <c r="A423">
        <v>6.8300000000002747E-2</v>
      </c>
      <c r="B423">
        <v>0.11170000000000399</v>
      </c>
      <c r="C423">
        <v>0.10270000000000373</v>
      </c>
      <c r="D423">
        <v>6.8300000000002747E-2</v>
      </c>
      <c r="E423">
        <v>0.11170000000000399</v>
      </c>
      <c r="F423">
        <v>0.10270000000000373</v>
      </c>
      <c r="G423">
        <v>9.5000000000003512E-2</v>
      </c>
      <c r="H423">
        <v>8.0800000000003105E-2</v>
      </c>
      <c r="I423">
        <v>7.8800000000003048E-2</v>
      </c>
    </row>
    <row r="424" spans="1:9" x14ac:dyDescent="0.5">
      <c r="A424">
        <v>8.8000000000003312E-2</v>
      </c>
      <c r="B424">
        <v>0.10550000000000381</v>
      </c>
      <c r="C424">
        <v>9.770000000000359E-2</v>
      </c>
      <c r="D424">
        <v>8.8000000000003312E-2</v>
      </c>
      <c r="E424">
        <v>0.10550000000000381</v>
      </c>
      <c r="F424">
        <v>9.770000000000359E-2</v>
      </c>
      <c r="G424">
        <v>0.27119999999998828</v>
      </c>
      <c r="H424">
        <v>9.4700000000003504E-2</v>
      </c>
      <c r="I424">
        <v>9.2500000000003441E-2</v>
      </c>
    </row>
    <row r="425" spans="1:9" x14ac:dyDescent="0.5">
      <c r="A425">
        <v>6.9200000000002773E-2</v>
      </c>
      <c r="B425">
        <v>0.12430000000000435</v>
      </c>
      <c r="C425">
        <v>0.11630000000000412</v>
      </c>
      <c r="D425">
        <v>6.9200000000002773E-2</v>
      </c>
      <c r="E425">
        <v>0.12430000000000435</v>
      </c>
      <c r="F425">
        <v>0.11630000000000412</v>
      </c>
      <c r="G425">
        <v>0.30229999999998486</v>
      </c>
      <c r="H425">
        <v>0.11820000000000418</v>
      </c>
      <c r="I425">
        <v>9.2100000000003429E-2</v>
      </c>
    </row>
    <row r="426" spans="1:9" x14ac:dyDescent="0.5">
      <c r="A426">
        <v>6.8900000000002765E-2</v>
      </c>
      <c r="B426">
        <v>0.12000000000000423</v>
      </c>
      <c r="C426">
        <v>0.11130000000000398</v>
      </c>
      <c r="D426">
        <v>6.8900000000002765E-2</v>
      </c>
      <c r="E426">
        <v>0.12000000000000423</v>
      </c>
      <c r="F426">
        <v>0.11130000000000398</v>
      </c>
      <c r="G426">
        <v>0.11710000000000415</v>
      </c>
      <c r="H426">
        <v>9.980000000000365E-2</v>
      </c>
      <c r="I426">
        <v>7.6800000000002991E-2</v>
      </c>
    </row>
    <row r="427" spans="1:9" x14ac:dyDescent="0.5">
      <c r="A427">
        <v>6.4300000000002633E-2</v>
      </c>
      <c r="B427">
        <v>0.1226000000000043</v>
      </c>
      <c r="C427">
        <v>9.840000000000361E-2</v>
      </c>
      <c r="D427">
        <v>6.4300000000002633E-2</v>
      </c>
      <c r="E427">
        <v>0.1226000000000043</v>
      </c>
      <c r="F427">
        <v>9.840000000000361E-2</v>
      </c>
      <c r="G427">
        <v>0.23729999999999199</v>
      </c>
      <c r="H427">
        <v>9.2300000000003435E-2</v>
      </c>
      <c r="I427">
        <v>8.8900000000003337E-2</v>
      </c>
    </row>
    <row r="428" spans="1:9" x14ac:dyDescent="0.5">
      <c r="A428">
        <v>9.6500000000003555E-2</v>
      </c>
      <c r="B428">
        <v>0.10100000000000368</v>
      </c>
      <c r="C428">
        <v>0.11530000000000409</v>
      </c>
      <c r="D428">
        <v>9.6500000000003555E-2</v>
      </c>
      <c r="E428">
        <v>0.10100000000000368</v>
      </c>
      <c r="F428">
        <v>0.11530000000000409</v>
      </c>
      <c r="G428">
        <v>0.12410000000000435</v>
      </c>
      <c r="H428">
        <v>0.11670000000000413</v>
      </c>
      <c r="I428">
        <v>9.840000000000361E-2</v>
      </c>
    </row>
    <row r="429" spans="1:9" x14ac:dyDescent="0.5">
      <c r="A429">
        <v>9.7000000000003569E-2</v>
      </c>
      <c r="B429">
        <v>0.4762999999999657</v>
      </c>
      <c r="C429">
        <v>0.11410000000000406</v>
      </c>
      <c r="D429">
        <v>9.7000000000003569E-2</v>
      </c>
      <c r="E429">
        <v>0.4762999999999657</v>
      </c>
      <c r="F429">
        <v>0.11410000000000406</v>
      </c>
      <c r="G429">
        <v>0.1255000000000043</v>
      </c>
      <c r="H429">
        <v>0.12110000000000426</v>
      </c>
      <c r="I429">
        <v>0.11480000000000408</v>
      </c>
    </row>
    <row r="430" spans="1:9" x14ac:dyDescent="0.5">
      <c r="A430">
        <v>7.0300000000002805E-2</v>
      </c>
      <c r="B430">
        <v>0.1224000000000043</v>
      </c>
      <c r="C430">
        <v>0.11070000000000396</v>
      </c>
      <c r="D430">
        <v>7.0300000000002805E-2</v>
      </c>
      <c r="E430">
        <v>0.1224000000000043</v>
      </c>
      <c r="F430">
        <v>0.11070000000000396</v>
      </c>
      <c r="G430">
        <v>0.12010000000000423</v>
      </c>
      <c r="H430">
        <v>0.11180000000000399</v>
      </c>
      <c r="I430">
        <v>8.3100000000003171E-2</v>
      </c>
    </row>
    <row r="431" spans="1:9" x14ac:dyDescent="0.5">
      <c r="A431">
        <v>8.3600000000003186E-2</v>
      </c>
      <c r="B431">
        <v>0.11160000000000399</v>
      </c>
      <c r="C431">
        <v>9.8900000000003624E-2</v>
      </c>
      <c r="D431">
        <v>8.3600000000003186E-2</v>
      </c>
      <c r="E431">
        <v>0.11160000000000399</v>
      </c>
      <c r="F431">
        <v>9.8900000000003624E-2</v>
      </c>
      <c r="G431">
        <v>0.11520000000000409</v>
      </c>
      <c r="H431">
        <v>9.5300000000003521E-2</v>
      </c>
      <c r="I431">
        <v>8.1000000000003111E-2</v>
      </c>
    </row>
    <row r="432" spans="1:9" x14ac:dyDescent="0.5">
      <c r="A432">
        <v>7.1300000000002833E-2</v>
      </c>
      <c r="B432">
        <v>0.10210000000000372</v>
      </c>
      <c r="C432">
        <v>0.10300000000000374</v>
      </c>
      <c r="D432">
        <v>7.1300000000002833E-2</v>
      </c>
      <c r="E432">
        <v>0.10210000000000372</v>
      </c>
      <c r="F432">
        <v>0.10300000000000374</v>
      </c>
      <c r="G432">
        <v>0.11160000000000399</v>
      </c>
      <c r="H432">
        <v>9.7000000000003569E-2</v>
      </c>
      <c r="I432">
        <v>9.5800000000003535E-2</v>
      </c>
    </row>
    <row r="433" spans="1:9" x14ac:dyDescent="0.5">
      <c r="A433">
        <v>0.10180000000000371</v>
      </c>
      <c r="B433">
        <v>0.12960000000000385</v>
      </c>
      <c r="C433">
        <v>0.12530000000000432</v>
      </c>
      <c r="D433">
        <v>0.10180000000000371</v>
      </c>
      <c r="E433">
        <v>0.12960000000000385</v>
      </c>
      <c r="F433">
        <v>0.12530000000000432</v>
      </c>
      <c r="G433">
        <v>0.13490000000000327</v>
      </c>
      <c r="H433">
        <v>0.14090000000000261</v>
      </c>
      <c r="I433">
        <v>0.11090000000000397</v>
      </c>
    </row>
    <row r="434" spans="1:9" x14ac:dyDescent="0.5">
      <c r="A434">
        <v>6.980000000000279E-2</v>
      </c>
      <c r="B434">
        <v>0.11410000000000406</v>
      </c>
      <c r="C434">
        <v>0.10300000000000374</v>
      </c>
      <c r="D434">
        <v>6.980000000000279E-2</v>
      </c>
      <c r="E434">
        <v>0.11410000000000406</v>
      </c>
      <c r="F434">
        <v>0.10300000000000374</v>
      </c>
      <c r="G434">
        <v>0.26139999999998936</v>
      </c>
      <c r="H434">
        <v>8.76000000000033E-2</v>
      </c>
      <c r="I434">
        <v>8.9900000000003366E-2</v>
      </c>
    </row>
    <row r="435" spans="1:9" x14ac:dyDescent="0.5">
      <c r="A435">
        <v>7.2800000000002876E-2</v>
      </c>
      <c r="B435">
        <v>0.11120000000000398</v>
      </c>
      <c r="C435">
        <v>0.10660000000000384</v>
      </c>
      <c r="D435">
        <v>7.2800000000002876E-2</v>
      </c>
      <c r="E435">
        <v>0.11120000000000398</v>
      </c>
      <c r="F435">
        <v>0.10660000000000384</v>
      </c>
      <c r="G435">
        <v>0.11740000000000415</v>
      </c>
      <c r="H435">
        <v>8.8600000000003329E-2</v>
      </c>
      <c r="I435">
        <v>9.0200000000003375E-2</v>
      </c>
    </row>
    <row r="436" spans="1:9" x14ac:dyDescent="0.5">
      <c r="A436">
        <v>7.6900000000002994E-2</v>
      </c>
      <c r="B436">
        <v>8.3500000000003183E-2</v>
      </c>
      <c r="C436">
        <v>0.11350000000000404</v>
      </c>
      <c r="D436">
        <v>7.6900000000002994E-2</v>
      </c>
      <c r="E436">
        <v>8.3500000000003183E-2</v>
      </c>
      <c r="F436">
        <v>0.11350000000000404</v>
      </c>
      <c r="G436">
        <v>0.12280000000000431</v>
      </c>
      <c r="H436">
        <v>0.1154000000000041</v>
      </c>
      <c r="I436">
        <v>0.10200000000000371</v>
      </c>
    </row>
    <row r="437" spans="1:9" x14ac:dyDescent="0.5">
      <c r="A437">
        <v>7.050000000000281E-2</v>
      </c>
      <c r="B437">
        <v>9.6700000000003561E-2</v>
      </c>
      <c r="C437">
        <v>0.10820000000000389</v>
      </c>
      <c r="D437">
        <v>7.050000000000281E-2</v>
      </c>
      <c r="E437">
        <v>9.6700000000003561E-2</v>
      </c>
      <c r="F437">
        <v>0.10820000000000389</v>
      </c>
      <c r="G437">
        <v>0.10570000000000382</v>
      </c>
      <c r="H437">
        <v>0.11450000000000407</v>
      </c>
      <c r="I437">
        <v>9.5200000000003518E-2</v>
      </c>
    </row>
    <row r="438" spans="1:9" x14ac:dyDescent="0.5">
      <c r="A438">
        <v>8.4400000000003209E-2</v>
      </c>
      <c r="B438">
        <v>9.9000000000003627E-2</v>
      </c>
      <c r="C438">
        <v>9.5900000000003538E-2</v>
      </c>
      <c r="D438">
        <v>8.4400000000003209E-2</v>
      </c>
      <c r="E438">
        <v>9.9000000000003627E-2</v>
      </c>
      <c r="F438">
        <v>9.5900000000003538E-2</v>
      </c>
      <c r="G438">
        <v>0.12000000000000423</v>
      </c>
      <c r="H438">
        <v>8.7500000000003297E-2</v>
      </c>
      <c r="I438">
        <v>9.0800000000003392E-2</v>
      </c>
    </row>
    <row r="439" spans="1:9" x14ac:dyDescent="0.5">
      <c r="A439">
        <v>7.9700000000003074E-2</v>
      </c>
      <c r="B439">
        <v>0.10050000000000367</v>
      </c>
      <c r="C439">
        <v>0.1014000000000037</v>
      </c>
      <c r="D439">
        <v>7.9700000000003074E-2</v>
      </c>
      <c r="E439">
        <v>0.10050000000000367</v>
      </c>
      <c r="F439">
        <v>0.1014000000000037</v>
      </c>
      <c r="G439">
        <v>0.12470000000000436</v>
      </c>
      <c r="H439">
        <v>0.12800000000000403</v>
      </c>
      <c r="I439">
        <v>0.10070000000000368</v>
      </c>
    </row>
    <row r="440" spans="1:9" x14ac:dyDescent="0.5">
      <c r="A440">
        <v>7.990000000000308E-2</v>
      </c>
      <c r="B440">
        <v>9.1400000000003409E-2</v>
      </c>
      <c r="C440">
        <v>0.112000000000004</v>
      </c>
      <c r="D440">
        <v>7.990000000000308E-2</v>
      </c>
      <c r="E440">
        <v>9.1400000000003409E-2</v>
      </c>
      <c r="F440">
        <v>0.112000000000004</v>
      </c>
      <c r="G440">
        <v>0.12010000000000423</v>
      </c>
      <c r="H440">
        <v>8.6300000000003263E-2</v>
      </c>
      <c r="I440">
        <v>7.780000000000302E-2</v>
      </c>
    </row>
    <row r="441" spans="1:9" x14ac:dyDescent="0.5">
      <c r="A441">
        <v>9.840000000000361E-2</v>
      </c>
      <c r="B441">
        <v>0.12820000000000401</v>
      </c>
      <c r="C441">
        <v>0.12020000000000423</v>
      </c>
      <c r="D441">
        <v>9.840000000000361E-2</v>
      </c>
      <c r="E441">
        <v>0.12820000000000401</v>
      </c>
      <c r="F441">
        <v>0.12020000000000423</v>
      </c>
      <c r="G441">
        <v>0.12710000000000413</v>
      </c>
      <c r="H441">
        <v>9.5300000000003521E-2</v>
      </c>
      <c r="I441">
        <v>9.4700000000003504E-2</v>
      </c>
    </row>
    <row r="442" spans="1:9" x14ac:dyDescent="0.5">
      <c r="A442">
        <v>8.9200000000003346E-2</v>
      </c>
      <c r="B442">
        <v>9.2900000000003452E-2</v>
      </c>
      <c r="C442">
        <v>9.6000000000003541E-2</v>
      </c>
      <c r="D442">
        <v>8.9200000000003346E-2</v>
      </c>
      <c r="E442">
        <v>9.2900000000003452E-2</v>
      </c>
      <c r="F442">
        <v>9.6000000000003541E-2</v>
      </c>
      <c r="G442">
        <v>0.10770000000000388</v>
      </c>
      <c r="H442">
        <v>0.11090000000000397</v>
      </c>
      <c r="I442">
        <v>8.0300000000003091E-2</v>
      </c>
    </row>
    <row r="443" spans="1:9" x14ac:dyDescent="0.5">
      <c r="A443">
        <v>6.6800000000002704E-2</v>
      </c>
      <c r="B443">
        <v>9.7100000000003572E-2</v>
      </c>
      <c r="C443">
        <v>0.10260000000000373</v>
      </c>
      <c r="D443">
        <v>6.6800000000002704E-2</v>
      </c>
      <c r="E443">
        <v>9.7100000000003572E-2</v>
      </c>
      <c r="F443">
        <v>0.10260000000000373</v>
      </c>
      <c r="G443">
        <v>0.11070000000000396</v>
      </c>
      <c r="H443">
        <v>0.11250000000000401</v>
      </c>
      <c r="I443">
        <v>9.4400000000003495E-2</v>
      </c>
    </row>
    <row r="444" spans="1:9" x14ac:dyDescent="0.5">
      <c r="A444">
        <v>7.5500000000002954E-2</v>
      </c>
      <c r="B444">
        <v>0.10460000000000379</v>
      </c>
      <c r="C444">
        <v>0.11400000000000406</v>
      </c>
      <c r="D444">
        <v>7.5500000000002954E-2</v>
      </c>
      <c r="E444">
        <v>0.10460000000000379</v>
      </c>
      <c r="F444">
        <v>0.11400000000000406</v>
      </c>
      <c r="G444">
        <v>0.12160000000000427</v>
      </c>
      <c r="H444">
        <v>9.2700000000003446E-2</v>
      </c>
      <c r="I444">
        <v>9.9200000000003632E-2</v>
      </c>
    </row>
    <row r="445" spans="1:9" x14ac:dyDescent="0.5">
      <c r="A445">
        <v>8.2800000000003163E-2</v>
      </c>
      <c r="B445">
        <v>0.10090000000000368</v>
      </c>
      <c r="C445">
        <v>0.10600000000000383</v>
      </c>
      <c r="D445">
        <v>8.2800000000003163E-2</v>
      </c>
      <c r="E445">
        <v>0.10090000000000368</v>
      </c>
      <c r="F445">
        <v>0.10600000000000383</v>
      </c>
      <c r="G445">
        <v>0.12100000000000426</v>
      </c>
      <c r="H445">
        <v>0.10950000000000393</v>
      </c>
      <c r="I445">
        <v>0.10570000000000382</v>
      </c>
    </row>
    <row r="446" spans="1:9" x14ac:dyDescent="0.5">
      <c r="A446">
        <v>8.9600000000003358E-2</v>
      </c>
      <c r="B446">
        <v>0.11990000000000423</v>
      </c>
      <c r="C446">
        <v>9.8100000000003601E-2</v>
      </c>
      <c r="D446">
        <v>8.9600000000003358E-2</v>
      </c>
      <c r="E446">
        <v>0.11990000000000423</v>
      </c>
      <c r="F446">
        <v>9.8100000000003601E-2</v>
      </c>
      <c r="G446">
        <v>0.11050000000000396</v>
      </c>
      <c r="H446">
        <v>0.10180000000000371</v>
      </c>
      <c r="I446">
        <v>8.6000000000003254E-2</v>
      </c>
    </row>
    <row r="447" spans="1:9" x14ac:dyDescent="0.5">
      <c r="A447">
        <v>8.900000000000334E-2</v>
      </c>
      <c r="B447">
        <v>9.840000000000361E-2</v>
      </c>
      <c r="C447">
        <v>0.10230000000000372</v>
      </c>
      <c r="D447">
        <v>8.900000000000334E-2</v>
      </c>
      <c r="E447">
        <v>9.840000000000361E-2</v>
      </c>
      <c r="F447">
        <v>0.10230000000000372</v>
      </c>
      <c r="G447">
        <v>0.11240000000000401</v>
      </c>
      <c r="H447">
        <v>0.11870000000000419</v>
      </c>
      <c r="I447">
        <v>8.5200000000003231E-2</v>
      </c>
    </row>
    <row r="448" spans="1:9" x14ac:dyDescent="0.5">
      <c r="A448">
        <v>9.11000000000034E-2</v>
      </c>
      <c r="B448">
        <v>0.10090000000000368</v>
      </c>
      <c r="C448">
        <v>0.11140000000000398</v>
      </c>
      <c r="D448">
        <v>9.11000000000034E-2</v>
      </c>
      <c r="E448">
        <v>0.10090000000000368</v>
      </c>
      <c r="F448">
        <v>0.11140000000000398</v>
      </c>
      <c r="G448">
        <v>0.11690000000000414</v>
      </c>
      <c r="H448">
        <v>9.9000000000003627E-2</v>
      </c>
      <c r="I448">
        <v>8.8500000000003326E-2</v>
      </c>
    </row>
    <row r="449" spans="1:9" x14ac:dyDescent="0.5">
      <c r="A449">
        <v>0.10780000000000388</v>
      </c>
      <c r="B449">
        <v>0.10240000000000372</v>
      </c>
      <c r="C449">
        <v>0.11420000000000406</v>
      </c>
      <c r="D449">
        <v>0.10780000000000388</v>
      </c>
      <c r="E449">
        <v>0.10240000000000372</v>
      </c>
      <c r="F449">
        <v>0.11420000000000406</v>
      </c>
      <c r="G449">
        <v>0.24049999999999164</v>
      </c>
      <c r="H449">
        <v>8.550000000000324E-2</v>
      </c>
      <c r="I449">
        <v>9.5500000000003527E-2</v>
      </c>
    </row>
    <row r="450" spans="1:9" x14ac:dyDescent="0.5">
      <c r="A450">
        <v>9.980000000000365E-2</v>
      </c>
      <c r="B450">
        <v>9.3500000000003469E-2</v>
      </c>
      <c r="C450">
        <v>9.0200000000003375E-2</v>
      </c>
      <c r="D450">
        <v>9.980000000000365E-2</v>
      </c>
      <c r="E450">
        <v>9.3500000000003469E-2</v>
      </c>
      <c r="F450">
        <v>9.0200000000003375E-2</v>
      </c>
      <c r="G450">
        <v>0.12580000000000427</v>
      </c>
      <c r="H450">
        <v>9.7500000000003584E-2</v>
      </c>
      <c r="I450">
        <v>0.10660000000000384</v>
      </c>
    </row>
    <row r="451" spans="1:9" x14ac:dyDescent="0.5">
      <c r="A451">
        <v>5.8700000000002479E-2</v>
      </c>
      <c r="B451">
        <v>0.11440000000000407</v>
      </c>
      <c r="C451">
        <v>0.11960000000000422</v>
      </c>
      <c r="D451">
        <v>5.8700000000002479E-2</v>
      </c>
      <c r="E451">
        <v>0.11440000000000407</v>
      </c>
      <c r="F451">
        <v>0.11960000000000422</v>
      </c>
      <c r="G451">
        <v>0.11780000000000417</v>
      </c>
      <c r="H451">
        <v>0.10930000000000392</v>
      </c>
      <c r="I451">
        <v>9.8700000000003618E-2</v>
      </c>
    </row>
    <row r="452" spans="1:9" x14ac:dyDescent="0.5">
      <c r="A452">
        <v>8.2600000000003157E-2</v>
      </c>
      <c r="B452">
        <v>0.12270000000000431</v>
      </c>
      <c r="C452">
        <v>0.11050000000000396</v>
      </c>
      <c r="D452">
        <v>8.2600000000003157E-2</v>
      </c>
      <c r="E452">
        <v>0.12270000000000431</v>
      </c>
      <c r="F452">
        <v>0.11050000000000396</v>
      </c>
      <c r="G452">
        <v>0.12150000000000427</v>
      </c>
      <c r="H452">
        <v>0.12520000000000434</v>
      </c>
      <c r="I452">
        <v>0.10890000000000391</v>
      </c>
    </row>
    <row r="453" spans="1:9" x14ac:dyDescent="0.5">
      <c r="A453">
        <v>9.8300000000003607E-2</v>
      </c>
      <c r="B453">
        <v>0.1016000000000037</v>
      </c>
      <c r="C453">
        <v>9.0200000000003375E-2</v>
      </c>
      <c r="D453">
        <v>9.8300000000003607E-2</v>
      </c>
      <c r="E453">
        <v>0.1016000000000037</v>
      </c>
      <c r="F453">
        <v>9.0200000000003375E-2</v>
      </c>
      <c r="G453">
        <v>0.11950000000000421</v>
      </c>
      <c r="H453">
        <v>0.12150000000000427</v>
      </c>
      <c r="I453">
        <v>8.900000000000334E-2</v>
      </c>
    </row>
    <row r="454" spans="1:9" x14ac:dyDescent="0.5">
      <c r="A454">
        <v>9.4400000000003495E-2</v>
      </c>
      <c r="B454">
        <v>0.1016000000000037</v>
      </c>
      <c r="C454">
        <v>0.11390000000000405</v>
      </c>
      <c r="D454">
        <v>9.4400000000003495E-2</v>
      </c>
      <c r="E454">
        <v>0.1016000000000037</v>
      </c>
      <c r="F454">
        <v>0.11390000000000405</v>
      </c>
      <c r="G454">
        <v>0.11010000000000394</v>
      </c>
      <c r="H454">
        <v>9.3600000000003472E-2</v>
      </c>
      <c r="I454">
        <v>9.2400000000003438E-2</v>
      </c>
    </row>
    <row r="455" spans="1:9" x14ac:dyDescent="0.5">
      <c r="A455">
        <v>8.4500000000003211E-2</v>
      </c>
      <c r="B455">
        <v>0.12530000000000432</v>
      </c>
      <c r="C455">
        <v>0.12620000000000423</v>
      </c>
      <c r="D455">
        <v>8.4500000000003211E-2</v>
      </c>
      <c r="E455">
        <v>0.12530000000000432</v>
      </c>
      <c r="F455">
        <v>0.12620000000000423</v>
      </c>
      <c r="G455">
        <v>0.13260000000000352</v>
      </c>
      <c r="H455">
        <v>0.10350000000000376</v>
      </c>
      <c r="I455">
        <v>9.7300000000003578E-2</v>
      </c>
    </row>
    <row r="456" spans="1:9" x14ac:dyDescent="0.5">
      <c r="A456">
        <v>9.2100000000003429E-2</v>
      </c>
      <c r="B456">
        <v>0.11690000000000414</v>
      </c>
      <c r="C456">
        <v>0.11700000000000414</v>
      </c>
      <c r="D456">
        <v>9.2100000000003429E-2</v>
      </c>
      <c r="E456">
        <v>0.11690000000000414</v>
      </c>
      <c r="F456">
        <v>0.11700000000000414</v>
      </c>
      <c r="G456">
        <v>9.8600000000003615E-2</v>
      </c>
      <c r="H456">
        <v>8.0000000000003083E-2</v>
      </c>
      <c r="I456">
        <v>9.9900000000003653E-2</v>
      </c>
    </row>
    <row r="457" spans="1:9" x14ac:dyDescent="0.5">
      <c r="A457">
        <v>8.5900000000003252E-2</v>
      </c>
      <c r="B457">
        <v>0.11990000000000423</v>
      </c>
      <c r="C457">
        <v>0.10330000000000375</v>
      </c>
      <c r="D457">
        <v>8.5900000000003252E-2</v>
      </c>
      <c r="E457">
        <v>0.11990000000000423</v>
      </c>
      <c r="F457">
        <v>0.10330000000000375</v>
      </c>
      <c r="G457">
        <v>0.11990000000000423</v>
      </c>
      <c r="H457">
        <v>0.10590000000000382</v>
      </c>
      <c r="I457">
        <v>9.4300000000003492E-2</v>
      </c>
    </row>
    <row r="458" spans="1:9" x14ac:dyDescent="0.5">
      <c r="A458">
        <v>8.7400000000003294E-2</v>
      </c>
      <c r="B458">
        <v>0.11980000000000422</v>
      </c>
      <c r="C458">
        <v>9.5200000000003518E-2</v>
      </c>
      <c r="D458">
        <v>8.7400000000003294E-2</v>
      </c>
      <c r="E458">
        <v>0.11980000000000422</v>
      </c>
      <c r="F458">
        <v>9.5200000000003518E-2</v>
      </c>
      <c r="G458">
        <v>0.11290000000000402</v>
      </c>
      <c r="H458">
        <v>9.5100000000003515E-2</v>
      </c>
      <c r="I458">
        <v>9.3900000000003481E-2</v>
      </c>
    </row>
    <row r="459" spans="1:9" x14ac:dyDescent="0.5">
      <c r="A459">
        <v>9.4700000000003504E-2</v>
      </c>
      <c r="B459">
        <v>0.10240000000000372</v>
      </c>
      <c r="C459">
        <v>0.10360000000000376</v>
      </c>
      <c r="D459">
        <v>9.4700000000003504E-2</v>
      </c>
      <c r="E459">
        <v>0.10240000000000372</v>
      </c>
      <c r="F459">
        <v>0.10360000000000376</v>
      </c>
      <c r="G459">
        <v>0.21879999999999403</v>
      </c>
      <c r="H459">
        <v>0.10220000000000372</v>
      </c>
      <c r="I459">
        <v>0.10030000000000366</v>
      </c>
    </row>
    <row r="460" spans="1:9" x14ac:dyDescent="0.5">
      <c r="A460">
        <v>7.7300000000003005E-2</v>
      </c>
      <c r="B460">
        <v>0.10570000000000382</v>
      </c>
      <c r="C460">
        <v>0.10800000000000388</v>
      </c>
      <c r="D460">
        <v>7.7300000000003005E-2</v>
      </c>
      <c r="E460">
        <v>0.10570000000000382</v>
      </c>
      <c r="F460">
        <v>0.10800000000000388</v>
      </c>
      <c r="G460">
        <v>0.11240000000000401</v>
      </c>
      <c r="H460">
        <v>9.2100000000003429E-2</v>
      </c>
      <c r="I460">
        <v>8.5000000000003226E-2</v>
      </c>
    </row>
    <row r="461" spans="1:9" x14ac:dyDescent="0.5">
      <c r="A461">
        <v>9.910000000000363E-2</v>
      </c>
      <c r="B461">
        <v>9.7300000000003578E-2</v>
      </c>
      <c r="C461">
        <v>0.10800000000000388</v>
      </c>
      <c r="D461">
        <v>9.910000000000363E-2</v>
      </c>
      <c r="E461">
        <v>9.7300000000003578E-2</v>
      </c>
      <c r="F461">
        <v>0.10800000000000388</v>
      </c>
      <c r="G461">
        <v>0.111900000000004</v>
      </c>
      <c r="H461">
        <v>0.10070000000000368</v>
      </c>
      <c r="I461">
        <v>9.6800000000003564E-2</v>
      </c>
    </row>
    <row r="462" spans="1:9" x14ac:dyDescent="0.5">
      <c r="A462">
        <v>9.5200000000003518E-2</v>
      </c>
      <c r="B462">
        <v>0.11740000000000415</v>
      </c>
      <c r="C462">
        <v>0.12130000000000427</v>
      </c>
      <c r="D462">
        <v>9.5200000000003518E-2</v>
      </c>
      <c r="E462">
        <v>0.11740000000000415</v>
      </c>
      <c r="F462">
        <v>0.12130000000000427</v>
      </c>
      <c r="G462">
        <v>0.13830000000000289</v>
      </c>
      <c r="H462">
        <v>0.12400000000000434</v>
      </c>
      <c r="I462">
        <v>0.10460000000000379</v>
      </c>
    </row>
    <row r="463" spans="1:9" x14ac:dyDescent="0.5">
      <c r="A463">
        <v>8.2800000000003163E-2</v>
      </c>
      <c r="B463">
        <v>0.10780000000000388</v>
      </c>
      <c r="C463">
        <v>0.11320000000000403</v>
      </c>
      <c r="D463">
        <v>8.2800000000003163E-2</v>
      </c>
      <c r="E463">
        <v>0.10780000000000388</v>
      </c>
      <c r="F463">
        <v>0.11320000000000403</v>
      </c>
      <c r="G463">
        <v>0.11050000000000396</v>
      </c>
      <c r="H463">
        <v>0.11500000000000409</v>
      </c>
      <c r="I463">
        <v>8.8700000000003332E-2</v>
      </c>
    </row>
    <row r="464" spans="1:9" x14ac:dyDescent="0.5">
      <c r="A464">
        <v>8.2600000000001728E-2</v>
      </c>
      <c r="B464">
        <v>0.10000000000000223</v>
      </c>
      <c r="C464">
        <v>0.10530000000000238</v>
      </c>
    </row>
    <row r="465" spans="1:3" x14ac:dyDescent="0.5">
      <c r="A465">
        <v>8.1400000000001693E-2</v>
      </c>
      <c r="B465">
        <v>0.10300000000000231</v>
      </c>
      <c r="C465">
        <v>0.10350000000000233</v>
      </c>
    </row>
    <row r="466" spans="1:3" x14ac:dyDescent="0.5">
      <c r="A466">
        <v>8.6400000000001836E-2</v>
      </c>
      <c r="B466">
        <v>0.10010000000000223</v>
      </c>
      <c r="C466">
        <v>0.10110000000000226</v>
      </c>
    </row>
    <row r="467" spans="1:3" x14ac:dyDescent="0.5">
      <c r="A467">
        <v>7.9100000000001627E-2</v>
      </c>
      <c r="B467">
        <v>0.10770000000000245</v>
      </c>
      <c r="C467">
        <v>0.10530000000000238</v>
      </c>
    </row>
    <row r="468" spans="1:3" x14ac:dyDescent="0.5">
      <c r="A468">
        <v>7.7600000000001584E-2</v>
      </c>
      <c r="B468">
        <v>0.11180000000000256</v>
      </c>
      <c r="C468">
        <v>0.10640000000000241</v>
      </c>
    </row>
    <row r="469" spans="1:3" x14ac:dyDescent="0.5">
      <c r="A469">
        <v>9.0400000000001951E-2</v>
      </c>
      <c r="B469">
        <v>0.10830000000000246</v>
      </c>
      <c r="C469">
        <v>0.11050000000000253</v>
      </c>
    </row>
    <row r="470" spans="1:3" x14ac:dyDescent="0.5">
      <c r="A470">
        <v>9.8100000000002172E-2</v>
      </c>
      <c r="B470">
        <v>0.10690000000000242</v>
      </c>
      <c r="C470">
        <v>0.11810000000000274</v>
      </c>
    </row>
    <row r="471" spans="1:3" x14ac:dyDescent="0.5">
      <c r="A471">
        <v>7.6700000000001559E-2</v>
      </c>
      <c r="B471">
        <v>0.10490000000000237</v>
      </c>
      <c r="C471">
        <v>9.6800000000002134E-2</v>
      </c>
    </row>
    <row r="472" spans="1:3" x14ac:dyDescent="0.5">
      <c r="A472">
        <v>7.9300000000001633E-2</v>
      </c>
      <c r="B472">
        <v>9.8700000000002189E-2</v>
      </c>
      <c r="C472">
        <v>0.11150000000000256</v>
      </c>
    </row>
    <row r="473" spans="1:3" x14ac:dyDescent="0.5">
      <c r="A473">
        <v>5.7800000000001024E-2</v>
      </c>
      <c r="B473">
        <v>9.5200000000002089E-2</v>
      </c>
      <c r="C473">
        <v>9.1900000000001994E-2</v>
      </c>
    </row>
    <row r="474" spans="1:3" x14ac:dyDescent="0.5">
      <c r="A474">
        <v>9.5500000000002097E-2</v>
      </c>
      <c r="B474">
        <v>9.280000000000202E-2</v>
      </c>
      <c r="C474">
        <v>9.9400000000002209E-2</v>
      </c>
    </row>
    <row r="475" spans="1:3" x14ac:dyDescent="0.5">
      <c r="A475">
        <v>8.8600000000001899E-2</v>
      </c>
      <c r="B475">
        <v>0.23859999999999043</v>
      </c>
      <c r="C475">
        <v>0.10170000000000227</v>
      </c>
    </row>
    <row r="476" spans="1:3" x14ac:dyDescent="0.5">
      <c r="A476">
        <v>9.1800000000001991E-2</v>
      </c>
      <c r="B476">
        <v>0.10010000000000223</v>
      </c>
      <c r="C476">
        <v>9.8200000000002174E-2</v>
      </c>
    </row>
    <row r="477" spans="1:3" x14ac:dyDescent="0.5">
      <c r="A477">
        <v>7.8300000000001604E-2</v>
      </c>
      <c r="B477">
        <v>9.8800000000002192E-2</v>
      </c>
      <c r="C477">
        <v>9.5100000000002086E-2</v>
      </c>
    </row>
    <row r="478" spans="1:3" x14ac:dyDescent="0.5">
      <c r="A478">
        <v>9.6500000000002126E-2</v>
      </c>
      <c r="B478">
        <v>9.9900000000002223E-2</v>
      </c>
      <c r="C478">
        <v>0.10670000000000242</v>
      </c>
    </row>
    <row r="479" spans="1:3" x14ac:dyDescent="0.5">
      <c r="A479">
        <v>7.150000000000141E-2</v>
      </c>
      <c r="B479">
        <v>0.10500000000000237</v>
      </c>
      <c r="C479">
        <v>0.1025000000000023</v>
      </c>
    </row>
    <row r="480" spans="1:3" x14ac:dyDescent="0.5">
      <c r="A480">
        <v>8.8200000000001888E-2</v>
      </c>
      <c r="B480">
        <v>0.10680000000000242</v>
      </c>
      <c r="C480">
        <v>9.91000000000022E-2</v>
      </c>
    </row>
    <row r="481" spans="1:8" x14ac:dyDescent="0.5">
      <c r="A481">
        <v>6.6600000000001269E-2</v>
      </c>
      <c r="B481">
        <v>0.10320000000000232</v>
      </c>
      <c r="C481">
        <v>0.11090000000000254</v>
      </c>
    </row>
    <row r="482" spans="1:8" x14ac:dyDescent="0.5">
      <c r="A482">
        <v>8.7600000000001871E-2</v>
      </c>
      <c r="B482">
        <v>9.9000000000002197E-2</v>
      </c>
      <c r="C482">
        <v>0.11010000000000252</v>
      </c>
    </row>
    <row r="483" spans="1:8" x14ac:dyDescent="0.5">
      <c r="A483">
        <v>7.8600000000001613E-2</v>
      </c>
      <c r="B483">
        <v>0.11730000000000272</v>
      </c>
      <c r="C483">
        <v>9.7900000000002166E-2</v>
      </c>
    </row>
    <row r="484" spans="1:8" x14ac:dyDescent="0.5">
      <c r="A484">
        <v>7.9300000000001633E-2</v>
      </c>
      <c r="B484">
        <v>0.10180000000000228</v>
      </c>
      <c r="C484">
        <v>0.10590000000000239</v>
      </c>
    </row>
    <row r="485" spans="1:8" x14ac:dyDescent="0.5">
      <c r="A485">
        <v>6.7600000000001298E-2</v>
      </c>
      <c r="B485">
        <v>0.10220000000000229</v>
      </c>
      <c r="C485">
        <v>0.11730000000000272</v>
      </c>
    </row>
    <row r="486" spans="1:8" x14ac:dyDescent="0.5">
      <c r="A486">
        <v>7.3100000000001455E-2</v>
      </c>
      <c r="B486">
        <v>9.7500000000002154E-2</v>
      </c>
      <c r="C486">
        <v>0.10980000000000251</v>
      </c>
    </row>
    <row r="487" spans="1:8" x14ac:dyDescent="0.5">
      <c r="A487">
        <v>7.080000000000139E-2</v>
      </c>
      <c r="B487">
        <v>9.5800000000002106E-2</v>
      </c>
      <c r="C487">
        <v>0.10310000000000231</v>
      </c>
    </row>
    <row r="488" spans="1:8" x14ac:dyDescent="0.5">
      <c r="A488">
        <v>6.9300000000001347E-2</v>
      </c>
      <c r="B488">
        <v>8.8700000000001902E-2</v>
      </c>
      <c r="C488">
        <v>0.10840000000000247</v>
      </c>
    </row>
    <row r="489" spans="1:8" x14ac:dyDescent="0.5">
      <c r="A489">
        <v>0.13530000000000181</v>
      </c>
      <c r="B489">
        <v>9.8000000000002169E-2</v>
      </c>
      <c r="C489">
        <v>0.10040000000000224</v>
      </c>
    </row>
    <row r="490" spans="1:8" x14ac:dyDescent="0.5">
      <c r="A490">
        <v>6.9000000000001338E-2</v>
      </c>
      <c r="B490">
        <v>0.1025000000000023</v>
      </c>
      <c r="C490">
        <v>9.7500000000002154E-2</v>
      </c>
    </row>
    <row r="491" spans="1:8" x14ac:dyDescent="0.5">
      <c r="A491">
        <v>7.6300000000002977E-2</v>
      </c>
      <c r="B491">
        <v>0.10420000000000378</v>
      </c>
      <c r="C491">
        <v>9.0600000000003386E-2</v>
      </c>
    </row>
    <row r="492" spans="1:8" x14ac:dyDescent="0.5">
      <c r="A492">
        <v>7.6100000000002971E-2</v>
      </c>
      <c r="B492">
        <v>0.10440000000000378</v>
      </c>
      <c r="C492">
        <v>8.9200000000003346E-2</v>
      </c>
    </row>
    <row r="493" spans="1:8" x14ac:dyDescent="0.5">
      <c r="A493">
        <v>5.8199999999631657E-2</v>
      </c>
      <c r="B493">
        <v>9.5999999999543562E-2</v>
      </c>
      <c r="C493">
        <v>0.10289999999952748</v>
      </c>
    </row>
    <row r="494" spans="1:8" x14ac:dyDescent="0.5">
      <c r="A494">
        <v>7.6899999962946539E-2</v>
      </c>
      <c r="B494">
        <v>9.859999996294716E-2</v>
      </c>
      <c r="C494">
        <v>0.11489999996294763</v>
      </c>
    </row>
    <row r="495" spans="1:8" x14ac:dyDescent="0.5">
      <c r="A495">
        <v>6.4499999962946183E-2</v>
      </c>
      <c r="B495">
        <v>0.11249999996294756</v>
      </c>
      <c r="C495">
        <v>0.11239999996294756</v>
      </c>
    </row>
    <row r="496" spans="1:8" x14ac:dyDescent="0.5">
      <c r="A496">
        <v>5.9799999960615476E-2</v>
      </c>
      <c r="B496">
        <v>7.2499999960615832E-2</v>
      </c>
      <c r="C496">
        <v>7.869999996061601E-2</v>
      </c>
      <c r="D496">
        <v>5.9799999960615476E-2</v>
      </c>
      <c r="E496">
        <v>7.2499999960615832E-2</v>
      </c>
      <c r="F496">
        <v>7.869999996061601E-2</v>
      </c>
      <c r="G496" s="11">
        <v>7.0499999999604768E-2</v>
      </c>
      <c r="H496" s="11">
        <v>6.7099999999612692E-2</v>
      </c>
    </row>
    <row r="497" spans="1:3" x14ac:dyDescent="0.5">
      <c r="A497">
        <v>3.899999996294546E-2</v>
      </c>
      <c r="B497">
        <v>9.0599999962946931E-2</v>
      </c>
      <c r="C497">
        <v>7.6899999962946539E-2</v>
      </c>
    </row>
    <row r="498" spans="1:3" x14ac:dyDescent="0.5">
      <c r="A498">
        <v>2.8999999962945253E-2</v>
      </c>
      <c r="B498">
        <v>8.8699999962946877E-2</v>
      </c>
      <c r="C498">
        <v>8.4399999962946753E-2</v>
      </c>
    </row>
    <row r="499" spans="1:3" x14ac:dyDescent="0.5">
      <c r="A499">
        <v>5.6999999962945976E-2</v>
      </c>
      <c r="B499">
        <v>8.1999999962946685E-2</v>
      </c>
      <c r="C499">
        <v>7.7399999962946553E-2</v>
      </c>
    </row>
    <row r="500" spans="1:3" x14ac:dyDescent="0.5">
      <c r="A500">
        <v>3.6099999962945377E-2</v>
      </c>
      <c r="B500">
        <v>8.3899999962946739E-2</v>
      </c>
      <c r="C500">
        <v>7.3899999962946453E-2</v>
      </c>
    </row>
    <row r="501" spans="1:3" x14ac:dyDescent="0.5">
      <c r="A501">
        <v>4.4799999962945626E-2</v>
      </c>
      <c r="B501">
        <v>0.10149999996294724</v>
      </c>
      <c r="C501">
        <v>7.4799999962946478E-2</v>
      </c>
    </row>
    <row r="502" spans="1:3" x14ac:dyDescent="0.5">
      <c r="A502">
        <v>4.2999999962945575E-2</v>
      </c>
      <c r="B502">
        <v>0.10999999996294749</v>
      </c>
      <c r="C502">
        <v>8.1599999962946673E-2</v>
      </c>
    </row>
    <row r="503" spans="1:3" x14ac:dyDescent="0.5">
      <c r="A503">
        <v>9.0300000000002031E-2</v>
      </c>
      <c r="B503">
        <v>0.2332999999999911</v>
      </c>
      <c r="C503">
        <v>0.10620000000000249</v>
      </c>
    </row>
    <row r="504" spans="1:3" x14ac:dyDescent="0.5">
      <c r="A504">
        <v>0.10030000000000368</v>
      </c>
      <c r="B504">
        <v>9.9600000000003658E-2</v>
      </c>
      <c r="C504">
        <v>0.1082000000000039</v>
      </c>
    </row>
    <row r="505" spans="1:3" x14ac:dyDescent="0.5">
      <c r="A505">
        <v>6.3600000000001544E-2</v>
      </c>
      <c r="B505">
        <v>9.9100000000002561E-2</v>
      </c>
      <c r="C505">
        <v>8.6400000000002197E-2</v>
      </c>
    </row>
    <row r="506" spans="1:3" x14ac:dyDescent="0.5">
      <c r="A506">
        <v>8.6700000000001581E-2</v>
      </c>
      <c r="B506">
        <v>0.10360000000000207</v>
      </c>
      <c r="C506">
        <v>9.6000000000001848E-2</v>
      </c>
    </row>
    <row r="507" spans="1:3" x14ac:dyDescent="0.5">
      <c r="A507">
        <v>6.7900000000000807E-2</v>
      </c>
      <c r="B507">
        <v>9.8200000000001675E-2</v>
      </c>
      <c r="C507">
        <v>9.8800000000001692E-2</v>
      </c>
    </row>
    <row r="508" spans="1:3" x14ac:dyDescent="0.5">
      <c r="A508">
        <v>9.3900000000002135E-2</v>
      </c>
      <c r="B508">
        <v>8.5300000000001888E-2</v>
      </c>
      <c r="C508">
        <v>8.6200000000001914E-2</v>
      </c>
    </row>
    <row r="509" spans="1:3" x14ac:dyDescent="0.5">
      <c r="A509">
        <v>8.7100000000002231E-2</v>
      </c>
      <c r="B509">
        <v>0.11650000000000307</v>
      </c>
      <c r="C509">
        <v>0.10160000000000265</v>
      </c>
    </row>
    <row r="510" spans="1:3" x14ac:dyDescent="0.5">
      <c r="A510">
        <v>7.3200000000001542E-2</v>
      </c>
      <c r="B510">
        <v>0.10740000000000252</v>
      </c>
      <c r="C510">
        <v>0.10640000000000249</v>
      </c>
    </row>
    <row r="511" spans="1:3" x14ac:dyDescent="0.5">
      <c r="A511">
        <v>7.8500000000002582E-2</v>
      </c>
      <c r="B511">
        <v>0.10090000000000322</v>
      </c>
      <c r="C511">
        <v>0.10460000000000333</v>
      </c>
    </row>
    <row r="512" spans="1:3" x14ac:dyDescent="0.5">
      <c r="A512">
        <v>8.2599999999973736E-2</v>
      </c>
      <c r="B512">
        <v>0.10299999999997432</v>
      </c>
      <c r="C512">
        <v>9.4299999999974071E-2</v>
      </c>
    </row>
    <row r="513" spans="1:3" x14ac:dyDescent="0.5">
      <c r="A513">
        <v>7.4500000000001496E-2</v>
      </c>
      <c r="B513">
        <v>0.10580000000000239</v>
      </c>
      <c r="C513">
        <v>9.7500000000002154E-2</v>
      </c>
    </row>
    <row r="514" spans="1:3" x14ac:dyDescent="0.5">
      <c r="A514">
        <v>8.6000000000001908E-2</v>
      </c>
      <c r="B514">
        <v>0.10950000000000258</v>
      </c>
      <c r="C514">
        <v>0.10830000000000255</v>
      </c>
    </row>
    <row r="515" spans="1:3" x14ac:dyDescent="0.5">
      <c r="A515">
        <v>9.9800000000001748E-2</v>
      </c>
      <c r="B515">
        <v>0.11510000000000219</v>
      </c>
      <c r="C515">
        <v>9.9200000000001731E-2</v>
      </c>
    </row>
    <row r="516" spans="1:3" x14ac:dyDescent="0.5">
      <c r="A516">
        <v>7.9300000000001161E-2</v>
      </c>
      <c r="B516">
        <v>9.4000000000001582E-2</v>
      </c>
      <c r="C516">
        <v>0.11180000000000209</v>
      </c>
    </row>
    <row r="517" spans="1:3" x14ac:dyDescent="0.5">
      <c r="A517">
        <v>8.230000000000269E-2</v>
      </c>
      <c r="B517">
        <v>0.28709999999998609</v>
      </c>
      <c r="C517">
        <v>0.1070000000000034</v>
      </c>
    </row>
    <row r="518" spans="1:3" x14ac:dyDescent="0.5">
      <c r="A518">
        <v>8.3200000000003327E-2</v>
      </c>
      <c r="B518">
        <v>0.10960000000000408</v>
      </c>
      <c r="C518">
        <v>0.11150000000000414</v>
      </c>
    </row>
    <row r="519" spans="1:3" x14ac:dyDescent="0.5">
      <c r="A519">
        <v>8.7100000000002828E-2</v>
      </c>
      <c r="B519">
        <v>9.9300000000003177E-2</v>
      </c>
      <c r="C519">
        <v>0.1035000000000033</v>
      </c>
    </row>
    <row r="520" spans="1:3" x14ac:dyDescent="0.5">
      <c r="A520">
        <v>7.3800000000001559E-2</v>
      </c>
      <c r="B520">
        <v>0.22119999999999243</v>
      </c>
      <c r="C520">
        <v>9.6000000000002195E-2</v>
      </c>
    </row>
    <row r="521" spans="1:3" x14ac:dyDescent="0.5">
      <c r="A521">
        <v>8.1700000000001702E-2</v>
      </c>
      <c r="B521">
        <v>9.7300000000002149E-2</v>
      </c>
      <c r="C521">
        <v>9.1600000000001985E-2</v>
      </c>
    </row>
    <row r="522" spans="1:3" x14ac:dyDescent="0.5">
      <c r="A522">
        <v>8.1000000000001682E-2</v>
      </c>
      <c r="B522">
        <v>0.12790000000000262</v>
      </c>
      <c r="C522">
        <v>0.10500000000000237</v>
      </c>
    </row>
    <row r="523" spans="1:3" x14ac:dyDescent="0.5">
      <c r="A523">
        <v>8.4000000000001851E-2</v>
      </c>
      <c r="B523">
        <v>8.5400000000001891E-2</v>
      </c>
      <c r="C523">
        <v>8.2900000000001819E-2</v>
      </c>
    </row>
    <row r="524" spans="1:3" x14ac:dyDescent="0.5">
      <c r="A524">
        <v>8.5600000000001814E-2</v>
      </c>
      <c r="B524">
        <v>0.17769999999999714</v>
      </c>
      <c r="C524">
        <v>8.7300000000001862E-2</v>
      </c>
    </row>
    <row r="525" spans="1:3" x14ac:dyDescent="0.5">
      <c r="A525">
        <v>4.9300000000000781E-2</v>
      </c>
      <c r="B525">
        <v>8.4800000000001791E-2</v>
      </c>
      <c r="C525">
        <v>9.6900000000002137E-2</v>
      </c>
    </row>
    <row r="526" spans="1:3" x14ac:dyDescent="0.5">
      <c r="A526">
        <v>7.6200000000001544E-2</v>
      </c>
      <c r="B526">
        <v>0.10440000000000235</v>
      </c>
      <c r="C526">
        <v>0.1026000000000023</v>
      </c>
    </row>
    <row r="527" spans="1:3" x14ac:dyDescent="0.5">
      <c r="A527">
        <v>6.7500000000001295E-2</v>
      </c>
      <c r="B527">
        <v>9.490000000000208E-2</v>
      </c>
      <c r="C527">
        <v>9.3700000000002046E-2</v>
      </c>
    </row>
    <row r="528" spans="1:3" x14ac:dyDescent="0.5">
      <c r="A528">
        <v>8.9700000000001931E-2</v>
      </c>
      <c r="B528">
        <v>0.26019999999998805</v>
      </c>
      <c r="C528">
        <v>0.1095000000000025</v>
      </c>
    </row>
    <row r="529" spans="1:3" x14ac:dyDescent="0.5">
      <c r="A529">
        <v>7.5500000000001524E-2</v>
      </c>
      <c r="B529">
        <v>0.1026000000000023</v>
      </c>
      <c r="C529">
        <v>0.10150000000000227</v>
      </c>
    </row>
    <row r="530" spans="1:3" x14ac:dyDescent="0.5">
      <c r="A530">
        <v>7.9100000000001627E-2</v>
      </c>
      <c r="B530">
        <v>0.10740000000000244</v>
      </c>
      <c r="C530">
        <v>0.11460000000000264</v>
      </c>
    </row>
    <row r="531" spans="1:3" x14ac:dyDescent="0.5">
      <c r="A531">
        <v>9.1000000000001968E-2</v>
      </c>
      <c r="B531">
        <v>0.12270000000000288</v>
      </c>
      <c r="C531">
        <v>0.12330000000000289</v>
      </c>
    </row>
    <row r="532" spans="1:3" x14ac:dyDescent="0.5">
      <c r="A532">
        <v>9.2500000000002011E-2</v>
      </c>
      <c r="B532">
        <v>0.11810000000000274</v>
      </c>
      <c r="C532">
        <v>0.10440000000000235</v>
      </c>
    </row>
    <row r="533" spans="1:3" x14ac:dyDescent="0.5">
      <c r="A533">
        <v>7.990000000000165E-2</v>
      </c>
      <c r="B533">
        <v>9.3800000000002048E-2</v>
      </c>
      <c r="C533">
        <v>0.10680000000000242</v>
      </c>
    </row>
    <row r="534" spans="1:3" x14ac:dyDescent="0.5">
      <c r="A534">
        <v>8.5500000000001811E-2</v>
      </c>
      <c r="B534">
        <v>0.10630000000000241</v>
      </c>
      <c r="C534">
        <v>0.10030000000000223</v>
      </c>
    </row>
    <row r="535" spans="1:3" x14ac:dyDescent="0.5">
      <c r="A535">
        <v>2.6000000000000297E-2</v>
      </c>
      <c r="B535">
        <v>0.12050000000000281</v>
      </c>
      <c r="C535">
        <v>0.11930000000000278</v>
      </c>
    </row>
    <row r="536" spans="1:3" x14ac:dyDescent="0.5">
      <c r="A536">
        <v>8.3100000000001742E-2</v>
      </c>
      <c r="B536">
        <v>0.10460000000000236</v>
      </c>
      <c r="C536">
        <v>9.7900000000002166E-2</v>
      </c>
    </row>
    <row r="537" spans="1:3" x14ac:dyDescent="0.5">
      <c r="A537">
        <v>8.6100000000001828E-2</v>
      </c>
      <c r="B537">
        <v>0.10580000000000239</v>
      </c>
      <c r="C537">
        <v>0.11590000000000268</v>
      </c>
    </row>
    <row r="538" spans="1:3" x14ac:dyDescent="0.5">
      <c r="A538">
        <v>6.9500000000001352E-2</v>
      </c>
      <c r="B538">
        <v>0.10400000000000234</v>
      </c>
      <c r="C538">
        <v>0.12180000000000285</v>
      </c>
    </row>
    <row r="539" spans="1:3" x14ac:dyDescent="0.5">
      <c r="A539">
        <v>9.6800000000002134E-2</v>
      </c>
      <c r="B539">
        <v>0.25879999999998821</v>
      </c>
      <c r="C539">
        <v>0.1060000000000024</v>
      </c>
    </row>
    <row r="540" spans="1:3" x14ac:dyDescent="0.5">
      <c r="A540">
        <v>9.3400000000002037E-2</v>
      </c>
      <c r="B540">
        <v>0.10040000000000224</v>
      </c>
      <c r="C540">
        <v>0.10010000000000223</v>
      </c>
    </row>
    <row r="541" spans="1:3" x14ac:dyDescent="0.5">
      <c r="A541">
        <v>8.6500000000001839E-2</v>
      </c>
      <c r="B541">
        <v>0.23819999999999047</v>
      </c>
      <c r="C541">
        <v>0.1061000000000024</v>
      </c>
    </row>
    <row r="542" spans="1:3" x14ac:dyDescent="0.5">
      <c r="A542">
        <v>8.060000000000167E-2</v>
      </c>
      <c r="B542">
        <v>0.13120000000000226</v>
      </c>
      <c r="C542">
        <v>0.10460000000000236</v>
      </c>
    </row>
  </sheetData>
  <hyperlinks>
    <hyperlink ref="P57" r:id="rId1" xr:uid="{2FEC5A5E-C07D-4C05-B56C-F050800C90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Timing &amp; Accel Data</vt:lpstr>
      <vt:lpstr>a Timing Stats - by 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2026-02-01T05:20:05Z</dcterms:created>
  <dcterms:modified xsi:type="dcterms:W3CDTF">2026-02-02T04:28:20Z</dcterms:modified>
</cp:coreProperties>
</file>