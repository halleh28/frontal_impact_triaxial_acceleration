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zb\Documents\IIHS Research\Acceleration\Analysis\timing + rep plots\"/>
    </mc:Choice>
  </mc:AlternateContent>
  <xr:revisionPtr revIDLastSave="0" documentId="13_ncr:1_{250054F6-9CBE-4139-A653-FEE691F90FA7}" xr6:coauthVersionLast="47" xr6:coauthVersionMax="47" xr10:uidLastSave="{00000000-0000-0000-0000-000000000000}"/>
  <bookViews>
    <workbookView xWindow="-96" yWindow="-96" windowWidth="23232" windowHeight="12432" activeTab="1" xr2:uid="{C6EBE546-09A2-4279-B390-CA453E0BBC60}"/>
  </bookViews>
  <sheets>
    <sheet name="All Timing &amp; Accel Data" sheetId="1" r:id="rId1"/>
    <sheet name="a Timing Stats - by lo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2" i="2" l="1"/>
  <c r="W51" i="2"/>
  <c r="W34" i="2"/>
  <c r="W33" i="2"/>
  <c r="O59" i="2" l="1"/>
  <c r="O61" i="2" s="1"/>
  <c r="W16" i="2"/>
  <c r="W17" i="2"/>
  <c r="O129" i="2" l="1"/>
  <c r="O163" i="2"/>
  <c r="S146" i="2"/>
  <c r="S163" i="2"/>
  <c r="O197" i="2"/>
  <c r="O180" i="2"/>
  <c r="S180" i="2"/>
  <c r="O146" i="2"/>
  <c r="O78" i="2"/>
  <c r="S78" i="2"/>
  <c r="O95" i="2"/>
  <c r="S95" i="2"/>
  <c r="O112" i="2"/>
  <c r="S112" i="2"/>
  <c r="S129" i="2"/>
</calcChain>
</file>

<file path=xl/sharedStrings.xml><?xml version="1.0" encoding="utf-8"?>
<sst xmlns="http://schemas.openxmlformats.org/spreadsheetml/2006/main" count="901" uniqueCount="629">
  <si>
    <t>Test ID</t>
  </si>
  <si>
    <t>peak vehicle a (g)</t>
  </si>
  <si>
    <t>time of peak vehicle a (s)</t>
  </si>
  <si>
    <t>CEF0101</t>
  </si>
  <si>
    <t>CEF0102</t>
  </si>
  <si>
    <t>CEF0103</t>
  </si>
  <si>
    <t>CEF0104</t>
  </si>
  <si>
    <t>CEF0105</t>
  </si>
  <si>
    <t>CEF0106</t>
  </si>
  <si>
    <t>CEF0107</t>
  </si>
  <si>
    <t>CEF0108</t>
  </si>
  <si>
    <t>CEF0109</t>
  </si>
  <si>
    <t>CEF0110</t>
  </si>
  <si>
    <t>CEF0111</t>
  </si>
  <si>
    <t>CEF0112</t>
  </si>
  <si>
    <t>CEF0113</t>
  </si>
  <si>
    <t>CEF0114</t>
  </si>
  <si>
    <t>CEF0115</t>
  </si>
  <si>
    <t>CEF0116</t>
  </si>
  <si>
    <t>CEF0117</t>
  </si>
  <si>
    <t>CEF0118</t>
  </si>
  <si>
    <t>CEF0119</t>
  </si>
  <si>
    <t>CEF0120</t>
  </si>
  <si>
    <t>CEF0121</t>
  </si>
  <si>
    <t>CEF0122</t>
  </si>
  <si>
    <t>CEF0123</t>
  </si>
  <si>
    <t>CEF0124</t>
  </si>
  <si>
    <t>CEF0125</t>
  </si>
  <si>
    <t>CEF0126</t>
  </si>
  <si>
    <t>CEF0127</t>
  </si>
  <si>
    <t>CEF0128</t>
  </si>
  <si>
    <t>CEF0129</t>
  </si>
  <si>
    <t>CEF0201</t>
  </si>
  <si>
    <t>CEF0202</t>
  </si>
  <si>
    <t>CEF0203</t>
  </si>
  <si>
    <t>CEF0204</t>
  </si>
  <si>
    <t>CEF0205</t>
  </si>
  <si>
    <t>CEF0206</t>
  </si>
  <si>
    <t>CEF0207</t>
  </si>
  <si>
    <t>CEF0208</t>
  </si>
  <si>
    <t>CEF0209</t>
  </si>
  <si>
    <t>CEF0210</t>
  </si>
  <si>
    <t>CEF0211</t>
  </si>
  <si>
    <t>CEF0212</t>
  </si>
  <si>
    <t>CEF0213</t>
  </si>
  <si>
    <t>CEF0214</t>
  </si>
  <si>
    <t>CEF0215</t>
  </si>
  <si>
    <t>CEF0216</t>
  </si>
  <si>
    <t>CEF0217</t>
  </si>
  <si>
    <t>CEF0218</t>
  </si>
  <si>
    <t>CEF0220</t>
  </si>
  <si>
    <t>CEF0221</t>
  </si>
  <si>
    <t>CEF0222</t>
  </si>
  <si>
    <t>CEF0223</t>
  </si>
  <si>
    <t>CEF0224</t>
  </si>
  <si>
    <t>CEF0301</t>
  </si>
  <si>
    <t>CEF0302</t>
  </si>
  <si>
    <t>CEF0303</t>
  </si>
  <si>
    <t>CEF0304</t>
  </si>
  <si>
    <t>CEF0305</t>
  </si>
  <si>
    <t>CEF0306</t>
  </si>
  <si>
    <t>CEF0307</t>
  </si>
  <si>
    <t>CEF0308</t>
  </si>
  <si>
    <t>CEF0309</t>
  </si>
  <si>
    <t>CEF0310</t>
  </si>
  <si>
    <t>CEF0311</t>
  </si>
  <si>
    <t>CEF0312</t>
  </si>
  <si>
    <t>CEF0313</t>
  </si>
  <si>
    <t>CEF0314</t>
  </si>
  <si>
    <t>CEF0317</t>
  </si>
  <si>
    <t>CEF0318</t>
  </si>
  <si>
    <t>CEF0319</t>
  </si>
  <si>
    <t>CEF0321</t>
  </si>
  <si>
    <t>CEF0322</t>
  </si>
  <si>
    <t>CEF0323</t>
  </si>
  <si>
    <t>CEF0324</t>
  </si>
  <si>
    <t>CEF0325</t>
  </si>
  <si>
    <t>CEF0326</t>
  </si>
  <si>
    <t>CEF0327</t>
  </si>
  <si>
    <t>CEF0328</t>
  </si>
  <si>
    <t>CEF0403</t>
  </si>
  <si>
    <t>CEF0404</t>
  </si>
  <si>
    <t>CEF0405</t>
  </si>
  <si>
    <t>CEF0406</t>
  </si>
  <si>
    <t>CEF0407</t>
  </si>
  <si>
    <t>CEF0408</t>
  </si>
  <si>
    <t>CEF0409</t>
  </si>
  <si>
    <t>CEF0410</t>
  </si>
  <si>
    <t>CEF0411</t>
  </si>
  <si>
    <t>CEF0412</t>
  </si>
  <si>
    <t>CEF0413</t>
  </si>
  <si>
    <t>CEF0414</t>
  </si>
  <si>
    <t>CEF0415</t>
  </si>
  <si>
    <t>CEF0416</t>
  </si>
  <si>
    <t>CEF0417</t>
  </si>
  <si>
    <t>CEF0418</t>
  </si>
  <si>
    <t>CEF0419</t>
  </si>
  <si>
    <t>CEF0420</t>
  </si>
  <si>
    <t>CEF0421</t>
  </si>
  <si>
    <t>CEF0501</t>
  </si>
  <si>
    <t>CEF0502</t>
  </si>
  <si>
    <t>CEF0503</t>
  </si>
  <si>
    <t>CEF0504</t>
  </si>
  <si>
    <t>CEF0505</t>
  </si>
  <si>
    <t>CEF0506</t>
  </si>
  <si>
    <t>CEF0507</t>
  </si>
  <si>
    <t>CEF0508</t>
  </si>
  <si>
    <t>CEF0509</t>
  </si>
  <si>
    <t>CEF0510</t>
  </si>
  <si>
    <t>CEF0511</t>
  </si>
  <si>
    <t>CEF0513</t>
  </si>
  <si>
    <t>CEF0514</t>
  </si>
  <si>
    <t>CEF0515</t>
  </si>
  <si>
    <t>CEF0516</t>
  </si>
  <si>
    <t>CEF0518</t>
  </si>
  <si>
    <t>CEF0519</t>
  </si>
  <si>
    <t>CEF0520</t>
  </si>
  <si>
    <t>CEF0521</t>
  </si>
  <si>
    <t>CEF0522</t>
  </si>
  <si>
    <t>CEF0523</t>
  </si>
  <si>
    <t>CEF0524</t>
  </si>
  <si>
    <t>CEF0525</t>
  </si>
  <si>
    <t>CEF0526</t>
  </si>
  <si>
    <t>CEF0527</t>
  </si>
  <si>
    <t>CEF0528</t>
  </si>
  <si>
    <t>CEF0529</t>
  </si>
  <si>
    <t>CEF0530</t>
  </si>
  <si>
    <t>CEF0531</t>
  </si>
  <si>
    <t>CEF0601</t>
  </si>
  <si>
    <t>CEF0602</t>
  </si>
  <si>
    <t>CEF0603</t>
  </si>
  <si>
    <t>CEF0604</t>
  </si>
  <si>
    <t>CEF0605</t>
  </si>
  <si>
    <t>CEF0606</t>
  </si>
  <si>
    <t>CEF0607</t>
  </si>
  <si>
    <t>CEF0608</t>
  </si>
  <si>
    <t>CEF0609</t>
  </si>
  <si>
    <t>CEF0610</t>
  </si>
  <si>
    <t>CEF0611</t>
  </si>
  <si>
    <t>CEF0612</t>
  </si>
  <si>
    <t>CEF0613</t>
  </si>
  <si>
    <t>CEF0614</t>
  </si>
  <si>
    <t>CEF0615</t>
  </si>
  <si>
    <t>CEF0701</t>
  </si>
  <si>
    <t>CEF0702</t>
  </si>
  <si>
    <t>CEF0703</t>
  </si>
  <si>
    <t>CEF0704</t>
  </si>
  <si>
    <t>CEF0705</t>
  </si>
  <si>
    <t>CEF0706</t>
  </si>
  <si>
    <t>CEF0707</t>
  </si>
  <si>
    <t>CEF0708</t>
  </si>
  <si>
    <t>CEF0710</t>
  </si>
  <si>
    <t>CEF0711</t>
  </si>
  <si>
    <t>CEF0712</t>
  </si>
  <si>
    <t>CEF0713</t>
  </si>
  <si>
    <t>CEF0714</t>
  </si>
  <si>
    <t>CEF0715</t>
  </si>
  <si>
    <t>CEF0716</t>
  </si>
  <si>
    <t>CEF0717</t>
  </si>
  <si>
    <t>CEF0718</t>
  </si>
  <si>
    <t>CEF0719</t>
  </si>
  <si>
    <t>CEF0720</t>
  </si>
  <si>
    <t>CEF0721</t>
  </si>
  <si>
    <t>CEF0722</t>
  </si>
  <si>
    <t>CEF0723</t>
  </si>
  <si>
    <t>CEF0724</t>
  </si>
  <si>
    <t>CEF0725</t>
  </si>
  <si>
    <t>CEF0726</t>
  </si>
  <si>
    <t>CEF0727</t>
  </si>
  <si>
    <t>CEF0801</t>
  </si>
  <si>
    <t>CEF0802</t>
  </si>
  <si>
    <t>CEF0803</t>
  </si>
  <si>
    <t>CEF0804</t>
  </si>
  <si>
    <t>CEF0805</t>
  </si>
  <si>
    <t>CEF0806</t>
  </si>
  <si>
    <t>CEF0807</t>
  </si>
  <si>
    <t>CEF0808</t>
  </si>
  <si>
    <t>CEF0810</t>
  </si>
  <si>
    <t>CEF0811</t>
  </si>
  <si>
    <t>CEF0812</t>
  </si>
  <si>
    <t>CEF0813</t>
  </si>
  <si>
    <t>CEF0814</t>
  </si>
  <si>
    <t>CEF0815</t>
  </si>
  <si>
    <t>CEF0816</t>
  </si>
  <si>
    <t>CEF0817</t>
  </si>
  <si>
    <t>CEF0818</t>
  </si>
  <si>
    <t>CEF0819</t>
  </si>
  <si>
    <t>CEF0820</t>
  </si>
  <si>
    <t>CEF0821</t>
  </si>
  <si>
    <t>CEF0822</t>
  </si>
  <si>
    <t>CEF0823</t>
  </si>
  <si>
    <t>CEF0824</t>
  </si>
  <si>
    <t>CEF0825</t>
  </si>
  <si>
    <t>CEF0902</t>
  </si>
  <si>
    <t>CEF0903</t>
  </si>
  <si>
    <t>CEF0904</t>
  </si>
  <si>
    <t>CEF0905</t>
  </si>
  <si>
    <t>CEF0906</t>
  </si>
  <si>
    <t>CEF0907</t>
  </si>
  <si>
    <t>CEF0908</t>
  </si>
  <si>
    <t>CEF0909</t>
  </si>
  <si>
    <t>CEF0910</t>
  </si>
  <si>
    <t>CEF0911</t>
  </si>
  <si>
    <t>CEF0912</t>
  </si>
  <si>
    <t>CEF0913</t>
  </si>
  <si>
    <t>CEF0914</t>
  </si>
  <si>
    <t>CEF0915</t>
  </si>
  <si>
    <t>CEF0916</t>
  </si>
  <si>
    <t>CEF1001</t>
  </si>
  <si>
    <t>CEF1002</t>
  </si>
  <si>
    <t>CEF1003</t>
  </si>
  <si>
    <t>CEF1004</t>
  </si>
  <si>
    <t>CEF1005</t>
  </si>
  <si>
    <t>CEF1006</t>
  </si>
  <si>
    <t>CEF1007 (Driver)</t>
  </si>
  <si>
    <t>CEF1008 (Driver)</t>
  </si>
  <si>
    <t>CEF1009 (Driver)</t>
  </si>
  <si>
    <t>CEF1010 (Driver)</t>
  </si>
  <si>
    <t>CEF1011 (Driver)</t>
  </si>
  <si>
    <t>CEF1102 (Driver)</t>
  </si>
  <si>
    <t>CEF1103 (Driver)</t>
  </si>
  <si>
    <t>CEF1104 (Driver)</t>
  </si>
  <si>
    <t>CEF1105 (Driver)</t>
  </si>
  <si>
    <t>CEF1106 (Driver)</t>
  </si>
  <si>
    <t>CEF1107 (Driver)</t>
  </si>
  <si>
    <t>CEF1108 (Driver)</t>
  </si>
  <si>
    <t>CEF1109 (Driver)</t>
  </si>
  <si>
    <t>CEF1110 (Driver)</t>
  </si>
  <si>
    <t>CEF1201 (Driver)</t>
  </si>
  <si>
    <t>CEF1202 (Driver)</t>
  </si>
  <si>
    <t>CEF1203 (Driver)</t>
  </si>
  <si>
    <t>CEF1204 (Driver)</t>
  </si>
  <si>
    <t>CEF1205 (Driver)</t>
  </si>
  <si>
    <t>CEF1206 (Driver)</t>
  </si>
  <si>
    <t>CEF1207 (Driver)</t>
  </si>
  <si>
    <t>CEF1208 (Driver)</t>
  </si>
  <si>
    <t>CEF1301 (Driver)</t>
  </si>
  <si>
    <t>CEF1302 (Driver)</t>
  </si>
  <si>
    <t>CEF1303 (Driver)</t>
  </si>
  <si>
    <t>CEF1304 (Driver)</t>
  </si>
  <si>
    <t>CEF1305 (Driver)</t>
  </si>
  <si>
    <t>CEF1306 (Driver)</t>
  </si>
  <si>
    <t>CEF1307 (Driver)</t>
  </si>
  <si>
    <t>CEF1308 (Driver)</t>
  </si>
  <si>
    <t>CEF1401 (Driver)</t>
  </si>
  <si>
    <t>CEF1402 (Driver)</t>
  </si>
  <si>
    <t>CEF1403 (Driver)</t>
  </si>
  <si>
    <t>CEF1404 (Driver)</t>
  </si>
  <si>
    <t>CEF1405 (Driver)</t>
  </si>
  <si>
    <t>CEF1406 (Driver)</t>
  </si>
  <si>
    <t>CEF1501 (Driver)</t>
  </si>
  <si>
    <t>CEF1504 (Driver)</t>
  </si>
  <si>
    <t>CEF1601 (Driver)</t>
  </si>
  <si>
    <t>CEF1602 (Driver)</t>
  </si>
  <si>
    <t>CEF1603 (Driver)</t>
  </si>
  <si>
    <t>CEF1604 (Driver)</t>
  </si>
  <si>
    <t>CEF1605 (Driver)</t>
  </si>
  <si>
    <t>CEF1607 (Driver)</t>
  </si>
  <si>
    <t>CEF1608 (Driver)</t>
  </si>
  <si>
    <t>CEF1609 (Driver)</t>
  </si>
  <si>
    <t>CEF1610 (Driver)</t>
  </si>
  <si>
    <t>CEF1611 (Driver)</t>
  </si>
  <si>
    <t>CEF1701 (Driver)</t>
  </si>
  <si>
    <t>CEF1702 (Driver)</t>
  </si>
  <si>
    <t>CEF1703</t>
  </si>
  <si>
    <t>CEF1801</t>
  </si>
  <si>
    <t>CEF1802</t>
  </si>
  <si>
    <t>CEF1803</t>
  </si>
  <si>
    <t>CEF1901</t>
  </si>
  <si>
    <t>CEF1902</t>
  </si>
  <si>
    <t>CEF1903</t>
  </si>
  <si>
    <t>CEF1904</t>
  </si>
  <si>
    <t>CEF2101</t>
  </si>
  <si>
    <t>CEF2102</t>
  </si>
  <si>
    <t>CEF2103</t>
  </si>
  <si>
    <t>CEF2104</t>
  </si>
  <si>
    <t>CEF2105</t>
  </si>
  <si>
    <t>CEF2106</t>
  </si>
  <si>
    <t>CEF2107</t>
  </si>
  <si>
    <t>CEF2108</t>
  </si>
  <si>
    <t>CEF2109</t>
  </si>
  <si>
    <t>CEF2110</t>
  </si>
  <si>
    <t>CEF2111</t>
  </si>
  <si>
    <t>CEF2112</t>
  </si>
  <si>
    <t>CEF2113</t>
  </si>
  <si>
    <t>CEF2116</t>
  </si>
  <si>
    <t>CEF2117</t>
  </si>
  <si>
    <t>CEF2118</t>
  </si>
  <si>
    <t>CEF2119</t>
  </si>
  <si>
    <t>CEF2201</t>
  </si>
  <si>
    <t>CEF2202</t>
  </si>
  <si>
    <t>CEF2203</t>
  </si>
  <si>
    <t>CEF2204</t>
  </si>
  <si>
    <t>CEF2205</t>
  </si>
  <si>
    <t>CEF2206</t>
  </si>
  <si>
    <t>CEF2207</t>
  </si>
  <si>
    <t>CEF2208</t>
  </si>
  <si>
    <t>CEF2209</t>
  </si>
  <si>
    <t>CEF2211</t>
  </si>
  <si>
    <t>CEF2213</t>
  </si>
  <si>
    <t>CEF2214</t>
  </si>
  <si>
    <t>CEF2215</t>
  </si>
  <si>
    <t>CEF2216</t>
  </si>
  <si>
    <t>CEF2218</t>
  </si>
  <si>
    <t>CEF2219</t>
  </si>
  <si>
    <t>CEF2220</t>
  </si>
  <si>
    <t>CEF2226</t>
  </si>
  <si>
    <t>CEF2227</t>
  </si>
  <si>
    <t>CEF2228</t>
  </si>
  <si>
    <t>CEF2229</t>
  </si>
  <si>
    <t>CEF2230</t>
  </si>
  <si>
    <t>CEF2301</t>
  </si>
  <si>
    <t>CEF2302</t>
  </si>
  <si>
    <t>CEF2303</t>
  </si>
  <si>
    <t>CEF2304</t>
  </si>
  <si>
    <t>CEF2305</t>
  </si>
  <si>
    <t>CEF2306</t>
  </si>
  <si>
    <t>CEF2307</t>
  </si>
  <si>
    <t>CEF2308</t>
  </si>
  <si>
    <t>CEF2309</t>
  </si>
  <si>
    <t>CEF2310</t>
  </si>
  <si>
    <t>CEF2311</t>
  </si>
  <si>
    <t>CEF2312</t>
  </si>
  <si>
    <t>CEF2313</t>
  </si>
  <si>
    <t>CEF2314</t>
  </si>
  <si>
    <t>CEF2315</t>
  </si>
  <si>
    <t>CEF2316</t>
  </si>
  <si>
    <t>CEF2317</t>
  </si>
  <si>
    <t>CEF2318</t>
  </si>
  <si>
    <t>CEF2319</t>
  </si>
  <si>
    <t>CEF2320</t>
  </si>
  <si>
    <t>CEF2321</t>
  </si>
  <si>
    <t>CEF2322</t>
  </si>
  <si>
    <t>CEF2323</t>
  </si>
  <si>
    <t>CEF2324</t>
  </si>
  <si>
    <t>CEF2325</t>
  </si>
  <si>
    <t>CEF2326</t>
  </si>
  <si>
    <t>CEF2327</t>
  </si>
  <si>
    <t>CEF2328</t>
  </si>
  <si>
    <t>CEF2329</t>
  </si>
  <si>
    <t>CEF2330</t>
  </si>
  <si>
    <t>CEF2331</t>
  </si>
  <si>
    <t>CEF2332</t>
  </si>
  <si>
    <t>CEF2333</t>
  </si>
  <si>
    <t>CEF2334</t>
  </si>
  <si>
    <t>CEF2335</t>
  </si>
  <si>
    <t>CEF2336</t>
  </si>
  <si>
    <t>CEF2337</t>
  </si>
  <si>
    <t>CEF2338</t>
  </si>
  <si>
    <t>CEF2339</t>
  </si>
  <si>
    <t>CEF2340</t>
  </si>
  <si>
    <t>CEF2341</t>
  </si>
  <si>
    <t>CEF2342</t>
  </si>
  <si>
    <t>CEF2343</t>
  </si>
  <si>
    <t>CEF2344</t>
  </si>
  <si>
    <t>CEF2345</t>
  </si>
  <si>
    <t>CEF2346</t>
  </si>
  <si>
    <t>CEF2347</t>
  </si>
  <si>
    <t>CEF2349</t>
  </si>
  <si>
    <t>CEF2350</t>
  </si>
  <si>
    <t>CEF2351</t>
  </si>
  <si>
    <t>CEF2402</t>
  </si>
  <si>
    <t>CEF2403</t>
  </si>
  <si>
    <t>CEF2404</t>
  </si>
  <si>
    <t>CEF2405</t>
  </si>
  <si>
    <t>CEF2406</t>
  </si>
  <si>
    <t>CEF2407</t>
  </si>
  <si>
    <t>CEF2409</t>
  </si>
  <si>
    <t>CEF2410</t>
  </si>
  <si>
    <t>CEF2411</t>
  </si>
  <si>
    <t>CEF2412</t>
  </si>
  <si>
    <t>CEF2413</t>
  </si>
  <si>
    <t>CEF2414</t>
  </si>
  <si>
    <t>CEF2416</t>
  </si>
  <si>
    <t>CEF2417</t>
  </si>
  <si>
    <t>CEF2418</t>
  </si>
  <si>
    <t>CEF2419</t>
  </si>
  <si>
    <t>CEF2420</t>
  </si>
  <si>
    <t>CEF2422</t>
  </si>
  <si>
    <t>CEF2423</t>
  </si>
  <si>
    <t>CEF2424</t>
  </si>
  <si>
    <t>CEF2425</t>
  </si>
  <si>
    <t>CEF2426</t>
  </si>
  <si>
    <t>CEF2427</t>
  </si>
  <si>
    <t>CEF2428</t>
  </si>
  <si>
    <t>CEF2429</t>
  </si>
  <si>
    <t>CEF2430</t>
  </si>
  <si>
    <t>CEF2431</t>
  </si>
  <si>
    <t>CEF2432</t>
  </si>
  <si>
    <t>CEF2433</t>
  </si>
  <si>
    <t>CEF2434</t>
  </si>
  <si>
    <t>CEF2435</t>
  </si>
  <si>
    <t>CEF2437</t>
  </si>
  <si>
    <t>CEF2438</t>
  </si>
  <si>
    <t>CEF2439</t>
  </si>
  <si>
    <t>CEF2440</t>
  </si>
  <si>
    <t>CEF2441</t>
  </si>
  <si>
    <t>CEF2442</t>
  </si>
  <si>
    <t>CEF2443</t>
  </si>
  <si>
    <t>CEF2444</t>
  </si>
  <si>
    <t>CEF2445</t>
  </si>
  <si>
    <t>CEF2446</t>
  </si>
  <si>
    <t>CEF2447</t>
  </si>
  <si>
    <t>CEF2448</t>
  </si>
  <si>
    <t>CEF2449</t>
  </si>
  <si>
    <t>CEF2450</t>
  </si>
  <si>
    <t>CEF2451</t>
  </si>
  <si>
    <t>CEF2452</t>
  </si>
  <si>
    <t>CEF2453</t>
  </si>
  <si>
    <t>CEF2454</t>
  </si>
  <si>
    <t>CEF2456</t>
  </si>
  <si>
    <t>CEF2457</t>
  </si>
  <si>
    <t>CEF2501</t>
  </si>
  <si>
    <t>CEF2502</t>
  </si>
  <si>
    <t>CEF2503</t>
  </si>
  <si>
    <t>CEF2504</t>
  </si>
  <si>
    <t>CEF2505</t>
  </si>
  <si>
    <t>CEF2506</t>
  </si>
  <si>
    <t>CEF2507</t>
  </si>
  <si>
    <t>CEF2508</t>
  </si>
  <si>
    <t>CEF2512</t>
  </si>
  <si>
    <t>CEF2513</t>
  </si>
  <si>
    <t>CEF2514</t>
  </si>
  <si>
    <t>CEF2515</t>
  </si>
  <si>
    <t>CEF2516</t>
  </si>
  <si>
    <t>CEF2517</t>
  </si>
  <si>
    <t>CEF2518</t>
  </si>
  <si>
    <t>CEF2519</t>
  </si>
  <si>
    <t>CEF2520</t>
  </si>
  <si>
    <t>CEF2521</t>
  </si>
  <si>
    <t>CEF2522</t>
  </si>
  <si>
    <t>CEF2523</t>
  </si>
  <si>
    <t>CEF2524</t>
  </si>
  <si>
    <t>CEF2525</t>
  </si>
  <si>
    <t>CEF2526</t>
  </si>
  <si>
    <t>CEF2527</t>
  </si>
  <si>
    <t>CEF2528</t>
  </si>
  <si>
    <t>CEF2529</t>
  </si>
  <si>
    <t>CEF2530</t>
  </si>
  <si>
    <t>CEF2531</t>
  </si>
  <si>
    <t>CEF2532</t>
  </si>
  <si>
    <t>CEF2533</t>
  </si>
  <si>
    <t>CEF2534</t>
  </si>
  <si>
    <t>CEF2535</t>
  </si>
  <si>
    <t>CEF2536</t>
  </si>
  <si>
    <t>CEF2537</t>
  </si>
  <si>
    <t>CEF2538</t>
  </si>
  <si>
    <t>CEF2539</t>
  </si>
  <si>
    <t>CEF2540</t>
  </si>
  <si>
    <t>CEF2541</t>
  </si>
  <si>
    <t>CEF2542</t>
  </si>
  <si>
    <t>CEF2543</t>
  </si>
  <si>
    <t>CEF2544</t>
  </si>
  <si>
    <t>CEF2545</t>
  </si>
  <si>
    <t>CEF2547</t>
  </si>
  <si>
    <t>CEF2548</t>
  </si>
  <si>
    <t>CEF2550</t>
  </si>
  <si>
    <t>CEF2552</t>
  </si>
  <si>
    <t>CEF2553</t>
  </si>
  <si>
    <t>CF00002</t>
  </si>
  <si>
    <t>CF00003</t>
  </si>
  <si>
    <t>CF00004</t>
  </si>
  <si>
    <t>CF00005</t>
  </si>
  <si>
    <t>CF00006</t>
  </si>
  <si>
    <t>CF00007</t>
  </si>
  <si>
    <t>CF00010</t>
  </si>
  <si>
    <t>CF00011</t>
  </si>
  <si>
    <t>CF00012</t>
  </si>
  <si>
    <t>CF00014</t>
  </si>
  <si>
    <t>CF00015</t>
  </si>
  <si>
    <t>CF00016</t>
  </si>
  <si>
    <t>CF00017</t>
  </si>
  <si>
    <t>CF00020</t>
  </si>
  <si>
    <t>CF00021</t>
  </si>
  <si>
    <t>CF00022</t>
  </si>
  <si>
    <t>CF00023</t>
  </si>
  <si>
    <t>CF00024</t>
  </si>
  <si>
    <t>CF00026</t>
  </si>
  <si>
    <t>CF00027</t>
  </si>
  <si>
    <t>CF00028</t>
  </si>
  <si>
    <t>CF00029</t>
  </si>
  <si>
    <t>CF00030</t>
  </si>
  <si>
    <t>CF00031</t>
  </si>
  <si>
    <t>CF00032</t>
  </si>
  <si>
    <t>CF00033</t>
  </si>
  <si>
    <t>CF00034</t>
  </si>
  <si>
    <t>CF10015</t>
  </si>
  <si>
    <t>CF10016</t>
  </si>
  <si>
    <t>CF15001 (Driver)</t>
  </si>
  <si>
    <t>CF15002 (Driver)</t>
  </si>
  <si>
    <t>CF98007</t>
  </si>
  <si>
    <t>CF98008</t>
  </si>
  <si>
    <t>CF98012</t>
  </si>
  <si>
    <t>CF98013</t>
  </si>
  <si>
    <t>CF98016</t>
  </si>
  <si>
    <t>CF98017</t>
  </si>
  <si>
    <t>CF98018</t>
  </si>
  <si>
    <t>CF98019</t>
  </si>
  <si>
    <t>CF98020</t>
  </si>
  <si>
    <t>CF98021</t>
  </si>
  <si>
    <t>CF98022</t>
  </si>
  <si>
    <t>CF98023</t>
  </si>
  <si>
    <t>CF98024</t>
  </si>
  <si>
    <t>CF99001</t>
  </si>
  <si>
    <t>CF99002</t>
  </si>
  <si>
    <t>CF99003</t>
  </si>
  <si>
    <t>CF99004</t>
  </si>
  <si>
    <t>CF99005</t>
  </si>
  <si>
    <t>CF99006</t>
  </si>
  <si>
    <t>CF99007</t>
  </si>
  <si>
    <t>CF99008</t>
  </si>
  <si>
    <t>CF99009</t>
  </si>
  <si>
    <t>CF99010</t>
  </si>
  <si>
    <t>CF99011</t>
  </si>
  <si>
    <t>CF99012</t>
  </si>
  <si>
    <t>CF99013</t>
  </si>
  <si>
    <t>CF99014</t>
  </si>
  <si>
    <t>CF99015</t>
  </si>
  <si>
    <t>CF99016</t>
  </si>
  <si>
    <t>CF99017</t>
  </si>
  <si>
    <t>CF99018</t>
  </si>
  <si>
    <t>CF99019</t>
  </si>
  <si>
    <t>CF99020</t>
  </si>
  <si>
    <t>CF99021</t>
  </si>
  <si>
    <t>CF99022</t>
  </si>
  <si>
    <t>CF99024</t>
  </si>
  <si>
    <t>CF99025</t>
  </si>
  <si>
    <t>CF99026</t>
  </si>
  <si>
    <t>cf00025</t>
  </si>
  <si>
    <t>peak driver head a (g)</t>
  </si>
  <si>
    <t>time of peak driver head a (s)</t>
  </si>
  <si>
    <t>peak driver chest a (g)</t>
  </si>
  <si>
    <t>time of peak driver chest a (s)</t>
  </si>
  <si>
    <t>peak passenger head a (g)</t>
  </si>
  <si>
    <t>time of peak passenger head a (s)</t>
  </si>
  <si>
    <t>peak passenger chest a (g)</t>
  </si>
  <si>
    <t>time of peak passenger chest a (s)</t>
  </si>
  <si>
    <t>peak passenger pelvis a (g)</t>
  </si>
  <si>
    <t>time of peak passenger pelvis a (s)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</si>
  <si>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</si>
  <si>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</si>
  <si>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</si>
  <si>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</si>
  <si>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</si>
  <si>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</si>
  <si>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</si>
  <si>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</si>
  <si>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</si>
  <si>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</si>
  <si>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</si>
  <si>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</si>
  <si>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</si>
  <si>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</si>
  <si>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</si>
  <si>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</si>
  <si>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</si>
  <si>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</si>
  <si>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if F &gt; Fcrit, sig difference exists</t>
  </si>
  <si>
    <t>if p value less than significance value (.05), sig difference exists</t>
  </si>
  <si>
    <t>Post-Hoc Testing using Bonferroni method (Tukey not available in excel):</t>
  </si>
  <si>
    <t>https://stat.utexas.edu/videos/excel-2016/statistical-inference/video/125</t>
  </si>
  <si>
    <t># of groups</t>
  </si>
  <si>
    <t># of tests required</t>
  </si>
  <si>
    <t>significance factor</t>
  </si>
  <si>
    <t>Bonferroni adjusted significance factor</t>
  </si>
  <si>
    <t>to compensate for repeating same test multiple times</t>
  </si>
  <si>
    <t>t-Test: Two-Sample Assuming Unequal Variances</t>
  </si>
  <si>
    <t>Mean</t>
  </si>
  <si>
    <t>Observations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</si>
  <si>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</si>
  <si>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</si>
  <si>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</si>
  <si>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</si>
  <si>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</si>
  <si>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</si>
  <si>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sig diff if two-tail p &lt; adj sig factor</t>
  </si>
  <si>
    <t>1:</t>
  </si>
  <si>
    <t>2:</t>
  </si>
  <si>
    <t>3:</t>
  </si>
  <si>
    <t>4:</t>
  </si>
  <si>
    <t>5:</t>
  </si>
  <si>
    <t>6:</t>
  </si>
  <si>
    <t>7:</t>
  </si>
  <si>
    <t>8:</t>
  </si>
  <si>
    <t>9:</t>
  </si>
  <si>
    <t>10:</t>
  </si>
  <si>
    <t>11:</t>
  </si>
  <si>
    <t>12:</t>
  </si>
  <si>
    <t>13:</t>
  </si>
  <si>
    <t>14:</t>
  </si>
  <si>
    <t>15:</t>
  </si>
  <si>
    <t>CEF2554</t>
  </si>
  <si>
    <t>CEF2555</t>
  </si>
  <si>
    <t>CEF2556</t>
  </si>
  <si>
    <t>CEF2557</t>
  </si>
  <si>
    <t>CEF2558</t>
  </si>
  <si>
    <t>CEF2559</t>
  </si>
  <si>
    <t>CEF2560</t>
  </si>
  <si>
    <t>CEF2561</t>
  </si>
  <si>
    <t>CEF2562</t>
  </si>
  <si>
    <t>CEF2563</t>
  </si>
  <si>
    <t>CEF2564</t>
  </si>
  <si>
    <t>CEF2565</t>
  </si>
  <si>
    <t>CEF2566</t>
  </si>
  <si>
    <t>CEF2567</t>
  </si>
  <si>
    <t>CEF2568</t>
  </si>
  <si>
    <t>CEF2569</t>
  </si>
  <si>
    <t>CEF2570</t>
  </si>
  <si>
    <t>CEF2601</t>
  </si>
  <si>
    <t>CEF2602</t>
  </si>
  <si>
    <t>CEF2603</t>
  </si>
  <si>
    <t>CEF2604</t>
  </si>
  <si>
    <t>CEF2605</t>
  </si>
  <si>
    <t>CEF2606</t>
  </si>
  <si>
    <t>CEF2607</t>
  </si>
  <si>
    <t>CEF2608</t>
  </si>
  <si>
    <t>CEF2609</t>
  </si>
  <si>
    <t>CEF2610</t>
  </si>
  <si>
    <t>CEF2611</t>
  </si>
  <si>
    <t>CEF2612</t>
  </si>
  <si>
    <t>CEF2613</t>
  </si>
  <si>
    <t>CEF2614</t>
  </si>
  <si>
    <t>CEF2615</t>
  </si>
  <si>
    <t>CEF2616</t>
  </si>
  <si>
    <t>CEF2617</t>
  </si>
  <si>
    <t>CEF2618</t>
  </si>
  <si>
    <t>CEF2619</t>
  </si>
  <si>
    <t>CEF2620</t>
  </si>
  <si>
    <t>CEF2623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</si>
</sst>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2" borderId="6" xfId="0" applyFill="1" applyBorder="1"/>
    <xf numFmtId="0" fontId="2" fillId="0" borderId="0" xfId="2"/>
    <xf numFmtId="20" fontId="0" fillId="0" borderId="0" xfId="0" quotePrefix="1" applyNumberFormat="1"/>
    <xf numFmtId="0" fontId="0" fillId="2" borderId="0" xfId="0" applyFill="1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113F571-7659-4ECF-A0E5-8479DFB0BC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.utexas.edu/videos/excel-2016/statistical-inference/video/1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5DAE-0120-4C5B-BBC6-3CFD8CF23A0D}">
  <dimension ref="A1:Y565"/>
  <sheetViews>
    <sheetView topLeftCell="R1" zoomScale="86" workbookViewId="0">
      <selection activeCell="W1" sqref="W1:Y1048576"/>
    </sheetView>
  </sheetViews>
  <sheetFormatPr defaultRowHeight="14.4" x14ac:dyDescent="0.55000000000000004"/>
  <cols>
    <col min="1" max="1" width="14.47265625" customWidth="1"/>
    <col min="2" max="2" width="14.62890625" customWidth="1"/>
    <col min="3" max="3" width="20.5234375" customWidth="1"/>
    <col min="5" max="5" width="18.05078125" bestFit="1" customWidth="1"/>
    <col min="6" max="6" width="24.15625" bestFit="1" customWidth="1"/>
    <col min="8" max="8" width="18.41796875" bestFit="1" customWidth="1"/>
    <col min="9" max="9" width="24.578125" bestFit="1" customWidth="1"/>
    <col min="11" max="11" width="21.578125" bestFit="1" customWidth="1"/>
    <col min="12" max="12" width="27.734375" bestFit="1" customWidth="1"/>
    <col min="14" max="14" width="21.9453125" bestFit="1" customWidth="1"/>
    <col min="15" max="15" width="28.1015625" bestFit="1" customWidth="1"/>
    <col min="17" max="17" width="22.15625" bestFit="1" customWidth="1"/>
    <col min="18" max="18" width="28.26171875" bestFit="1" customWidth="1"/>
    <col min="20" max="20" width="20.5234375" customWidth="1"/>
    <col min="21" max="21" width="24.15625" bestFit="1" customWidth="1"/>
    <col min="22" max="22" width="24.578125" bestFit="1" customWidth="1"/>
    <col min="23" max="23" width="27.734375" bestFit="1" customWidth="1"/>
    <col min="24" max="24" width="28.1015625" bestFit="1" customWidth="1"/>
    <col min="25" max="25" width="28.26171875" bestFit="1" customWidth="1"/>
  </cols>
  <sheetData>
    <row r="1" spans="1:25" x14ac:dyDescent="0.55000000000000004">
      <c r="A1" t="s">
        <v>0</v>
      </c>
      <c r="B1" t="s">
        <v>1</v>
      </c>
      <c r="C1" t="s">
        <v>2</v>
      </c>
      <c r="E1" t="s">
        <v>529</v>
      </c>
      <c r="F1" t="s">
        <v>530</v>
      </c>
      <c r="H1" t="s">
        <v>531</v>
      </c>
      <c r="I1" t="s">
        <v>532</v>
      </c>
      <c r="K1" t="s">
        <v>533</v>
      </c>
      <c r="L1" t="s">
        <v>534</v>
      </c>
      <c r="N1" t="s">
        <v>535</v>
      </c>
      <c r="O1" t="s">
        <v>536</v>
      </c>
      <c r="Q1" t="s">
        <v>537</v>
      </c>
      <c r="R1" t="s">
        <v>538</v>
      </c>
      <c r="T1" t="s">
        <v>2</v>
      </c>
      <c r="U1" t="s">
        <v>530</v>
      </c>
      <c r="V1" t="s">
        <v>532</v>
      </c>
      <c r="W1" t="s">
        <v>534</v>
      </c>
      <c r="X1" t="s">
        <v>536</v>
      </c>
      <c r="Y1" t="s">
        <v>538</v>
      </c>
    </row>
    <row r="2" spans="1:25" x14ac:dyDescent="0.55000000000000004">
      <c r="A2" t="s">
        <v>3</v>
      </c>
      <c r="B2">
        <v>55.546599999999998</v>
      </c>
      <c r="C2">
        <v>7.5400000000001521E-2</v>
      </c>
      <c r="E2">
        <v>44.598199999999999</v>
      </c>
      <c r="F2">
        <v>0.10810000000000246</v>
      </c>
      <c r="H2">
        <v>44.7258</v>
      </c>
      <c r="I2">
        <v>0.10910000000000249</v>
      </c>
      <c r="T2">
        <v>7.5400000000001521E-2</v>
      </c>
      <c r="U2">
        <v>0.10810000000000246</v>
      </c>
      <c r="V2">
        <v>0.10910000000000249</v>
      </c>
    </row>
    <row r="3" spans="1:25" x14ac:dyDescent="0.55000000000000004">
      <c r="A3" t="s">
        <v>4</v>
      </c>
      <c r="B3">
        <v>37.124400000000001</v>
      </c>
      <c r="C3">
        <v>0.10020000000000223</v>
      </c>
      <c r="E3">
        <v>81.139700000000005</v>
      </c>
      <c r="F3">
        <v>0.11170000000000256</v>
      </c>
      <c r="H3">
        <v>48.569299999999998</v>
      </c>
      <c r="I3">
        <v>0.11770000000000273</v>
      </c>
      <c r="T3">
        <v>0.10020000000000223</v>
      </c>
      <c r="U3">
        <v>0.11170000000000256</v>
      </c>
      <c r="V3">
        <v>0.11770000000000273</v>
      </c>
    </row>
    <row r="4" spans="1:25" x14ac:dyDescent="0.55000000000000004">
      <c r="A4" t="s">
        <v>5</v>
      </c>
      <c r="B4">
        <v>41.334499999999998</v>
      </c>
      <c r="C4">
        <v>8.7900000000001879E-2</v>
      </c>
      <c r="E4">
        <v>99.995400000000004</v>
      </c>
      <c r="F4">
        <v>9.8800000000002192E-2</v>
      </c>
      <c r="H4">
        <v>54.975999999999999</v>
      </c>
      <c r="I4">
        <v>9.9300000000002206E-2</v>
      </c>
      <c r="T4">
        <v>8.7900000000001879E-2</v>
      </c>
      <c r="U4">
        <v>9.8800000000002192E-2</v>
      </c>
      <c r="V4">
        <v>9.9300000000002206E-2</v>
      </c>
    </row>
    <row r="5" spans="1:25" x14ac:dyDescent="0.55000000000000004">
      <c r="A5" t="s">
        <v>6</v>
      </c>
      <c r="B5">
        <v>41.237099999999998</v>
      </c>
      <c r="C5">
        <v>6.5800000000001246E-2</v>
      </c>
      <c r="E5">
        <v>110.2865</v>
      </c>
      <c r="F5">
        <v>0.23809999999999049</v>
      </c>
      <c r="H5">
        <v>59.451099999999997</v>
      </c>
      <c r="I5">
        <v>9.8500000000002183E-2</v>
      </c>
      <c r="T5">
        <v>6.5800000000001246E-2</v>
      </c>
      <c r="U5">
        <v>0.23809999999999049</v>
      </c>
      <c r="V5">
        <v>9.8500000000002183E-2</v>
      </c>
    </row>
    <row r="6" spans="1:25" x14ac:dyDescent="0.55000000000000004">
      <c r="A6" t="s">
        <v>7</v>
      </c>
      <c r="B6">
        <v>82.240399999999994</v>
      </c>
      <c r="C6">
        <v>7.7900000000001593E-2</v>
      </c>
      <c r="E6">
        <v>89.104100000000003</v>
      </c>
      <c r="F6">
        <v>0.11030000000000252</v>
      </c>
      <c r="H6">
        <v>44.561799999999998</v>
      </c>
      <c r="I6">
        <v>0.10670000000000242</v>
      </c>
      <c r="T6">
        <v>7.7900000000001593E-2</v>
      </c>
      <c r="U6">
        <v>0.11030000000000252</v>
      </c>
      <c r="V6">
        <v>0.10670000000000242</v>
      </c>
    </row>
    <row r="7" spans="1:25" x14ac:dyDescent="0.55000000000000004">
      <c r="A7" t="s">
        <v>8</v>
      </c>
      <c r="B7">
        <v>46.623100000000001</v>
      </c>
      <c r="C7">
        <v>6.5000000000001223E-2</v>
      </c>
      <c r="E7">
        <v>72.805199999999999</v>
      </c>
      <c r="F7">
        <v>0.10370000000000233</v>
      </c>
      <c r="H7">
        <v>58.3902</v>
      </c>
      <c r="I7">
        <v>0.10570000000000239</v>
      </c>
      <c r="T7">
        <v>6.5000000000001223E-2</v>
      </c>
      <c r="U7">
        <v>0.10370000000000233</v>
      </c>
      <c r="V7">
        <v>0.10570000000000239</v>
      </c>
    </row>
    <row r="8" spans="1:25" x14ac:dyDescent="0.55000000000000004">
      <c r="A8" t="s">
        <v>9</v>
      </c>
      <c r="B8">
        <v>46.387700000000002</v>
      </c>
      <c r="C8">
        <v>6.4500000000001209E-2</v>
      </c>
      <c r="E8">
        <v>183.6345</v>
      </c>
      <c r="F8">
        <v>0.20359999999999429</v>
      </c>
      <c r="H8">
        <v>54.261899999999997</v>
      </c>
      <c r="I8">
        <v>0.11520000000000266</v>
      </c>
      <c r="T8">
        <v>6.4500000000001209E-2</v>
      </c>
      <c r="U8">
        <v>0.20359999999999429</v>
      </c>
      <c r="V8">
        <v>0.11520000000000266</v>
      </c>
    </row>
    <row r="9" spans="1:25" x14ac:dyDescent="0.55000000000000004">
      <c r="A9" t="s">
        <v>10</v>
      </c>
      <c r="B9">
        <v>65.012799999999999</v>
      </c>
      <c r="C9">
        <v>6.8200000000001315E-2</v>
      </c>
      <c r="E9">
        <v>48.913600000000002</v>
      </c>
      <c r="F9">
        <v>9.7500000000002154E-2</v>
      </c>
      <c r="H9">
        <v>40.723100000000002</v>
      </c>
      <c r="I9">
        <v>9.3400000000002037E-2</v>
      </c>
      <c r="T9">
        <v>6.8200000000001315E-2</v>
      </c>
      <c r="U9">
        <v>9.7500000000002154E-2</v>
      </c>
      <c r="V9">
        <v>9.3400000000002037E-2</v>
      </c>
    </row>
    <row r="10" spans="1:25" x14ac:dyDescent="0.55000000000000004">
      <c r="A10" t="s">
        <v>11</v>
      </c>
      <c r="B10">
        <v>40.867699999999999</v>
      </c>
      <c r="C10">
        <v>8.9100000000001914E-2</v>
      </c>
      <c r="E10">
        <v>133.85210000000001</v>
      </c>
      <c r="F10">
        <v>0.11020000000000252</v>
      </c>
      <c r="H10">
        <v>54.7151</v>
      </c>
      <c r="I10">
        <v>0.1094000000000025</v>
      </c>
      <c r="T10">
        <v>8.9100000000001914E-2</v>
      </c>
      <c r="U10">
        <v>0.11020000000000252</v>
      </c>
      <c r="V10">
        <v>0.1094000000000025</v>
      </c>
    </row>
    <row r="11" spans="1:25" x14ac:dyDescent="0.55000000000000004">
      <c r="A11" t="s">
        <v>12</v>
      </c>
      <c r="B11">
        <v>29.776299999999999</v>
      </c>
      <c r="C11">
        <v>7.220000000000143E-2</v>
      </c>
      <c r="E11">
        <v>134.4256</v>
      </c>
      <c r="F11">
        <v>0.10740000000000244</v>
      </c>
      <c r="H11">
        <v>43.172699999999999</v>
      </c>
      <c r="I11">
        <v>0.13370000000000198</v>
      </c>
      <c r="T11">
        <v>7.220000000000143E-2</v>
      </c>
      <c r="U11">
        <v>0.10740000000000244</v>
      </c>
      <c r="V11">
        <v>0.13370000000000198</v>
      </c>
    </row>
    <row r="12" spans="1:25" x14ac:dyDescent="0.55000000000000004">
      <c r="A12" t="s">
        <v>13</v>
      </c>
      <c r="B12">
        <v>36.331499999999998</v>
      </c>
      <c r="C12">
        <v>7.9600000000001642E-2</v>
      </c>
      <c r="E12">
        <v>69.541499999999999</v>
      </c>
      <c r="F12">
        <v>0.10180000000000228</v>
      </c>
      <c r="H12">
        <v>47.710500000000003</v>
      </c>
      <c r="I12">
        <v>0.10640000000000241</v>
      </c>
      <c r="T12">
        <v>7.9600000000001642E-2</v>
      </c>
      <c r="U12">
        <v>0.10180000000000228</v>
      </c>
      <c r="V12">
        <v>0.10640000000000241</v>
      </c>
    </row>
    <row r="13" spans="1:25" x14ac:dyDescent="0.55000000000000004">
      <c r="A13" t="s">
        <v>14</v>
      </c>
      <c r="B13">
        <v>39.066600000000001</v>
      </c>
      <c r="C13">
        <v>8.6300000000001834E-2</v>
      </c>
      <c r="E13">
        <v>173.8742</v>
      </c>
      <c r="F13">
        <v>0.2197999999999925</v>
      </c>
      <c r="H13">
        <v>52.249299999999998</v>
      </c>
      <c r="I13">
        <v>9.700000000000214E-2</v>
      </c>
      <c r="T13">
        <v>8.6300000000001834E-2</v>
      </c>
      <c r="U13">
        <v>0.2197999999999925</v>
      </c>
      <c r="V13">
        <v>9.700000000000214E-2</v>
      </c>
    </row>
    <row r="14" spans="1:25" x14ac:dyDescent="0.55000000000000004">
      <c r="A14" t="s">
        <v>15</v>
      </c>
      <c r="B14">
        <v>44.043303999999999</v>
      </c>
      <c r="C14">
        <v>8.5500000000001811E-2</v>
      </c>
      <c r="E14">
        <v>53.802754</v>
      </c>
      <c r="F14">
        <v>9.9200000000002203E-2</v>
      </c>
      <c r="H14">
        <v>44.292954999999999</v>
      </c>
      <c r="I14">
        <v>0.1094000000000025</v>
      </c>
      <c r="T14">
        <v>8.5500000000001811E-2</v>
      </c>
      <c r="U14">
        <v>9.9200000000002203E-2</v>
      </c>
      <c r="V14">
        <v>0.1094000000000025</v>
      </c>
    </row>
    <row r="15" spans="1:25" x14ac:dyDescent="0.55000000000000004">
      <c r="A15" t="s">
        <v>16</v>
      </c>
      <c r="B15">
        <v>31.017468000000001</v>
      </c>
      <c r="C15">
        <v>8.3600000000001756E-2</v>
      </c>
      <c r="E15">
        <v>97.552689999999998</v>
      </c>
      <c r="F15">
        <v>0.10570000000000239</v>
      </c>
      <c r="H15">
        <v>45.736221999999998</v>
      </c>
      <c r="I15">
        <v>0.11000000000000251</v>
      </c>
      <c r="T15">
        <v>8.3600000000001756E-2</v>
      </c>
      <c r="U15">
        <v>0.10570000000000239</v>
      </c>
      <c r="V15">
        <v>0.11000000000000251</v>
      </c>
    </row>
    <row r="16" spans="1:25" x14ac:dyDescent="0.55000000000000004">
      <c r="A16" t="s">
        <v>17</v>
      </c>
      <c r="B16">
        <v>57.181531</v>
      </c>
      <c r="C16">
        <v>7.9800000000001647E-2</v>
      </c>
      <c r="E16">
        <v>61.570664000000001</v>
      </c>
      <c r="F16">
        <v>0.10320000000000232</v>
      </c>
      <c r="H16">
        <v>57.663184000000001</v>
      </c>
      <c r="I16">
        <v>0.10150000000000227</v>
      </c>
      <c r="T16">
        <v>7.9800000000001647E-2</v>
      </c>
      <c r="U16">
        <v>0.10320000000000232</v>
      </c>
      <c r="V16">
        <v>0.10150000000000227</v>
      </c>
    </row>
    <row r="17" spans="1:22" x14ac:dyDescent="0.55000000000000004">
      <c r="A17" t="s">
        <v>18</v>
      </c>
      <c r="B17">
        <v>36.887735999999997</v>
      </c>
      <c r="C17">
        <v>8.4600000000001785E-2</v>
      </c>
      <c r="E17">
        <v>54.913204</v>
      </c>
      <c r="F17">
        <v>0.28359999999998547</v>
      </c>
      <c r="H17">
        <v>44.559489999999997</v>
      </c>
      <c r="I17">
        <v>9.8700000000002189E-2</v>
      </c>
      <c r="T17">
        <v>8.4600000000001785E-2</v>
      </c>
      <c r="U17">
        <v>0.28359999999998547</v>
      </c>
      <c r="V17">
        <v>9.8700000000002189E-2</v>
      </c>
    </row>
    <row r="18" spans="1:22" x14ac:dyDescent="0.55000000000000004">
      <c r="A18" t="s">
        <v>19</v>
      </c>
      <c r="B18">
        <v>58.598444000000001</v>
      </c>
      <c r="C18">
        <v>7.6900000000001564E-2</v>
      </c>
      <c r="E18">
        <v>82.707599000000002</v>
      </c>
      <c r="F18">
        <v>0.11440000000000264</v>
      </c>
      <c r="H18">
        <v>47.245958000000002</v>
      </c>
      <c r="I18">
        <v>0.10370000000000233</v>
      </c>
      <c r="T18">
        <v>7.6900000000001564E-2</v>
      </c>
      <c r="U18">
        <v>0.11440000000000264</v>
      </c>
      <c r="V18">
        <v>0.10370000000000233</v>
      </c>
    </row>
    <row r="19" spans="1:22" x14ac:dyDescent="0.55000000000000004">
      <c r="A19" t="s">
        <v>20</v>
      </c>
      <c r="B19">
        <v>46.405012999999997</v>
      </c>
      <c r="C19">
        <v>6.3100000000001169E-2</v>
      </c>
      <c r="E19">
        <v>73.734859999999998</v>
      </c>
      <c r="F19">
        <v>9.9300000000002206E-2</v>
      </c>
      <c r="H19">
        <v>55.456287000000003</v>
      </c>
      <c r="I19">
        <v>9.5100000000002086E-2</v>
      </c>
      <c r="T19">
        <v>6.3100000000001169E-2</v>
      </c>
      <c r="U19">
        <v>9.9300000000002206E-2</v>
      </c>
      <c r="V19">
        <v>9.5100000000002086E-2</v>
      </c>
    </row>
    <row r="20" spans="1:22" x14ac:dyDescent="0.55000000000000004">
      <c r="A20" t="s">
        <v>21</v>
      </c>
      <c r="B20">
        <v>36.528722999999999</v>
      </c>
      <c r="C20">
        <v>7.290000000000145E-2</v>
      </c>
      <c r="E20">
        <v>204.35991899999999</v>
      </c>
      <c r="F20">
        <v>0.22899999999999149</v>
      </c>
      <c r="H20">
        <v>53.320089000000003</v>
      </c>
      <c r="I20">
        <v>9.7600000000002157E-2</v>
      </c>
      <c r="T20">
        <v>7.290000000000145E-2</v>
      </c>
      <c r="U20">
        <v>0.22899999999999149</v>
      </c>
      <c r="V20">
        <v>9.7600000000002157E-2</v>
      </c>
    </row>
    <row r="21" spans="1:22" x14ac:dyDescent="0.55000000000000004">
      <c r="A21" t="s">
        <v>22</v>
      </c>
      <c r="B21">
        <v>37.472628999999998</v>
      </c>
      <c r="C21">
        <v>7.1100000000001398E-2</v>
      </c>
      <c r="E21">
        <v>51.713296</v>
      </c>
      <c r="F21">
        <v>0.10160000000000227</v>
      </c>
      <c r="H21">
        <v>45.187928999999997</v>
      </c>
      <c r="I21">
        <v>0.10980000000000251</v>
      </c>
      <c r="T21">
        <v>7.1100000000001398E-2</v>
      </c>
      <c r="U21">
        <v>0.10160000000000227</v>
      </c>
      <c r="V21">
        <v>0.10980000000000251</v>
      </c>
    </row>
    <row r="22" spans="1:22" x14ac:dyDescent="0.55000000000000004">
      <c r="A22" t="s">
        <v>23</v>
      </c>
      <c r="B22">
        <v>55.208340999999997</v>
      </c>
      <c r="C22">
        <v>6.1000000000001116E-2</v>
      </c>
      <c r="E22">
        <v>80.378592999999995</v>
      </c>
      <c r="F22">
        <v>9.8200000000002174E-2</v>
      </c>
      <c r="H22">
        <v>52.170037999999998</v>
      </c>
      <c r="I22">
        <v>0.10160000000000227</v>
      </c>
      <c r="T22">
        <v>6.1000000000001116E-2</v>
      </c>
      <c r="U22">
        <v>9.8200000000002174E-2</v>
      </c>
      <c r="V22">
        <v>0.10160000000000227</v>
      </c>
    </row>
    <row r="23" spans="1:22" x14ac:dyDescent="0.55000000000000004">
      <c r="A23" t="s">
        <v>24</v>
      </c>
      <c r="B23">
        <v>46.646500000000003</v>
      </c>
      <c r="C23">
        <v>6.9800000000001361E-2</v>
      </c>
      <c r="E23">
        <v>129.1438</v>
      </c>
      <c r="F23">
        <v>0.10800000000000246</v>
      </c>
      <c r="H23">
        <v>54.53</v>
      </c>
      <c r="I23">
        <v>0.10740000000000244</v>
      </c>
      <c r="T23">
        <v>6.9800000000001361E-2</v>
      </c>
      <c r="U23">
        <v>0.10800000000000246</v>
      </c>
      <c r="V23">
        <v>0.10740000000000244</v>
      </c>
    </row>
    <row r="24" spans="1:22" x14ac:dyDescent="0.55000000000000004">
      <c r="A24" t="s">
        <v>25</v>
      </c>
      <c r="B24">
        <v>42.128526999999998</v>
      </c>
      <c r="C24">
        <v>7.1700000000001415E-2</v>
      </c>
      <c r="E24">
        <v>62.74418</v>
      </c>
      <c r="F24">
        <v>9.6500000000002126E-2</v>
      </c>
      <c r="H24">
        <v>49.233038000000001</v>
      </c>
      <c r="I24">
        <v>0.10220000000000229</v>
      </c>
      <c r="T24">
        <v>7.1700000000001415E-2</v>
      </c>
      <c r="U24">
        <v>9.6500000000002126E-2</v>
      </c>
      <c r="V24">
        <v>0.10220000000000229</v>
      </c>
    </row>
    <row r="25" spans="1:22" x14ac:dyDescent="0.55000000000000004">
      <c r="A25" t="s">
        <v>26</v>
      </c>
      <c r="B25">
        <v>93.418446000000003</v>
      </c>
      <c r="C25">
        <v>7.4100000000001484E-2</v>
      </c>
      <c r="E25">
        <v>56.201106000000003</v>
      </c>
      <c r="F25">
        <v>9.1900000000001994E-2</v>
      </c>
      <c r="H25">
        <v>43.517394000000003</v>
      </c>
      <c r="I25">
        <v>0.10180000000000228</v>
      </c>
      <c r="T25">
        <v>7.4100000000001484E-2</v>
      </c>
      <c r="U25">
        <v>9.1900000000001994E-2</v>
      </c>
      <c r="V25">
        <v>0.10180000000000228</v>
      </c>
    </row>
    <row r="26" spans="1:22" x14ac:dyDescent="0.55000000000000004">
      <c r="A26" t="s">
        <v>27</v>
      </c>
      <c r="B26">
        <v>50.637754999999999</v>
      </c>
      <c r="C26">
        <v>7.0200000000001372E-2</v>
      </c>
      <c r="E26">
        <v>47.015439999999998</v>
      </c>
      <c r="F26">
        <v>0.11560000000000267</v>
      </c>
      <c r="H26">
        <v>39.639246</v>
      </c>
      <c r="I26">
        <v>8.8600000000001899E-2</v>
      </c>
      <c r="T26">
        <v>7.0200000000001372E-2</v>
      </c>
      <c r="U26">
        <v>0.11560000000000267</v>
      </c>
      <c r="V26">
        <v>8.8600000000001899E-2</v>
      </c>
    </row>
    <row r="27" spans="1:22" x14ac:dyDescent="0.55000000000000004">
      <c r="A27" t="s">
        <v>28</v>
      </c>
      <c r="B27">
        <v>55.772489</v>
      </c>
      <c r="C27">
        <v>7.6700000000001559E-2</v>
      </c>
      <c r="E27">
        <v>39.51867</v>
      </c>
      <c r="F27">
        <v>9.6000000000002111E-2</v>
      </c>
      <c r="H27">
        <v>40.103577000000001</v>
      </c>
      <c r="I27">
        <v>0.1026000000000023</v>
      </c>
      <c r="T27">
        <v>7.6700000000001559E-2</v>
      </c>
      <c r="U27">
        <v>9.6000000000002111E-2</v>
      </c>
      <c r="V27">
        <v>0.1026000000000023</v>
      </c>
    </row>
    <row r="28" spans="1:22" x14ac:dyDescent="0.55000000000000004">
      <c r="A28" t="s">
        <v>29</v>
      </c>
      <c r="B28">
        <v>41.464258000000001</v>
      </c>
      <c r="C28">
        <v>8.5100000000001799E-2</v>
      </c>
      <c r="E28">
        <v>82.696903000000006</v>
      </c>
      <c r="F28">
        <v>0.10520000000000237</v>
      </c>
      <c r="H28">
        <v>58.231583000000001</v>
      </c>
      <c r="I28">
        <v>0.1061000000000024</v>
      </c>
      <c r="T28">
        <v>8.5100000000001799E-2</v>
      </c>
      <c r="U28">
        <v>0.10520000000000237</v>
      </c>
      <c r="V28">
        <v>0.1061000000000024</v>
      </c>
    </row>
    <row r="29" spans="1:22" x14ac:dyDescent="0.55000000000000004">
      <c r="A29" t="s">
        <v>30</v>
      </c>
      <c r="B29">
        <v>29.571676</v>
      </c>
      <c r="C29">
        <v>0.13850000000000146</v>
      </c>
      <c r="E29">
        <v>41.259236000000001</v>
      </c>
      <c r="F29">
        <v>0.10860000000000247</v>
      </c>
      <c r="H29">
        <v>26.885795000000002</v>
      </c>
      <c r="I29">
        <v>9.5400000000002094E-2</v>
      </c>
      <c r="T29">
        <v>0.13850000000000146</v>
      </c>
      <c r="U29">
        <v>0.10860000000000247</v>
      </c>
      <c r="V29">
        <v>9.5400000000002094E-2</v>
      </c>
    </row>
    <row r="30" spans="1:22" x14ac:dyDescent="0.55000000000000004">
      <c r="A30" t="s">
        <v>31</v>
      </c>
      <c r="B30">
        <v>39.735256</v>
      </c>
      <c r="C30">
        <v>6.9600000000001355E-2</v>
      </c>
      <c r="E30">
        <v>56.218527999999999</v>
      </c>
      <c r="F30">
        <v>0.10740000000000244</v>
      </c>
      <c r="H30">
        <v>48.125673999999997</v>
      </c>
      <c r="I30">
        <v>0.11130000000000255</v>
      </c>
      <c r="T30">
        <v>6.9600000000001355E-2</v>
      </c>
      <c r="U30">
        <v>0.10740000000000244</v>
      </c>
      <c r="V30">
        <v>0.11130000000000255</v>
      </c>
    </row>
    <row r="31" spans="1:22" x14ac:dyDescent="0.55000000000000004">
      <c r="A31" t="s">
        <v>32</v>
      </c>
      <c r="B31">
        <v>30.291491000000001</v>
      </c>
      <c r="C31">
        <v>7.3400000000001464E-2</v>
      </c>
      <c r="E31">
        <v>93.710933999999995</v>
      </c>
      <c r="F31">
        <v>0.27899999999998598</v>
      </c>
      <c r="H31">
        <v>46.778931999999998</v>
      </c>
      <c r="I31">
        <v>0.11950000000000278</v>
      </c>
      <c r="T31">
        <v>7.3400000000001464E-2</v>
      </c>
      <c r="U31">
        <v>0.27899999999998598</v>
      </c>
      <c r="V31">
        <v>0.11950000000000278</v>
      </c>
    </row>
    <row r="32" spans="1:22" x14ac:dyDescent="0.55000000000000004">
      <c r="A32" t="s">
        <v>33</v>
      </c>
      <c r="B32">
        <v>38.649790000000003</v>
      </c>
      <c r="C32">
        <v>7.7600000000001584E-2</v>
      </c>
      <c r="E32">
        <v>66.028035000000003</v>
      </c>
      <c r="F32">
        <v>0.10020000000000223</v>
      </c>
      <c r="H32">
        <v>45.205559999999998</v>
      </c>
      <c r="I32">
        <v>0.10340000000000232</v>
      </c>
      <c r="T32">
        <v>7.7600000000001584E-2</v>
      </c>
      <c r="U32">
        <v>0.10020000000000223</v>
      </c>
      <c r="V32">
        <v>0.10340000000000232</v>
      </c>
    </row>
    <row r="33" spans="1:22" x14ac:dyDescent="0.55000000000000004">
      <c r="A33" t="s">
        <v>34</v>
      </c>
      <c r="B33">
        <v>77.176965999999993</v>
      </c>
      <c r="C33">
        <v>8.6500000000001839E-2</v>
      </c>
      <c r="E33">
        <v>87.008298999999994</v>
      </c>
      <c r="F33">
        <v>0.10570000000000239</v>
      </c>
      <c r="H33">
        <v>47.282226999999999</v>
      </c>
      <c r="I33">
        <v>0.10350000000000233</v>
      </c>
      <c r="T33">
        <v>8.6500000000001839E-2</v>
      </c>
      <c r="U33">
        <v>0.10570000000000239</v>
      </c>
      <c r="V33">
        <v>0.10350000000000233</v>
      </c>
    </row>
    <row r="34" spans="1:22" x14ac:dyDescent="0.55000000000000004">
      <c r="A34" t="s">
        <v>35</v>
      </c>
      <c r="B34">
        <v>53.670743999999999</v>
      </c>
      <c r="C34">
        <v>6.9300000000001347E-2</v>
      </c>
      <c r="E34">
        <v>48.109662999999998</v>
      </c>
      <c r="F34">
        <v>0.22849999999999154</v>
      </c>
      <c r="H34">
        <v>45.315784000000001</v>
      </c>
      <c r="I34">
        <v>0.10670000000000242</v>
      </c>
      <c r="T34">
        <v>6.9300000000001347E-2</v>
      </c>
      <c r="U34">
        <v>0.22849999999999154</v>
      </c>
      <c r="V34">
        <v>0.10670000000000242</v>
      </c>
    </row>
    <row r="35" spans="1:22" x14ac:dyDescent="0.55000000000000004">
      <c r="A35" t="s">
        <v>36</v>
      </c>
      <c r="B35">
        <v>38.079225999999998</v>
      </c>
      <c r="C35">
        <v>8.8700000000001902E-2</v>
      </c>
      <c r="E35">
        <v>55.331404999999997</v>
      </c>
      <c r="F35">
        <v>0.10280000000000231</v>
      </c>
      <c r="H35">
        <v>51.552919000000003</v>
      </c>
      <c r="I35">
        <v>0.10410000000000234</v>
      </c>
      <c r="T35">
        <v>8.8700000000001902E-2</v>
      </c>
      <c r="U35">
        <v>0.10280000000000231</v>
      </c>
      <c r="V35">
        <v>0.10410000000000234</v>
      </c>
    </row>
    <row r="36" spans="1:22" x14ac:dyDescent="0.55000000000000004">
      <c r="A36" t="s">
        <v>37</v>
      </c>
      <c r="B36">
        <v>39.848762000000001</v>
      </c>
      <c r="C36">
        <v>8.3900000000001765E-2</v>
      </c>
      <c r="E36">
        <v>45.199556999999999</v>
      </c>
      <c r="F36">
        <v>9.7200000000002146E-2</v>
      </c>
      <c r="H36">
        <v>46.550033999999997</v>
      </c>
      <c r="I36">
        <v>0.10040000000000224</v>
      </c>
      <c r="T36">
        <v>8.3900000000001765E-2</v>
      </c>
      <c r="U36">
        <v>9.7200000000002146E-2</v>
      </c>
      <c r="V36">
        <v>0.10040000000000224</v>
      </c>
    </row>
    <row r="37" spans="1:22" x14ac:dyDescent="0.55000000000000004">
      <c r="A37" t="s">
        <v>38</v>
      </c>
      <c r="B37">
        <v>41.824460000000002</v>
      </c>
      <c r="C37">
        <v>8.2500000000001725E-2</v>
      </c>
      <c r="E37">
        <v>40.832343000000002</v>
      </c>
      <c r="F37">
        <v>0.11180000000000256</v>
      </c>
      <c r="H37">
        <v>48.925294999999998</v>
      </c>
      <c r="I37">
        <v>0.11970000000000279</v>
      </c>
      <c r="T37">
        <v>8.2500000000001725E-2</v>
      </c>
      <c r="U37">
        <v>0.11180000000000256</v>
      </c>
      <c r="V37">
        <v>0.11970000000000279</v>
      </c>
    </row>
    <row r="38" spans="1:22" x14ac:dyDescent="0.55000000000000004">
      <c r="A38" t="s">
        <v>39</v>
      </c>
      <c r="B38">
        <v>36.131751000000001</v>
      </c>
      <c r="C38">
        <v>9.3200000000002031E-2</v>
      </c>
      <c r="E38">
        <v>48.1297</v>
      </c>
      <c r="F38">
        <v>0.11700000000000271</v>
      </c>
      <c r="H38">
        <v>40.736539</v>
      </c>
      <c r="I38">
        <v>9.4100000000002057E-2</v>
      </c>
      <c r="T38">
        <v>9.3200000000002031E-2</v>
      </c>
      <c r="U38">
        <v>0.11700000000000271</v>
      </c>
      <c r="V38">
        <v>9.4100000000002057E-2</v>
      </c>
    </row>
    <row r="39" spans="1:22" x14ac:dyDescent="0.55000000000000004">
      <c r="A39" t="s">
        <v>40</v>
      </c>
      <c r="B39">
        <v>44.567003999999997</v>
      </c>
      <c r="C39">
        <v>9.0400000000001951E-2</v>
      </c>
      <c r="E39">
        <v>103.78941</v>
      </c>
      <c r="F39">
        <v>0.10670000000000242</v>
      </c>
      <c r="H39">
        <v>60.591096999999998</v>
      </c>
      <c r="I39">
        <v>0.10630000000000241</v>
      </c>
      <c r="T39">
        <v>9.0400000000001951E-2</v>
      </c>
      <c r="U39">
        <v>0.10670000000000242</v>
      </c>
      <c r="V39">
        <v>0.10630000000000241</v>
      </c>
    </row>
    <row r="40" spans="1:22" x14ac:dyDescent="0.55000000000000004">
      <c r="A40" t="s">
        <v>41</v>
      </c>
      <c r="B40">
        <v>37.607621999999999</v>
      </c>
      <c r="C40">
        <v>7.5900000000001536E-2</v>
      </c>
      <c r="E40">
        <v>42.758420000000001</v>
      </c>
      <c r="F40">
        <v>0.13290000000000207</v>
      </c>
      <c r="H40">
        <v>38.637152999999998</v>
      </c>
      <c r="I40">
        <v>0.12150000000000284</v>
      </c>
      <c r="T40">
        <v>7.5900000000001536E-2</v>
      </c>
      <c r="U40">
        <v>0.13290000000000207</v>
      </c>
      <c r="V40">
        <v>0.12150000000000284</v>
      </c>
    </row>
    <row r="41" spans="1:22" x14ac:dyDescent="0.55000000000000004">
      <c r="A41" t="s">
        <v>42</v>
      </c>
      <c r="B41">
        <v>38.256742000000003</v>
      </c>
      <c r="C41">
        <v>7.6600000000001556E-2</v>
      </c>
      <c r="E41">
        <v>42.253861999999998</v>
      </c>
      <c r="F41">
        <v>0.10240000000000229</v>
      </c>
      <c r="H41">
        <v>35.498823000000002</v>
      </c>
      <c r="I41">
        <v>0.10930000000000249</v>
      </c>
      <c r="T41">
        <v>7.6600000000001556E-2</v>
      </c>
      <c r="U41">
        <v>0.10240000000000229</v>
      </c>
      <c r="V41">
        <v>0.10930000000000249</v>
      </c>
    </row>
    <row r="42" spans="1:22" x14ac:dyDescent="0.55000000000000004">
      <c r="A42" t="s">
        <v>43</v>
      </c>
      <c r="B42">
        <v>40.540019000000001</v>
      </c>
      <c r="C42">
        <v>7.3500000000001467E-2</v>
      </c>
      <c r="E42">
        <v>85.805530000000005</v>
      </c>
      <c r="F42">
        <v>0.12700000000000272</v>
      </c>
      <c r="H42">
        <v>44.988615000000003</v>
      </c>
      <c r="I42">
        <v>0.1235000000000029</v>
      </c>
      <c r="T42">
        <v>7.3500000000001467E-2</v>
      </c>
      <c r="U42">
        <v>0.12700000000000272</v>
      </c>
      <c r="V42">
        <v>0.1235000000000029</v>
      </c>
    </row>
    <row r="43" spans="1:22" x14ac:dyDescent="0.55000000000000004">
      <c r="A43" t="s">
        <v>44</v>
      </c>
      <c r="B43">
        <v>62.983054000000003</v>
      </c>
      <c r="C43">
        <v>7.7600000000001584E-2</v>
      </c>
      <c r="E43">
        <v>50.846749000000003</v>
      </c>
      <c r="F43">
        <v>9.8800000000002192E-2</v>
      </c>
      <c r="H43">
        <v>49.399374999999999</v>
      </c>
      <c r="I43">
        <v>9.8800000000002192E-2</v>
      </c>
      <c r="T43">
        <v>7.7600000000001584E-2</v>
      </c>
      <c r="U43">
        <v>9.8800000000002192E-2</v>
      </c>
      <c r="V43">
        <v>9.8800000000002192E-2</v>
      </c>
    </row>
    <row r="44" spans="1:22" x14ac:dyDescent="0.55000000000000004">
      <c r="A44" t="s">
        <v>45</v>
      </c>
      <c r="B44">
        <v>44.445504</v>
      </c>
      <c r="C44">
        <v>7.2400000000001435E-2</v>
      </c>
      <c r="E44">
        <v>48.305926999999997</v>
      </c>
      <c r="F44">
        <v>0.12870000000000253</v>
      </c>
      <c r="H44">
        <v>36.650602999999997</v>
      </c>
      <c r="I44">
        <v>0.12200000000000286</v>
      </c>
      <c r="T44">
        <v>7.2400000000001435E-2</v>
      </c>
      <c r="U44">
        <v>0.12870000000000253</v>
      </c>
      <c r="V44">
        <v>0.12200000000000286</v>
      </c>
    </row>
    <row r="45" spans="1:22" x14ac:dyDescent="0.55000000000000004">
      <c r="A45" t="s">
        <v>46</v>
      </c>
      <c r="B45">
        <v>59.241959000000001</v>
      </c>
      <c r="C45">
        <v>4.9000000000000772E-2</v>
      </c>
      <c r="E45">
        <v>53.851964000000002</v>
      </c>
      <c r="F45">
        <v>8.9500000000001925E-2</v>
      </c>
      <c r="H45">
        <v>58.582377000000001</v>
      </c>
      <c r="I45">
        <v>0.10300000000000231</v>
      </c>
      <c r="T45">
        <v>4.9000000000000772E-2</v>
      </c>
      <c r="U45">
        <v>8.9500000000001925E-2</v>
      </c>
      <c r="V45">
        <v>0.10300000000000231</v>
      </c>
    </row>
    <row r="46" spans="1:22" x14ac:dyDescent="0.55000000000000004">
      <c r="A46" t="s">
        <v>47</v>
      </c>
      <c r="B46">
        <v>39.935662999999998</v>
      </c>
      <c r="C46">
        <v>8.0200000000001659E-2</v>
      </c>
      <c r="E46">
        <v>40.544131999999998</v>
      </c>
      <c r="F46">
        <v>0.11500000000000266</v>
      </c>
      <c r="H46">
        <v>45.230195999999999</v>
      </c>
      <c r="I46">
        <v>0.11270000000000259</v>
      </c>
      <c r="T46">
        <v>8.0200000000001659E-2</v>
      </c>
      <c r="U46">
        <v>0.11500000000000266</v>
      </c>
      <c r="V46">
        <v>0.11270000000000259</v>
      </c>
    </row>
    <row r="47" spans="1:22" x14ac:dyDescent="0.55000000000000004">
      <c r="A47" t="s">
        <v>48</v>
      </c>
      <c r="B47">
        <v>44.454549</v>
      </c>
      <c r="C47">
        <v>7.0600000000001384E-2</v>
      </c>
      <c r="E47">
        <v>44.724474999999998</v>
      </c>
      <c r="F47">
        <v>0.24479999999998975</v>
      </c>
      <c r="H47">
        <v>44.137829000000004</v>
      </c>
      <c r="I47">
        <v>0.10470000000000236</v>
      </c>
      <c r="T47">
        <v>7.0600000000001384E-2</v>
      </c>
      <c r="U47">
        <v>0.24479999999998975</v>
      </c>
      <c r="V47">
        <v>0.10470000000000236</v>
      </c>
    </row>
    <row r="48" spans="1:22" x14ac:dyDescent="0.55000000000000004">
      <c r="A48" t="s">
        <v>49</v>
      </c>
      <c r="B48">
        <v>52.001717999999997</v>
      </c>
      <c r="C48">
        <v>7.920000000000163E-2</v>
      </c>
      <c r="E48">
        <v>42.153903999999997</v>
      </c>
      <c r="F48">
        <v>0.11090000000000254</v>
      </c>
      <c r="H48">
        <v>52.247191000000001</v>
      </c>
      <c r="I48">
        <v>0.10420000000000235</v>
      </c>
      <c r="T48">
        <v>7.920000000000163E-2</v>
      </c>
      <c r="U48">
        <v>0.11090000000000254</v>
      </c>
      <c r="V48">
        <v>0.10420000000000235</v>
      </c>
    </row>
    <row r="49" spans="1:22" x14ac:dyDescent="0.55000000000000004">
      <c r="A49" t="s">
        <v>50</v>
      </c>
      <c r="B49">
        <v>36.797459000000003</v>
      </c>
      <c r="C49">
        <v>7.500000000000151E-2</v>
      </c>
      <c r="E49">
        <v>57.040621999999999</v>
      </c>
      <c r="F49">
        <v>8.9400000000001922E-2</v>
      </c>
      <c r="H49">
        <v>41.299821000000001</v>
      </c>
      <c r="I49">
        <v>9.9000000000002197E-2</v>
      </c>
      <c r="T49">
        <v>7.500000000000151E-2</v>
      </c>
      <c r="U49">
        <v>8.9400000000001922E-2</v>
      </c>
      <c r="V49">
        <v>9.9000000000002197E-2</v>
      </c>
    </row>
    <row r="50" spans="1:22" x14ac:dyDescent="0.55000000000000004">
      <c r="A50" t="s">
        <v>51</v>
      </c>
      <c r="B50">
        <v>49.829411</v>
      </c>
      <c r="C50">
        <v>8.930000000000192E-2</v>
      </c>
      <c r="E50">
        <v>49.600920000000002</v>
      </c>
      <c r="F50">
        <v>0.11150000000000256</v>
      </c>
      <c r="H50">
        <v>58.599609000000001</v>
      </c>
      <c r="I50">
        <v>0.10890000000000248</v>
      </c>
      <c r="T50">
        <v>8.930000000000192E-2</v>
      </c>
      <c r="U50">
        <v>0.11150000000000256</v>
      </c>
      <c r="V50">
        <v>0.10890000000000248</v>
      </c>
    </row>
    <row r="51" spans="1:22" x14ac:dyDescent="0.55000000000000004">
      <c r="A51" t="s">
        <v>52</v>
      </c>
      <c r="B51">
        <v>50.285342</v>
      </c>
      <c r="C51">
        <v>6.220000000000115E-2</v>
      </c>
      <c r="E51">
        <v>47.584401999999997</v>
      </c>
      <c r="F51">
        <v>8.6000000000001825E-2</v>
      </c>
      <c r="H51">
        <v>48.291640999999998</v>
      </c>
      <c r="I51">
        <v>8.8500000000001897E-2</v>
      </c>
      <c r="T51">
        <v>6.220000000000115E-2</v>
      </c>
      <c r="U51">
        <v>8.6000000000001825E-2</v>
      </c>
      <c r="V51">
        <v>8.8500000000001897E-2</v>
      </c>
    </row>
    <row r="52" spans="1:22" x14ac:dyDescent="0.55000000000000004">
      <c r="A52" t="s">
        <v>53</v>
      </c>
      <c r="B52">
        <v>40.290927000000003</v>
      </c>
      <c r="C52">
        <v>7.5600000000001527E-2</v>
      </c>
      <c r="E52">
        <v>46.255136999999998</v>
      </c>
      <c r="F52">
        <v>0.1097000000000025</v>
      </c>
      <c r="H52">
        <v>46.048186000000001</v>
      </c>
      <c r="I52">
        <v>0.11590000000000268</v>
      </c>
      <c r="T52">
        <v>7.5600000000001527E-2</v>
      </c>
      <c r="U52">
        <v>0.1097000000000025</v>
      </c>
      <c r="V52">
        <v>0.11590000000000268</v>
      </c>
    </row>
    <row r="53" spans="1:22" x14ac:dyDescent="0.55000000000000004">
      <c r="A53" t="s">
        <v>54</v>
      </c>
      <c r="B53">
        <v>53.046540999999998</v>
      </c>
      <c r="C53">
        <v>9.1300000000001977E-2</v>
      </c>
      <c r="E53">
        <v>135.62388000000001</v>
      </c>
      <c r="F53">
        <v>0.25369999999998877</v>
      </c>
      <c r="H53">
        <v>48.025039</v>
      </c>
      <c r="I53">
        <v>0.10530000000000238</v>
      </c>
      <c r="T53">
        <v>9.1300000000001977E-2</v>
      </c>
      <c r="U53">
        <v>0.25369999999998877</v>
      </c>
      <c r="V53">
        <v>0.10530000000000238</v>
      </c>
    </row>
    <row r="54" spans="1:22" x14ac:dyDescent="0.55000000000000004">
      <c r="A54" t="s">
        <v>55</v>
      </c>
      <c r="B54">
        <v>49.789960999999998</v>
      </c>
      <c r="C54">
        <v>0.10740000000000244</v>
      </c>
      <c r="E54">
        <v>180.293871</v>
      </c>
      <c r="F54">
        <v>0.24869999999998932</v>
      </c>
      <c r="H54">
        <v>43.157347000000001</v>
      </c>
      <c r="I54">
        <v>0.13250000000000212</v>
      </c>
      <c r="T54">
        <v>0.10740000000000244</v>
      </c>
      <c r="U54">
        <v>0.24869999999998932</v>
      </c>
      <c r="V54">
        <v>0.13250000000000212</v>
      </c>
    </row>
    <row r="55" spans="1:22" x14ac:dyDescent="0.55000000000000004">
      <c r="A55" t="s">
        <v>56</v>
      </c>
      <c r="B55">
        <v>61.545642999999998</v>
      </c>
      <c r="C55">
        <v>9.5400000000002094E-2</v>
      </c>
      <c r="E55">
        <v>46.466085</v>
      </c>
      <c r="F55">
        <v>0.10740000000000244</v>
      </c>
      <c r="H55">
        <v>47.437705000000001</v>
      </c>
      <c r="I55">
        <v>0.11780000000000274</v>
      </c>
      <c r="T55">
        <v>9.5400000000002094E-2</v>
      </c>
      <c r="U55">
        <v>0.10740000000000244</v>
      </c>
      <c r="V55">
        <v>0.11780000000000274</v>
      </c>
    </row>
    <row r="56" spans="1:22" x14ac:dyDescent="0.55000000000000004">
      <c r="A56" t="s">
        <v>57</v>
      </c>
      <c r="B56">
        <v>66.216887999999997</v>
      </c>
      <c r="C56">
        <v>6.9100000000001341E-2</v>
      </c>
      <c r="E56">
        <v>52.153263000000003</v>
      </c>
      <c r="F56">
        <v>0.12840000000000257</v>
      </c>
      <c r="H56">
        <v>46.758898000000002</v>
      </c>
      <c r="I56">
        <v>0.10810000000000246</v>
      </c>
      <c r="T56">
        <v>6.9100000000001341E-2</v>
      </c>
      <c r="U56">
        <v>0.12840000000000257</v>
      </c>
      <c r="V56">
        <v>0.10810000000000246</v>
      </c>
    </row>
    <row r="57" spans="1:22" x14ac:dyDescent="0.55000000000000004">
      <c r="A57" t="s">
        <v>58</v>
      </c>
      <c r="B57">
        <v>40.783017000000001</v>
      </c>
      <c r="C57">
        <v>7.9300000000001633E-2</v>
      </c>
      <c r="E57">
        <v>44.342143</v>
      </c>
      <c r="F57">
        <v>9.56000000000021E-2</v>
      </c>
      <c r="H57">
        <v>50.061982999999998</v>
      </c>
      <c r="I57">
        <v>9.5800000000002106E-2</v>
      </c>
      <c r="T57">
        <v>7.9300000000001633E-2</v>
      </c>
      <c r="U57">
        <v>9.56000000000021E-2</v>
      </c>
      <c r="V57">
        <v>9.5800000000002106E-2</v>
      </c>
    </row>
    <row r="58" spans="1:22" x14ac:dyDescent="0.55000000000000004">
      <c r="A58" t="s">
        <v>59</v>
      </c>
      <c r="B58">
        <v>62.813253000000003</v>
      </c>
      <c r="C58">
        <v>7.570000000000153E-2</v>
      </c>
      <c r="E58">
        <v>40.370204999999999</v>
      </c>
      <c r="F58">
        <v>0.10410000000000234</v>
      </c>
      <c r="H58">
        <v>47.450986999999998</v>
      </c>
      <c r="I58">
        <v>0.12300000000000288</v>
      </c>
      <c r="T58">
        <v>7.570000000000153E-2</v>
      </c>
      <c r="U58">
        <v>0.10410000000000234</v>
      </c>
      <c r="V58">
        <v>0.12300000000000288</v>
      </c>
    </row>
    <row r="59" spans="1:22" x14ac:dyDescent="0.55000000000000004">
      <c r="A59" t="s">
        <v>60</v>
      </c>
      <c r="B59">
        <v>34.165664</v>
      </c>
      <c r="C59">
        <v>9.280000000000202E-2</v>
      </c>
      <c r="E59">
        <v>44.321418999999999</v>
      </c>
      <c r="F59">
        <v>0.10980000000000251</v>
      </c>
      <c r="H59">
        <v>46.095647</v>
      </c>
      <c r="I59">
        <v>0.11140000000000255</v>
      </c>
      <c r="T59">
        <v>9.280000000000202E-2</v>
      </c>
      <c r="U59">
        <v>0.10980000000000251</v>
      </c>
      <c r="V59">
        <v>0.11140000000000255</v>
      </c>
    </row>
    <row r="60" spans="1:22" x14ac:dyDescent="0.55000000000000004">
      <c r="A60" t="s">
        <v>61</v>
      </c>
      <c r="B60">
        <v>51.394908000000001</v>
      </c>
      <c r="C60">
        <v>0.11350000000000261</v>
      </c>
      <c r="E60">
        <v>80.239031999999995</v>
      </c>
      <c r="F60">
        <v>0.10690000000000242</v>
      </c>
      <c r="H60">
        <v>54.715468000000001</v>
      </c>
      <c r="I60">
        <v>0.11510000000000266</v>
      </c>
      <c r="T60">
        <v>0.11350000000000261</v>
      </c>
      <c r="U60">
        <v>0.10690000000000242</v>
      </c>
      <c r="V60">
        <v>0.11510000000000266</v>
      </c>
    </row>
    <row r="61" spans="1:22" x14ac:dyDescent="0.55000000000000004">
      <c r="A61" t="s">
        <v>62</v>
      </c>
      <c r="B61">
        <v>62.269196999999998</v>
      </c>
      <c r="C61">
        <v>7.0500000000001381E-2</v>
      </c>
      <c r="E61">
        <v>50.545442999999999</v>
      </c>
      <c r="F61">
        <v>0.10890000000000248</v>
      </c>
      <c r="H61">
        <v>58.915816</v>
      </c>
      <c r="I61">
        <v>0.11540000000000267</v>
      </c>
      <c r="T61">
        <v>7.0500000000001381E-2</v>
      </c>
      <c r="U61">
        <v>0.10890000000000248</v>
      </c>
      <c r="V61">
        <v>0.11540000000000267</v>
      </c>
    </row>
    <row r="62" spans="1:22" x14ac:dyDescent="0.55000000000000004">
      <c r="A62" t="s">
        <v>63</v>
      </c>
      <c r="B62">
        <v>37.668565000000001</v>
      </c>
      <c r="C62">
        <v>9.4800000000002077E-2</v>
      </c>
      <c r="E62">
        <v>48.598560999999997</v>
      </c>
      <c r="F62">
        <v>0.11070000000000253</v>
      </c>
      <c r="H62">
        <v>42.473582</v>
      </c>
      <c r="I62">
        <v>0.10550000000000238</v>
      </c>
      <c r="T62">
        <v>9.4800000000002077E-2</v>
      </c>
      <c r="U62">
        <v>0.11070000000000253</v>
      </c>
      <c r="V62">
        <v>0.10550000000000238</v>
      </c>
    </row>
    <row r="63" spans="1:22" x14ac:dyDescent="0.55000000000000004">
      <c r="A63" t="s">
        <v>64</v>
      </c>
      <c r="B63">
        <v>35.270304000000003</v>
      </c>
      <c r="C63">
        <v>8.2400000000001722E-2</v>
      </c>
      <c r="E63">
        <v>38.19097</v>
      </c>
      <c r="F63">
        <v>0.12140000000000284</v>
      </c>
      <c r="H63">
        <v>48.581339</v>
      </c>
      <c r="I63">
        <v>0.11510000000000266</v>
      </c>
      <c r="T63">
        <v>8.2400000000001722E-2</v>
      </c>
      <c r="U63">
        <v>0.12140000000000284</v>
      </c>
      <c r="V63">
        <v>0.11510000000000266</v>
      </c>
    </row>
    <row r="64" spans="1:22" x14ac:dyDescent="0.55000000000000004">
      <c r="A64" t="s">
        <v>65</v>
      </c>
      <c r="B64">
        <v>38.363688000000003</v>
      </c>
      <c r="C64">
        <v>0.10450000000000235</v>
      </c>
      <c r="E64">
        <v>78.965935999999999</v>
      </c>
      <c r="F64">
        <v>0.23759999999999054</v>
      </c>
      <c r="H64">
        <v>42.016235999999999</v>
      </c>
      <c r="I64">
        <v>0.11470000000000265</v>
      </c>
      <c r="T64">
        <v>0.10450000000000235</v>
      </c>
      <c r="U64">
        <v>0.23759999999999054</v>
      </c>
      <c r="V64">
        <v>0.11470000000000265</v>
      </c>
    </row>
    <row r="65" spans="1:22" x14ac:dyDescent="0.55000000000000004">
      <c r="A65" t="s">
        <v>66</v>
      </c>
      <c r="B65">
        <v>36.483756</v>
      </c>
      <c r="C65">
        <v>7.500000000000151E-2</v>
      </c>
      <c r="E65">
        <v>45.242213999999997</v>
      </c>
      <c r="F65">
        <v>0.10730000000000244</v>
      </c>
      <c r="H65">
        <v>43.896729000000001</v>
      </c>
      <c r="I65">
        <v>0.12750000000000267</v>
      </c>
      <c r="T65">
        <v>7.500000000000151E-2</v>
      </c>
      <c r="U65">
        <v>0.10730000000000244</v>
      </c>
      <c r="V65">
        <v>0.12750000000000267</v>
      </c>
    </row>
    <row r="66" spans="1:22" x14ac:dyDescent="0.55000000000000004">
      <c r="A66" t="s">
        <v>67</v>
      </c>
      <c r="B66">
        <v>48.867538000000003</v>
      </c>
      <c r="C66">
        <v>9.4500000000002068E-2</v>
      </c>
      <c r="E66">
        <v>53.044145</v>
      </c>
      <c r="F66">
        <v>0.13220000000000215</v>
      </c>
      <c r="H66">
        <v>47.662759000000001</v>
      </c>
      <c r="I66">
        <v>0.12710000000000271</v>
      </c>
      <c r="T66">
        <v>9.4500000000002068E-2</v>
      </c>
      <c r="U66">
        <v>0.13220000000000215</v>
      </c>
      <c r="V66">
        <v>0.12710000000000271</v>
      </c>
    </row>
    <row r="67" spans="1:22" x14ac:dyDescent="0.55000000000000004">
      <c r="A67" t="s">
        <v>68</v>
      </c>
      <c r="B67">
        <v>38.042565000000003</v>
      </c>
      <c r="C67">
        <v>8.4800000000001791E-2</v>
      </c>
      <c r="E67">
        <v>40.562846</v>
      </c>
      <c r="F67">
        <v>0.12710000000000271</v>
      </c>
      <c r="H67">
        <v>52.776651000000001</v>
      </c>
      <c r="I67">
        <v>0.12100000000000283</v>
      </c>
      <c r="T67">
        <v>8.4800000000001791E-2</v>
      </c>
      <c r="U67">
        <v>0.12710000000000271</v>
      </c>
      <c r="V67">
        <v>0.12100000000000283</v>
      </c>
    </row>
    <row r="68" spans="1:22" x14ac:dyDescent="0.55000000000000004">
      <c r="A68" t="s">
        <v>69</v>
      </c>
      <c r="B68">
        <v>45.811892</v>
      </c>
      <c r="C68">
        <v>8.6200000000001831E-2</v>
      </c>
      <c r="E68">
        <v>71.765437000000006</v>
      </c>
      <c r="F68">
        <v>0.1095000000000025</v>
      </c>
      <c r="H68">
        <v>50.969419000000002</v>
      </c>
      <c r="I68">
        <v>0.1129000000000026</v>
      </c>
      <c r="T68">
        <v>8.6200000000001831E-2</v>
      </c>
      <c r="U68">
        <v>0.1095000000000025</v>
      </c>
      <c r="V68">
        <v>0.1129000000000026</v>
      </c>
    </row>
    <row r="69" spans="1:22" x14ac:dyDescent="0.55000000000000004">
      <c r="A69" t="s">
        <v>70</v>
      </c>
      <c r="B69">
        <v>38.955249000000002</v>
      </c>
      <c r="C69">
        <v>9.2900000000002023E-2</v>
      </c>
      <c r="E69">
        <v>86.871065000000002</v>
      </c>
      <c r="F69">
        <v>0.27109999999998685</v>
      </c>
      <c r="H69">
        <v>55.622211999999998</v>
      </c>
      <c r="I69">
        <v>0.10820000000000246</v>
      </c>
      <c r="T69">
        <v>9.2900000000002023E-2</v>
      </c>
      <c r="U69">
        <v>0.27109999999998685</v>
      </c>
      <c r="V69">
        <v>0.10820000000000246</v>
      </c>
    </row>
    <row r="70" spans="1:22" x14ac:dyDescent="0.55000000000000004">
      <c r="A70" t="s">
        <v>71</v>
      </c>
      <c r="B70">
        <v>48.226812000000002</v>
      </c>
      <c r="C70">
        <v>8.2200000000001716E-2</v>
      </c>
      <c r="E70">
        <v>49.274603999999997</v>
      </c>
      <c r="F70">
        <v>9.1300000000001977E-2</v>
      </c>
      <c r="H70">
        <v>44.049263000000003</v>
      </c>
      <c r="I70">
        <v>0.10310000000000231</v>
      </c>
      <c r="T70">
        <v>8.2200000000001716E-2</v>
      </c>
      <c r="U70">
        <v>9.1300000000001977E-2</v>
      </c>
      <c r="V70">
        <v>0.10310000000000231</v>
      </c>
    </row>
    <row r="71" spans="1:22" x14ac:dyDescent="0.55000000000000004">
      <c r="A71" t="s">
        <v>72</v>
      </c>
      <c r="B71">
        <v>38.900148999999999</v>
      </c>
      <c r="C71">
        <v>7.3000000000001453E-2</v>
      </c>
      <c r="E71">
        <v>46.678454000000002</v>
      </c>
      <c r="F71">
        <v>0.11750000000000273</v>
      </c>
      <c r="H71">
        <v>45.282949000000002</v>
      </c>
      <c r="I71">
        <v>0.10150000000000227</v>
      </c>
      <c r="T71">
        <v>7.3000000000001453E-2</v>
      </c>
      <c r="U71">
        <v>0.11750000000000273</v>
      </c>
      <c r="V71">
        <v>0.10150000000000227</v>
      </c>
    </row>
    <row r="72" spans="1:22" x14ac:dyDescent="0.55000000000000004">
      <c r="A72" t="s">
        <v>73</v>
      </c>
      <c r="B72">
        <v>79.964777999999995</v>
      </c>
      <c r="C72">
        <v>8.0500000000001667E-2</v>
      </c>
      <c r="E72">
        <v>101.05332</v>
      </c>
      <c r="F72">
        <v>0.12050000000000281</v>
      </c>
      <c r="H72">
        <v>47.781058999999999</v>
      </c>
      <c r="I72">
        <v>0.12730000000000269</v>
      </c>
      <c r="T72">
        <v>8.0500000000001667E-2</v>
      </c>
      <c r="U72">
        <v>0.12050000000000281</v>
      </c>
      <c r="V72">
        <v>0.12730000000000269</v>
      </c>
    </row>
    <row r="73" spans="1:22" x14ac:dyDescent="0.55000000000000004">
      <c r="A73" t="s">
        <v>74</v>
      </c>
      <c r="B73">
        <v>42.611449</v>
      </c>
      <c r="C73">
        <v>8.8800000000001628E-2</v>
      </c>
      <c r="E73">
        <v>117.511303</v>
      </c>
      <c r="F73">
        <v>0.11620000000000241</v>
      </c>
      <c r="H73">
        <v>48.942988</v>
      </c>
      <c r="I73">
        <v>0.1226000000000026</v>
      </c>
      <c r="T73">
        <v>8.8800000000001628E-2</v>
      </c>
      <c r="U73">
        <v>0.11620000000000241</v>
      </c>
      <c r="V73">
        <v>0.1226000000000026</v>
      </c>
    </row>
    <row r="74" spans="1:22" x14ac:dyDescent="0.55000000000000004">
      <c r="A74" t="s">
        <v>75</v>
      </c>
      <c r="B74">
        <v>55.884152</v>
      </c>
      <c r="C74">
        <v>9.2400000000002008E-2</v>
      </c>
      <c r="E74">
        <v>87.146185000000003</v>
      </c>
      <c r="F74">
        <v>0.11930000000000278</v>
      </c>
      <c r="H74">
        <v>46.492404000000001</v>
      </c>
      <c r="I74">
        <v>0.11870000000000276</v>
      </c>
      <c r="T74">
        <v>9.2400000000002008E-2</v>
      </c>
      <c r="U74">
        <v>0.11930000000000278</v>
      </c>
      <c r="V74">
        <v>0.11870000000000276</v>
      </c>
    </row>
    <row r="75" spans="1:22" x14ac:dyDescent="0.55000000000000004">
      <c r="A75" t="s">
        <v>76</v>
      </c>
      <c r="B75">
        <v>37.226773000000001</v>
      </c>
      <c r="C75">
        <v>8.4200000000001773E-2</v>
      </c>
      <c r="E75">
        <v>359.40427899999997</v>
      </c>
      <c r="F75">
        <v>0.20379999999999426</v>
      </c>
      <c r="H75">
        <v>40.484791999999999</v>
      </c>
      <c r="I75">
        <v>0.11280000000000259</v>
      </c>
      <c r="T75">
        <v>8.4200000000001773E-2</v>
      </c>
      <c r="U75">
        <v>0.20379999999999426</v>
      </c>
      <c r="V75">
        <v>0.11280000000000259</v>
      </c>
    </row>
    <row r="76" spans="1:22" x14ac:dyDescent="0.55000000000000004">
      <c r="A76" t="s">
        <v>77</v>
      </c>
      <c r="B76">
        <v>56.029125000000001</v>
      </c>
      <c r="C76">
        <v>9.8600000000002186E-2</v>
      </c>
      <c r="E76">
        <v>94.551297000000005</v>
      </c>
      <c r="F76">
        <v>0.11060000000000253</v>
      </c>
      <c r="H76">
        <v>60.552970999999999</v>
      </c>
      <c r="I76">
        <v>0.11180000000000256</v>
      </c>
      <c r="T76">
        <v>9.8600000000002186E-2</v>
      </c>
      <c r="U76">
        <v>0.11060000000000253</v>
      </c>
      <c r="V76">
        <v>0.11180000000000256</v>
      </c>
    </row>
    <row r="77" spans="1:22" x14ac:dyDescent="0.55000000000000004">
      <c r="A77" t="s">
        <v>78</v>
      </c>
      <c r="B77">
        <v>38.629671999999999</v>
      </c>
      <c r="C77">
        <v>8.0100000000001656E-2</v>
      </c>
      <c r="E77">
        <v>85.625711999999993</v>
      </c>
      <c r="F77">
        <v>0.12520000000000292</v>
      </c>
      <c r="H77">
        <v>42.700009000000001</v>
      </c>
      <c r="I77">
        <v>0.13040000000000235</v>
      </c>
      <c r="T77">
        <v>8.0100000000001656E-2</v>
      </c>
      <c r="U77">
        <v>0.12520000000000292</v>
      </c>
      <c r="V77">
        <v>0.13040000000000235</v>
      </c>
    </row>
    <row r="78" spans="1:22" x14ac:dyDescent="0.55000000000000004">
      <c r="A78" t="s">
        <v>79</v>
      </c>
      <c r="B78">
        <v>43.185122999999997</v>
      </c>
      <c r="C78">
        <v>7.8800000000001619E-2</v>
      </c>
      <c r="E78">
        <v>45.664752999999997</v>
      </c>
      <c r="F78">
        <v>0.12510000000000293</v>
      </c>
      <c r="H78">
        <v>36.778143</v>
      </c>
      <c r="I78">
        <v>0.1202000000000028</v>
      </c>
      <c r="T78">
        <v>7.8800000000001619E-2</v>
      </c>
      <c r="U78">
        <v>0.12510000000000293</v>
      </c>
      <c r="V78">
        <v>0.1202000000000028</v>
      </c>
    </row>
    <row r="79" spans="1:22" x14ac:dyDescent="0.55000000000000004">
      <c r="A79" t="s">
        <v>80</v>
      </c>
      <c r="B79">
        <v>31.436682000000001</v>
      </c>
      <c r="C79">
        <v>9.6700000000002131E-2</v>
      </c>
      <c r="E79">
        <v>48.410668999999999</v>
      </c>
      <c r="F79">
        <v>0.10740000000000244</v>
      </c>
      <c r="H79">
        <v>36.517964999999997</v>
      </c>
      <c r="I79">
        <v>0.10900000000000248</v>
      </c>
      <c r="T79">
        <v>9.6700000000002131E-2</v>
      </c>
      <c r="U79">
        <v>0.10740000000000244</v>
      </c>
      <c r="V79">
        <v>0.10900000000000248</v>
      </c>
    </row>
    <row r="80" spans="1:22" x14ac:dyDescent="0.55000000000000004">
      <c r="A80" t="s">
        <v>81</v>
      </c>
      <c r="B80">
        <v>39.997083000000003</v>
      </c>
      <c r="C80">
        <v>9.630000000000212E-2</v>
      </c>
      <c r="E80">
        <v>42.857826000000003</v>
      </c>
      <c r="F80">
        <v>9.6000000000002111E-2</v>
      </c>
      <c r="H80">
        <v>37.850223</v>
      </c>
      <c r="I80">
        <v>0.10870000000000248</v>
      </c>
      <c r="T80">
        <v>9.630000000000212E-2</v>
      </c>
      <c r="U80">
        <v>9.6000000000002111E-2</v>
      </c>
      <c r="V80">
        <v>0.10870000000000248</v>
      </c>
    </row>
    <row r="81" spans="1:22" x14ac:dyDescent="0.55000000000000004">
      <c r="A81" t="s">
        <v>82</v>
      </c>
      <c r="B81">
        <v>45.640614999999997</v>
      </c>
      <c r="C81">
        <v>7.5400000000001521E-2</v>
      </c>
      <c r="E81">
        <v>44.539448</v>
      </c>
      <c r="F81">
        <v>0.10220000000000229</v>
      </c>
      <c r="H81">
        <v>45.785020000000003</v>
      </c>
      <c r="I81">
        <v>0.10010000000000223</v>
      </c>
      <c r="T81">
        <v>7.5400000000001521E-2</v>
      </c>
      <c r="U81">
        <v>0.10220000000000229</v>
      </c>
      <c r="V81">
        <v>0.10010000000000223</v>
      </c>
    </row>
    <row r="82" spans="1:22" x14ac:dyDescent="0.55000000000000004">
      <c r="A82" t="s">
        <v>83</v>
      </c>
      <c r="B82">
        <v>62.618588000000003</v>
      </c>
      <c r="C82">
        <v>7.6700000000001559E-2</v>
      </c>
      <c r="E82">
        <v>92.560462000000001</v>
      </c>
      <c r="F82">
        <v>0.11340000000000261</v>
      </c>
      <c r="H82">
        <v>48.213343999999999</v>
      </c>
      <c r="I82">
        <v>0.10680000000000242</v>
      </c>
      <c r="T82">
        <v>7.6700000000001559E-2</v>
      </c>
      <c r="U82">
        <v>0.11340000000000261</v>
      </c>
      <c r="V82">
        <v>0.10680000000000242</v>
      </c>
    </row>
    <row r="83" spans="1:22" x14ac:dyDescent="0.55000000000000004">
      <c r="A83" t="s">
        <v>84</v>
      </c>
      <c r="B83">
        <v>33.861314</v>
      </c>
      <c r="C83">
        <v>8.9000000000001911E-2</v>
      </c>
      <c r="E83">
        <v>48.452480000000001</v>
      </c>
      <c r="F83">
        <v>0.1308000000000023</v>
      </c>
      <c r="H83">
        <v>33.958345999999999</v>
      </c>
      <c r="I83">
        <v>0.10280000000000231</v>
      </c>
      <c r="T83">
        <v>8.9000000000001911E-2</v>
      </c>
      <c r="U83">
        <v>0.1308000000000023</v>
      </c>
      <c r="V83">
        <v>0.10280000000000231</v>
      </c>
    </row>
    <row r="84" spans="1:22" x14ac:dyDescent="0.55000000000000004">
      <c r="A84" t="s">
        <v>85</v>
      </c>
      <c r="B84">
        <v>36.625549999999997</v>
      </c>
      <c r="C84">
        <v>8.1700000000001702E-2</v>
      </c>
      <c r="E84">
        <v>63.808596000000001</v>
      </c>
      <c r="F84">
        <v>0.11860000000000276</v>
      </c>
      <c r="H84">
        <v>45.647036</v>
      </c>
      <c r="I84">
        <v>0.11140000000000255</v>
      </c>
      <c r="T84">
        <v>8.1700000000001702E-2</v>
      </c>
      <c r="U84">
        <v>0.11860000000000276</v>
      </c>
      <c r="V84">
        <v>0.11140000000000255</v>
      </c>
    </row>
    <row r="85" spans="1:22" x14ac:dyDescent="0.55000000000000004">
      <c r="A85" t="s">
        <v>86</v>
      </c>
      <c r="B85">
        <v>56.138672</v>
      </c>
      <c r="C85">
        <v>8.4300000000001776E-2</v>
      </c>
      <c r="E85">
        <v>53.701044000000003</v>
      </c>
      <c r="F85">
        <v>0.10990000000000251</v>
      </c>
      <c r="H85">
        <v>50.555441999999999</v>
      </c>
      <c r="I85">
        <v>0.11000000000000251</v>
      </c>
      <c r="T85">
        <v>8.4300000000001776E-2</v>
      </c>
      <c r="U85">
        <v>0.10990000000000251</v>
      </c>
      <c r="V85">
        <v>0.11000000000000251</v>
      </c>
    </row>
    <row r="86" spans="1:22" x14ac:dyDescent="0.55000000000000004">
      <c r="A86" t="s">
        <v>87</v>
      </c>
      <c r="B86">
        <v>37.145249999999997</v>
      </c>
      <c r="C86">
        <v>8.8000000000001882E-2</v>
      </c>
      <c r="E86">
        <v>116.573026</v>
      </c>
      <c r="F86">
        <v>0.27799999999998609</v>
      </c>
      <c r="H86">
        <v>49.760460999999999</v>
      </c>
      <c r="I86">
        <v>0.10300000000000231</v>
      </c>
      <c r="T86">
        <v>8.8000000000001882E-2</v>
      </c>
      <c r="U86">
        <v>0.27799999999998609</v>
      </c>
      <c r="V86">
        <v>0.10300000000000231</v>
      </c>
    </row>
    <row r="87" spans="1:22" x14ac:dyDescent="0.55000000000000004">
      <c r="A87" t="s">
        <v>88</v>
      </c>
      <c r="B87">
        <v>48.090397000000003</v>
      </c>
      <c r="C87">
        <v>8.5800000000001819E-2</v>
      </c>
      <c r="E87">
        <v>64.741893000000005</v>
      </c>
      <c r="F87">
        <v>0.24639999999998957</v>
      </c>
      <c r="H87">
        <v>47.731343000000003</v>
      </c>
      <c r="I87">
        <v>9.9900000000002223E-2</v>
      </c>
      <c r="T87">
        <v>8.5800000000001819E-2</v>
      </c>
      <c r="U87">
        <v>0.24639999999998957</v>
      </c>
      <c r="V87">
        <v>9.9900000000002223E-2</v>
      </c>
    </row>
    <row r="88" spans="1:22" x14ac:dyDescent="0.55000000000000004">
      <c r="A88" t="s">
        <v>89</v>
      </c>
      <c r="B88">
        <v>36.788462000000003</v>
      </c>
      <c r="C88">
        <v>8.8400000000001894E-2</v>
      </c>
      <c r="E88">
        <v>71.559268000000003</v>
      </c>
      <c r="F88">
        <v>0.1130000000000026</v>
      </c>
      <c r="H88">
        <v>40.062493000000003</v>
      </c>
      <c r="I88">
        <v>0.11860000000000276</v>
      </c>
      <c r="T88">
        <v>8.8400000000001894E-2</v>
      </c>
      <c r="U88">
        <v>0.1130000000000026</v>
      </c>
      <c r="V88">
        <v>0.11860000000000276</v>
      </c>
    </row>
    <row r="89" spans="1:22" x14ac:dyDescent="0.55000000000000004">
      <c r="A89" t="s">
        <v>90</v>
      </c>
      <c r="B89">
        <v>42.508834999999998</v>
      </c>
      <c r="C89">
        <v>7.220000000000143E-2</v>
      </c>
      <c r="E89">
        <v>60.523322999999998</v>
      </c>
      <c r="F89">
        <v>0.10730000000000244</v>
      </c>
      <c r="H89">
        <v>55.183616000000001</v>
      </c>
      <c r="I89">
        <v>0.10590000000000239</v>
      </c>
      <c r="T89">
        <v>7.220000000000143E-2</v>
      </c>
      <c r="U89">
        <v>0.10730000000000244</v>
      </c>
      <c r="V89">
        <v>0.10590000000000239</v>
      </c>
    </row>
    <row r="90" spans="1:22" x14ac:dyDescent="0.55000000000000004">
      <c r="A90" t="s">
        <v>91</v>
      </c>
      <c r="B90">
        <v>38.475569</v>
      </c>
      <c r="C90">
        <v>7.6300000000001547E-2</v>
      </c>
      <c r="E90">
        <v>41.791285000000002</v>
      </c>
      <c r="F90">
        <v>8.4400000000001779E-2</v>
      </c>
      <c r="H90">
        <v>37.318209000000003</v>
      </c>
      <c r="I90">
        <v>8.3900000000001765E-2</v>
      </c>
      <c r="T90">
        <v>7.6300000000001547E-2</v>
      </c>
      <c r="U90">
        <v>8.4400000000001779E-2</v>
      </c>
      <c r="V90">
        <v>8.3900000000001765E-2</v>
      </c>
    </row>
    <row r="91" spans="1:22" x14ac:dyDescent="0.55000000000000004">
      <c r="A91" t="s">
        <v>92</v>
      </c>
      <c r="B91">
        <v>44.372598000000004</v>
      </c>
      <c r="C91">
        <v>7.2800000000001447E-2</v>
      </c>
      <c r="E91">
        <v>46.403798999999999</v>
      </c>
      <c r="F91">
        <v>0.1199000000000028</v>
      </c>
      <c r="H91">
        <v>39.495493000000003</v>
      </c>
      <c r="I91">
        <v>0.10400000000000234</v>
      </c>
      <c r="T91">
        <v>7.2800000000001447E-2</v>
      </c>
      <c r="U91">
        <v>0.1199000000000028</v>
      </c>
      <c r="V91">
        <v>0.10400000000000234</v>
      </c>
    </row>
    <row r="92" spans="1:22" x14ac:dyDescent="0.55000000000000004">
      <c r="A92" t="s">
        <v>93</v>
      </c>
      <c r="B92">
        <v>35.876693000000003</v>
      </c>
      <c r="C92">
        <v>8.8400000000001894E-2</v>
      </c>
      <c r="E92">
        <v>107.33037299999999</v>
      </c>
      <c r="F92">
        <v>0.10020000000000223</v>
      </c>
      <c r="H92">
        <v>50.673603</v>
      </c>
      <c r="I92">
        <v>0.1096000000000025</v>
      </c>
      <c r="T92">
        <v>8.8400000000001894E-2</v>
      </c>
      <c r="U92">
        <v>0.10020000000000223</v>
      </c>
      <c r="V92">
        <v>0.1096000000000025</v>
      </c>
    </row>
    <row r="93" spans="1:22" x14ac:dyDescent="0.55000000000000004">
      <c r="A93" t="s">
        <v>94</v>
      </c>
      <c r="B93">
        <v>34.585388999999999</v>
      </c>
      <c r="C93">
        <v>8.6200000000001831E-2</v>
      </c>
      <c r="E93">
        <v>122.042959</v>
      </c>
      <c r="F93">
        <v>0.26379999999998766</v>
      </c>
      <c r="H93">
        <v>71.264411999999993</v>
      </c>
      <c r="I93">
        <v>0.11350000000000261</v>
      </c>
      <c r="T93">
        <v>8.6200000000001831E-2</v>
      </c>
      <c r="U93">
        <v>0.26379999999998766</v>
      </c>
      <c r="V93">
        <v>0.11350000000000261</v>
      </c>
    </row>
    <row r="94" spans="1:22" x14ac:dyDescent="0.55000000000000004">
      <c r="A94" t="s">
        <v>95</v>
      </c>
      <c r="B94">
        <v>44.687247999999997</v>
      </c>
      <c r="C94">
        <v>7.3100000000001455E-2</v>
      </c>
      <c r="E94">
        <v>54.694330999999998</v>
      </c>
      <c r="F94">
        <v>0.12550000000000289</v>
      </c>
      <c r="H94">
        <v>39.134061000000003</v>
      </c>
      <c r="I94">
        <v>0.10930000000000249</v>
      </c>
      <c r="T94">
        <v>7.3100000000001455E-2</v>
      </c>
      <c r="U94">
        <v>0.12550000000000289</v>
      </c>
      <c r="V94">
        <v>0.10930000000000249</v>
      </c>
    </row>
    <row r="95" spans="1:22" x14ac:dyDescent="0.55000000000000004">
      <c r="A95" t="s">
        <v>96</v>
      </c>
      <c r="B95">
        <v>43.384988999999997</v>
      </c>
      <c r="C95">
        <v>7.3700000000001473E-2</v>
      </c>
      <c r="E95">
        <v>86.616612000000003</v>
      </c>
      <c r="F95">
        <v>0.11100000000000254</v>
      </c>
      <c r="H95">
        <v>48.29316</v>
      </c>
      <c r="I95">
        <v>0.11420000000000263</v>
      </c>
      <c r="T95">
        <v>7.3700000000001473E-2</v>
      </c>
      <c r="U95">
        <v>0.11100000000000254</v>
      </c>
      <c r="V95">
        <v>0.11420000000000263</v>
      </c>
    </row>
    <row r="96" spans="1:22" x14ac:dyDescent="0.55000000000000004">
      <c r="A96" t="s">
        <v>97</v>
      </c>
      <c r="B96">
        <v>41.835034999999998</v>
      </c>
      <c r="C96">
        <v>7.2600000000001441E-2</v>
      </c>
      <c r="E96">
        <v>147.25243499999999</v>
      </c>
      <c r="F96">
        <v>0.25039999999998913</v>
      </c>
      <c r="H96">
        <v>44.509593000000002</v>
      </c>
      <c r="I96">
        <v>0.10370000000000233</v>
      </c>
      <c r="T96">
        <v>7.2600000000001441E-2</v>
      </c>
      <c r="U96">
        <v>0.25039999999998913</v>
      </c>
      <c r="V96">
        <v>0.10370000000000233</v>
      </c>
    </row>
    <row r="97" spans="1:22" x14ac:dyDescent="0.55000000000000004">
      <c r="A97" t="s">
        <v>98</v>
      </c>
      <c r="B97">
        <v>41.691203000000002</v>
      </c>
      <c r="C97">
        <v>8.8200000000001888E-2</v>
      </c>
      <c r="E97">
        <v>73.943203999999994</v>
      </c>
      <c r="F97">
        <v>0.11450000000000264</v>
      </c>
      <c r="H97">
        <v>50.655163000000002</v>
      </c>
      <c r="I97">
        <v>9.8300000000002177E-2</v>
      </c>
      <c r="T97">
        <v>8.8200000000001888E-2</v>
      </c>
      <c r="U97">
        <v>0.11450000000000264</v>
      </c>
      <c r="V97">
        <v>9.8300000000002177E-2</v>
      </c>
    </row>
    <row r="98" spans="1:22" x14ac:dyDescent="0.55000000000000004">
      <c r="A98" t="s">
        <v>99</v>
      </c>
      <c r="B98">
        <v>57.317293999999997</v>
      </c>
      <c r="C98">
        <v>7.640000000000155E-2</v>
      </c>
      <c r="E98">
        <v>55.719467000000002</v>
      </c>
      <c r="F98">
        <v>0.11580000000000268</v>
      </c>
      <c r="H98">
        <v>49.596772000000001</v>
      </c>
      <c r="I98">
        <v>0.10910000000000249</v>
      </c>
      <c r="T98">
        <v>7.640000000000155E-2</v>
      </c>
      <c r="U98">
        <v>0.11580000000000268</v>
      </c>
      <c r="V98">
        <v>0.10910000000000249</v>
      </c>
    </row>
    <row r="99" spans="1:22" x14ac:dyDescent="0.55000000000000004">
      <c r="A99" t="s">
        <v>100</v>
      </c>
      <c r="B99">
        <v>39.763509999999997</v>
      </c>
      <c r="C99">
        <v>8.3200000000001745E-2</v>
      </c>
      <c r="E99">
        <v>80.380371999999994</v>
      </c>
      <c r="F99">
        <v>0.10560000000000239</v>
      </c>
      <c r="H99">
        <v>67.928664999999995</v>
      </c>
      <c r="I99">
        <v>0.11490000000000265</v>
      </c>
      <c r="T99">
        <v>8.3200000000001745E-2</v>
      </c>
      <c r="U99">
        <v>0.10560000000000239</v>
      </c>
      <c r="V99">
        <v>0.11490000000000265</v>
      </c>
    </row>
    <row r="100" spans="1:22" x14ac:dyDescent="0.55000000000000004">
      <c r="A100" t="s">
        <v>101</v>
      </c>
      <c r="B100">
        <v>38.610641000000001</v>
      </c>
      <c r="C100">
        <v>0.10130000000000226</v>
      </c>
      <c r="E100">
        <v>36.374256000000003</v>
      </c>
      <c r="F100">
        <v>0.1094000000000025</v>
      </c>
      <c r="H100">
        <v>31.733847000000001</v>
      </c>
      <c r="I100">
        <v>0.12240000000000287</v>
      </c>
      <c r="T100">
        <v>0.10130000000000226</v>
      </c>
      <c r="U100">
        <v>0.1094000000000025</v>
      </c>
      <c r="V100">
        <v>0.12240000000000287</v>
      </c>
    </row>
    <row r="101" spans="1:22" x14ac:dyDescent="0.55000000000000004">
      <c r="A101" t="s">
        <v>102</v>
      </c>
      <c r="B101">
        <v>34.404772000000001</v>
      </c>
      <c r="C101">
        <v>9.6000000000002111E-2</v>
      </c>
      <c r="E101">
        <v>53.13203</v>
      </c>
      <c r="F101">
        <v>9.7100000000002143E-2</v>
      </c>
      <c r="H101">
        <v>38.645587999999996</v>
      </c>
      <c r="I101">
        <v>9.140000000000198E-2</v>
      </c>
      <c r="T101">
        <v>9.6000000000002111E-2</v>
      </c>
      <c r="U101">
        <v>9.7100000000002143E-2</v>
      </c>
      <c r="V101">
        <v>9.140000000000198E-2</v>
      </c>
    </row>
    <row r="102" spans="1:22" x14ac:dyDescent="0.55000000000000004">
      <c r="A102" t="s">
        <v>103</v>
      </c>
      <c r="B102">
        <v>54.059679000000003</v>
      </c>
      <c r="C102">
        <v>8.0200000000001659E-2</v>
      </c>
      <c r="E102">
        <v>52.884968000000001</v>
      </c>
      <c r="F102">
        <v>9.8500000000002183E-2</v>
      </c>
      <c r="H102">
        <v>49.226545999999999</v>
      </c>
      <c r="I102">
        <v>0.11220000000000258</v>
      </c>
      <c r="T102">
        <v>8.0200000000001659E-2</v>
      </c>
      <c r="U102">
        <v>9.8500000000002183E-2</v>
      </c>
      <c r="V102">
        <v>0.11220000000000258</v>
      </c>
    </row>
    <row r="103" spans="1:22" x14ac:dyDescent="0.55000000000000004">
      <c r="A103" t="s">
        <v>104</v>
      </c>
      <c r="B103">
        <v>31.740237</v>
      </c>
      <c r="C103">
        <v>8.9200000000001917E-2</v>
      </c>
      <c r="E103">
        <v>69.143386000000007</v>
      </c>
      <c r="F103">
        <v>9.3400000000002037E-2</v>
      </c>
      <c r="H103">
        <v>48.469406999999997</v>
      </c>
      <c r="I103">
        <v>8.8300000000001891E-2</v>
      </c>
      <c r="T103">
        <v>8.9200000000001917E-2</v>
      </c>
      <c r="U103">
        <v>9.3400000000002037E-2</v>
      </c>
      <c r="V103">
        <v>8.8300000000001891E-2</v>
      </c>
    </row>
    <row r="104" spans="1:22" x14ac:dyDescent="0.55000000000000004">
      <c r="A104" t="s">
        <v>105</v>
      </c>
      <c r="B104">
        <v>35.277006999999998</v>
      </c>
      <c r="C104">
        <v>8.3800000000001762E-2</v>
      </c>
      <c r="E104">
        <v>60.156844</v>
      </c>
      <c r="F104">
        <v>0.1027000000000023</v>
      </c>
      <c r="H104">
        <v>32.686602000000001</v>
      </c>
      <c r="I104">
        <v>9.000000000000194E-2</v>
      </c>
      <c r="T104">
        <v>8.3800000000001762E-2</v>
      </c>
      <c r="U104">
        <v>0.1027000000000023</v>
      </c>
      <c r="V104">
        <v>9.000000000000194E-2</v>
      </c>
    </row>
    <row r="105" spans="1:22" x14ac:dyDescent="0.55000000000000004">
      <c r="A105" t="s">
        <v>106</v>
      </c>
      <c r="B105">
        <v>35.726526</v>
      </c>
      <c r="C105">
        <v>8.4500000000001782E-2</v>
      </c>
      <c r="E105">
        <v>140.64503999999999</v>
      </c>
      <c r="F105">
        <v>0.26639999999998737</v>
      </c>
      <c r="H105">
        <v>54.028674000000002</v>
      </c>
      <c r="I105">
        <v>0.12870000000000253</v>
      </c>
      <c r="T105">
        <v>8.4500000000001782E-2</v>
      </c>
      <c r="U105">
        <v>0.26639999999998737</v>
      </c>
      <c r="V105">
        <v>0.12870000000000253</v>
      </c>
    </row>
    <row r="106" spans="1:22" x14ac:dyDescent="0.55000000000000004">
      <c r="A106" t="s">
        <v>107</v>
      </c>
      <c r="B106">
        <v>32.824654000000002</v>
      </c>
      <c r="C106">
        <v>7.850000000000161E-2</v>
      </c>
      <c r="E106">
        <v>50.375413999999999</v>
      </c>
      <c r="F106">
        <v>0.10050000000000224</v>
      </c>
      <c r="H106">
        <v>34.059043000000003</v>
      </c>
      <c r="I106">
        <v>0.10490000000000237</v>
      </c>
      <c r="T106">
        <v>7.850000000000161E-2</v>
      </c>
      <c r="U106">
        <v>0.10050000000000224</v>
      </c>
      <c r="V106">
        <v>0.10490000000000237</v>
      </c>
    </row>
    <row r="107" spans="1:22" x14ac:dyDescent="0.55000000000000004">
      <c r="A107" t="s">
        <v>108</v>
      </c>
      <c r="B107">
        <v>34.118682999999997</v>
      </c>
      <c r="C107">
        <v>9.840000000000218E-2</v>
      </c>
      <c r="E107">
        <v>88.847269999999995</v>
      </c>
      <c r="F107">
        <v>0.11750000000000273</v>
      </c>
      <c r="H107">
        <v>42.086083000000002</v>
      </c>
      <c r="I107">
        <v>0.11830000000000275</v>
      </c>
      <c r="T107">
        <v>9.840000000000218E-2</v>
      </c>
      <c r="U107">
        <v>0.11750000000000273</v>
      </c>
      <c r="V107">
        <v>0.11830000000000275</v>
      </c>
    </row>
    <row r="108" spans="1:22" x14ac:dyDescent="0.55000000000000004">
      <c r="A108" t="s">
        <v>109</v>
      </c>
      <c r="B108">
        <v>35.640514000000003</v>
      </c>
      <c r="C108">
        <v>9.1600000000001985E-2</v>
      </c>
      <c r="E108">
        <v>57.153638999999998</v>
      </c>
      <c r="F108">
        <v>0.1236000000000029</v>
      </c>
      <c r="H108">
        <v>52.921792000000003</v>
      </c>
      <c r="I108">
        <v>0.12480000000000294</v>
      </c>
      <c r="T108">
        <v>9.1600000000001985E-2</v>
      </c>
      <c r="U108">
        <v>0.1236000000000029</v>
      </c>
      <c r="V108">
        <v>0.12480000000000294</v>
      </c>
    </row>
    <row r="109" spans="1:22" x14ac:dyDescent="0.55000000000000004">
      <c r="A109" t="s">
        <v>110</v>
      </c>
      <c r="B109">
        <v>45.409866000000001</v>
      </c>
      <c r="C109">
        <v>8.5800000000001819E-2</v>
      </c>
      <c r="E109">
        <v>42.840034000000003</v>
      </c>
      <c r="F109">
        <v>0.13840000000000147</v>
      </c>
      <c r="H109">
        <v>30.567999</v>
      </c>
      <c r="I109">
        <v>0.13430000000000192</v>
      </c>
      <c r="T109">
        <v>8.5800000000001819E-2</v>
      </c>
      <c r="U109">
        <v>0.13840000000000147</v>
      </c>
      <c r="V109">
        <v>0.13430000000000192</v>
      </c>
    </row>
    <row r="110" spans="1:22" x14ac:dyDescent="0.55000000000000004">
      <c r="A110" t="s">
        <v>111</v>
      </c>
      <c r="B110">
        <v>50.607585999999998</v>
      </c>
      <c r="C110">
        <v>7.850000000000161E-2</v>
      </c>
      <c r="E110">
        <v>59.561850999999997</v>
      </c>
      <c r="F110">
        <v>0.10150000000000227</v>
      </c>
      <c r="H110">
        <v>41.534244999999999</v>
      </c>
      <c r="I110">
        <v>0.10000000000000223</v>
      </c>
      <c r="T110">
        <v>7.850000000000161E-2</v>
      </c>
      <c r="U110">
        <v>0.10150000000000227</v>
      </c>
      <c r="V110">
        <v>0.10000000000000223</v>
      </c>
    </row>
    <row r="111" spans="1:22" x14ac:dyDescent="0.55000000000000004">
      <c r="A111" t="s">
        <v>112</v>
      </c>
      <c r="B111">
        <v>41.407029999999999</v>
      </c>
      <c r="C111">
        <v>8.2300000000001719E-2</v>
      </c>
      <c r="E111">
        <v>65.756769000000006</v>
      </c>
      <c r="F111">
        <v>0.14360000000000089</v>
      </c>
      <c r="H111">
        <v>38.622453999999998</v>
      </c>
      <c r="I111">
        <v>0.10510000000000237</v>
      </c>
      <c r="T111">
        <v>8.2300000000001719E-2</v>
      </c>
      <c r="U111">
        <v>0.14360000000000089</v>
      </c>
      <c r="V111">
        <v>0.10510000000000237</v>
      </c>
    </row>
    <row r="112" spans="1:22" x14ac:dyDescent="0.55000000000000004">
      <c r="A112" t="s">
        <v>113</v>
      </c>
      <c r="B112">
        <v>43.483890000000002</v>
      </c>
      <c r="C112">
        <v>7.9000000000001624E-2</v>
      </c>
      <c r="E112">
        <v>40.134805999999998</v>
      </c>
      <c r="F112">
        <v>9.3100000000002028E-2</v>
      </c>
      <c r="H112">
        <v>35.960456999999998</v>
      </c>
      <c r="I112">
        <v>0.1097000000000025</v>
      </c>
      <c r="T112">
        <v>7.9000000000001624E-2</v>
      </c>
      <c r="U112">
        <v>9.3100000000002028E-2</v>
      </c>
      <c r="V112">
        <v>0.1097000000000025</v>
      </c>
    </row>
    <row r="113" spans="1:22" x14ac:dyDescent="0.55000000000000004">
      <c r="A113" t="s">
        <v>114</v>
      </c>
      <c r="B113">
        <v>50.295310999999998</v>
      </c>
      <c r="C113">
        <v>8.8000000000001882E-2</v>
      </c>
      <c r="E113">
        <v>41.799889</v>
      </c>
      <c r="F113">
        <v>9.4800000000002077E-2</v>
      </c>
      <c r="H113">
        <v>37.579483000000003</v>
      </c>
      <c r="I113">
        <v>9.7600000000002157E-2</v>
      </c>
      <c r="T113">
        <v>8.8000000000001882E-2</v>
      </c>
      <c r="U113">
        <v>9.4800000000002077E-2</v>
      </c>
      <c r="V113">
        <v>9.7600000000002157E-2</v>
      </c>
    </row>
    <row r="114" spans="1:22" x14ac:dyDescent="0.55000000000000004">
      <c r="A114" t="s">
        <v>115</v>
      </c>
      <c r="B114">
        <v>36.533009999999997</v>
      </c>
      <c r="C114">
        <v>0.10050000000000224</v>
      </c>
      <c r="E114">
        <v>79.172280000000001</v>
      </c>
      <c r="F114">
        <v>0.12100000000000283</v>
      </c>
      <c r="H114">
        <v>48.833151000000001</v>
      </c>
      <c r="I114">
        <v>0.11400000000000263</v>
      </c>
      <c r="T114">
        <v>0.10050000000000224</v>
      </c>
      <c r="U114">
        <v>0.12100000000000283</v>
      </c>
      <c r="V114">
        <v>0.11400000000000263</v>
      </c>
    </row>
    <row r="115" spans="1:22" x14ac:dyDescent="0.55000000000000004">
      <c r="A115" t="s">
        <v>116</v>
      </c>
      <c r="B115">
        <v>37.503200999999997</v>
      </c>
      <c r="C115">
        <v>8.8400000000001894E-2</v>
      </c>
      <c r="E115">
        <v>50.690885000000002</v>
      </c>
      <c r="F115">
        <v>0.10740000000000244</v>
      </c>
      <c r="H115">
        <v>38.799835000000002</v>
      </c>
      <c r="I115">
        <v>0.1097000000000025</v>
      </c>
      <c r="T115">
        <v>8.8400000000001894E-2</v>
      </c>
      <c r="U115">
        <v>0.10740000000000244</v>
      </c>
      <c r="V115">
        <v>0.1097000000000025</v>
      </c>
    </row>
    <row r="116" spans="1:22" x14ac:dyDescent="0.55000000000000004">
      <c r="A116" t="s">
        <v>117</v>
      </c>
      <c r="B116">
        <v>41.848975000000003</v>
      </c>
      <c r="C116">
        <v>7.2600000000001441E-2</v>
      </c>
      <c r="E116">
        <v>68.241343000000001</v>
      </c>
      <c r="F116">
        <v>0.1166000000000027</v>
      </c>
      <c r="H116">
        <v>44.607782</v>
      </c>
      <c r="I116">
        <v>0.11080000000000254</v>
      </c>
      <c r="T116">
        <v>7.2600000000001441E-2</v>
      </c>
      <c r="U116">
        <v>0.1166000000000027</v>
      </c>
      <c r="V116">
        <v>0.11080000000000254</v>
      </c>
    </row>
    <row r="117" spans="1:22" x14ac:dyDescent="0.55000000000000004">
      <c r="A117" t="s">
        <v>118</v>
      </c>
      <c r="B117">
        <v>69.104527000000004</v>
      </c>
      <c r="C117">
        <v>9.5700000000002103E-2</v>
      </c>
      <c r="E117">
        <v>67.279351000000005</v>
      </c>
      <c r="F117">
        <v>0.11700000000000271</v>
      </c>
      <c r="H117">
        <v>54.958218000000002</v>
      </c>
      <c r="I117">
        <v>0.11980000000000279</v>
      </c>
      <c r="T117">
        <v>9.5700000000002103E-2</v>
      </c>
      <c r="U117">
        <v>0.11700000000000271</v>
      </c>
      <c r="V117">
        <v>0.11980000000000279</v>
      </c>
    </row>
    <row r="118" spans="1:22" x14ac:dyDescent="0.55000000000000004">
      <c r="A118" t="s">
        <v>119</v>
      </c>
      <c r="B118">
        <v>47.220022999999998</v>
      </c>
      <c r="C118">
        <v>6.7800000000001304E-2</v>
      </c>
      <c r="E118">
        <v>49.788207</v>
      </c>
      <c r="F118">
        <v>0.10570000000000239</v>
      </c>
      <c r="H118">
        <v>43.269088000000004</v>
      </c>
      <c r="I118">
        <v>0.10750000000000244</v>
      </c>
      <c r="T118">
        <v>6.7800000000001304E-2</v>
      </c>
      <c r="U118">
        <v>0.10570000000000239</v>
      </c>
      <c r="V118">
        <v>0.10750000000000244</v>
      </c>
    </row>
    <row r="119" spans="1:22" x14ac:dyDescent="0.55000000000000004">
      <c r="A119" t="s">
        <v>120</v>
      </c>
      <c r="B119">
        <v>44.390748000000002</v>
      </c>
      <c r="C119">
        <v>5.0100000000000804E-2</v>
      </c>
      <c r="E119">
        <v>39.275236</v>
      </c>
      <c r="F119">
        <v>0.10480000000000236</v>
      </c>
      <c r="H119">
        <v>33.22842</v>
      </c>
      <c r="I119">
        <v>0.10860000000000247</v>
      </c>
      <c r="T119">
        <v>5.0100000000000804E-2</v>
      </c>
      <c r="U119">
        <v>0.10480000000000236</v>
      </c>
      <c r="V119">
        <v>0.10860000000000247</v>
      </c>
    </row>
    <row r="120" spans="1:22" x14ac:dyDescent="0.55000000000000004">
      <c r="A120" t="s">
        <v>121</v>
      </c>
      <c r="B120">
        <v>40.331533999999998</v>
      </c>
      <c r="C120">
        <v>7.4000000000001481E-2</v>
      </c>
      <c r="E120">
        <v>50.786650999999999</v>
      </c>
      <c r="F120">
        <v>0.10050000000000224</v>
      </c>
      <c r="H120">
        <v>45.656779</v>
      </c>
      <c r="I120">
        <v>0.11770000000000273</v>
      </c>
      <c r="T120">
        <v>7.4000000000001481E-2</v>
      </c>
      <c r="U120">
        <v>0.10050000000000224</v>
      </c>
      <c r="V120">
        <v>0.11770000000000273</v>
      </c>
    </row>
    <row r="121" spans="1:22" x14ac:dyDescent="0.55000000000000004">
      <c r="A121" t="s">
        <v>122</v>
      </c>
      <c r="B121">
        <v>39.590502999999998</v>
      </c>
      <c r="C121">
        <v>7.430000000000149E-2</v>
      </c>
      <c r="E121">
        <v>49.080525999999999</v>
      </c>
      <c r="F121">
        <v>9.8800000000002192E-2</v>
      </c>
      <c r="H121">
        <v>36.843257999999999</v>
      </c>
      <c r="I121">
        <v>0.10730000000000244</v>
      </c>
      <c r="T121">
        <v>7.430000000000149E-2</v>
      </c>
      <c r="U121">
        <v>9.8800000000002192E-2</v>
      </c>
      <c r="V121">
        <v>0.10730000000000244</v>
      </c>
    </row>
    <row r="122" spans="1:22" x14ac:dyDescent="0.55000000000000004">
      <c r="A122" t="s">
        <v>123</v>
      </c>
      <c r="B122">
        <v>37.389214000000003</v>
      </c>
      <c r="C122">
        <v>8.6400000000001836E-2</v>
      </c>
      <c r="E122">
        <v>99.131983000000005</v>
      </c>
      <c r="F122">
        <v>0.13620000000000171</v>
      </c>
      <c r="H122">
        <v>38.543331999999999</v>
      </c>
      <c r="I122">
        <v>0.13770000000000154</v>
      </c>
      <c r="T122">
        <v>8.6400000000001836E-2</v>
      </c>
      <c r="U122">
        <v>0.13620000000000171</v>
      </c>
      <c r="V122">
        <v>0.13770000000000154</v>
      </c>
    </row>
    <row r="123" spans="1:22" x14ac:dyDescent="0.55000000000000004">
      <c r="A123" t="s">
        <v>124</v>
      </c>
      <c r="B123">
        <v>114.078401</v>
      </c>
      <c r="C123">
        <v>6.4700000000001215E-2</v>
      </c>
      <c r="E123">
        <v>61.970931999999998</v>
      </c>
      <c r="F123">
        <v>0.10630000000000241</v>
      </c>
      <c r="H123">
        <v>49.025531000000001</v>
      </c>
      <c r="I123">
        <v>0.10690000000000242</v>
      </c>
      <c r="T123">
        <v>6.4700000000001215E-2</v>
      </c>
      <c r="U123">
        <v>0.10630000000000241</v>
      </c>
      <c r="V123">
        <v>0.10690000000000242</v>
      </c>
    </row>
    <row r="124" spans="1:22" x14ac:dyDescent="0.55000000000000004">
      <c r="A124" t="s">
        <v>125</v>
      </c>
      <c r="B124">
        <v>82.883977999999999</v>
      </c>
      <c r="C124">
        <v>0.12290000000000288</v>
      </c>
      <c r="E124">
        <v>43.256174000000001</v>
      </c>
      <c r="F124">
        <v>0.10510000000000237</v>
      </c>
      <c r="H124">
        <v>40.625788</v>
      </c>
      <c r="I124">
        <v>0.10800000000000246</v>
      </c>
      <c r="T124">
        <v>0.12290000000000288</v>
      </c>
      <c r="U124">
        <v>0.10510000000000237</v>
      </c>
      <c r="V124">
        <v>0.10800000000000246</v>
      </c>
    </row>
    <row r="125" spans="1:22" x14ac:dyDescent="0.55000000000000004">
      <c r="A125" t="s">
        <v>126</v>
      </c>
      <c r="B125">
        <v>43.228679</v>
      </c>
      <c r="C125">
        <v>9.4000000000002054E-2</v>
      </c>
      <c r="E125">
        <v>56.354346</v>
      </c>
      <c r="F125">
        <v>9.6600000000002129E-2</v>
      </c>
      <c r="H125">
        <v>43.922182999999997</v>
      </c>
      <c r="I125">
        <v>0.10350000000000233</v>
      </c>
      <c r="T125">
        <v>9.4000000000002054E-2</v>
      </c>
      <c r="U125">
        <v>9.6600000000002129E-2</v>
      </c>
      <c r="V125">
        <v>0.10350000000000233</v>
      </c>
    </row>
    <row r="126" spans="1:22" x14ac:dyDescent="0.55000000000000004">
      <c r="A126" t="s">
        <v>127</v>
      </c>
      <c r="B126">
        <v>60.098872999999998</v>
      </c>
      <c r="C126">
        <v>7.9100000000001627E-2</v>
      </c>
      <c r="E126">
        <v>57.139176999999997</v>
      </c>
      <c r="F126">
        <v>0.10120000000000226</v>
      </c>
      <c r="H126">
        <v>42.88494</v>
      </c>
      <c r="I126">
        <v>0.11760000000000273</v>
      </c>
      <c r="T126">
        <v>7.9100000000001627E-2</v>
      </c>
      <c r="U126">
        <v>0.10120000000000226</v>
      </c>
      <c r="V126">
        <v>0.11760000000000273</v>
      </c>
    </row>
    <row r="127" spans="1:22" x14ac:dyDescent="0.55000000000000004">
      <c r="A127" t="s">
        <v>128</v>
      </c>
      <c r="B127">
        <v>44.430098999999998</v>
      </c>
      <c r="C127">
        <v>7.9100000000001627E-2</v>
      </c>
      <c r="E127">
        <v>59.129379</v>
      </c>
      <c r="F127">
        <v>0.12700000000000272</v>
      </c>
      <c r="H127">
        <v>48.550406000000002</v>
      </c>
      <c r="I127">
        <v>0.1235000000000029</v>
      </c>
      <c r="T127">
        <v>7.9100000000001627E-2</v>
      </c>
      <c r="U127">
        <v>0.12700000000000272</v>
      </c>
      <c r="V127">
        <v>0.1235000000000029</v>
      </c>
    </row>
    <row r="128" spans="1:22" x14ac:dyDescent="0.55000000000000004">
      <c r="A128" t="s">
        <v>129</v>
      </c>
      <c r="B128">
        <v>36.332487</v>
      </c>
      <c r="C128">
        <v>7.640000000000155E-2</v>
      </c>
      <c r="E128">
        <v>56.498432000000001</v>
      </c>
      <c r="F128">
        <v>0.11010000000000252</v>
      </c>
      <c r="H128">
        <v>41.831843999999997</v>
      </c>
      <c r="I128">
        <v>0.10150000000000227</v>
      </c>
      <c r="T128">
        <v>7.640000000000155E-2</v>
      </c>
      <c r="U128">
        <v>0.11010000000000252</v>
      </c>
      <c r="V128">
        <v>0.10150000000000227</v>
      </c>
    </row>
    <row r="129" spans="1:22" x14ac:dyDescent="0.55000000000000004">
      <c r="A129" t="s">
        <v>130</v>
      </c>
      <c r="B129">
        <v>39.180346</v>
      </c>
      <c r="C129">
        <v>9.8300000000002177E-2</v>
      </c>
      <c r="E129">
        <v>65.717008000000007</v>
      </c>
      <c r="F129">
        <v>0.12820000000000259</v>
      </c>
      <c r="H129">
        <v>38.625456999999997</v>
      </c>
      <c r="I129">
        <v>0.1317000000000022</v>
      </c>
      <c r="T129">
        <v>9.8300000000002177E-2</v>
      </c>
      <c r="U129">
        <v>0.12820000000000259</v>
      </c>
      <c r="V129">
        <v>0.1317000000000022</v>
      </c>
    </row>
    <row r="130" spans="1:22" x14ac:dyDescent="0.55000000000000004">
      <c r="A130" t="s">
        <v>131</v>
      </c>
      <c r="B130">
        <v>42.539641000000003</v>
      </c>
      <c r="C130">
        <v>7.5600000000001527E-2</v>
      </c>
      <c r="E130">
        <v>56.642169000000003</v>
      </c>
      <c r="F130">
        <v>0.10790000000000245</v>
      </c>
      <c r="H130">
        <v>45.889955</v>
      </c>
      <c r="I130">
        <v>9.9200000000002203E-2</v>
      </c>
      <c r="T130">
        <v>7.5600000000001527E-2</v>
      </c>
      <c r="U130">
        <v>0.10790000000000245</v>
      </c>
      <c r="V130">
        <v>9.9200000000002203E-2</v>
      </c>
    </row>
    <row r="131" spans="1:22" x14ac:dyDescent="0.55000000000000004">
      <c r="A131" t="s">
        <v>132</v>
      </c>
      <c r="B131">
        <v>41.686098999999999</v>
      </c>
      <c r="C131">
        <v>7.4400000000001493E-2</v>
      </c>
      <c r="E131">
        <v>43.058025000000001</v>
      </c>
      <c r="F131">
        <v>8.8000000000001882E-2</v>
      </c>
      <c r="H131">
        <v>35.963169000000001</v>
      </c>
      <c r="I131">
        <v>9.0500000000001954E-2</v>
      </c>
      <c r="T131">
        <v>7.4400000000001493E-2</v>
      </c>
      <c r="U131">
        <v>8.8000000000001882E-2</v>
      </c>
      <c r="V131">
        <v>9.0500000000001954E-2</v>
      </c>
    </row>
    <row r="132" spans="1:22" x14ac:dyDescent="0.55000000000000004">
      <c r="A132" t="s">
        <v>133</v>
      </c>
      <c r="B132">
        <v>38.266717999999997</v>
      </c>
      <c r="C132">
        <v>7.4900000000001507E-2</v>
      </c>
      <c r="E132">
        <v>66.357039</v>
      </c>
      <c r="F132">
        <v>0.11820000000000275</v>
      </c>
      <c r="H132">
        <v>54.547466999999997</v>
      </c>
      <c r="I132">
        <v>0.12110000000000283</v>
      </c>
      <c r="T132">
        <v>7.4900000000001507E-2</v>
      </c>
      <c r="U132">
        <v>0.11820000000000275</v>
      </c>
      <c r="V132">
        <v>0.12110000000000283</v>
      </c>
    </row>
    <row r="133" spans="1:22" x14ac:dyDescent="0.55000000000000004">
      <c r="A133" t="s">
        <v>134</v>
      </c>
      <c r="B133">
        <v>43.844389</v>
      </c>
      <c r="C133">
        <v>7.6700000000001559E-2</v>
      </c>
      <c r="E133">
        <v>54.047139000000001</v>
      </c>
      <c r="F133">
        <v>0.1060000000000024</v>
      </c>
      <c r="H133">
        <v>43.927526</v>
      </c>
      <c r="I133">
        <v>0.10040000000000224</v>
      </c>
      <c r="T133">
        <v>7.6700000000001559E-2</v>
      </c>
      <c r="U133">
        <v>0.1060000000000024</v>
      </c>
      <c r="V133">
        <v>0.10040000000000224</v>
      </c>
    </row>
    <row r="134" spans="1:22" x14ac:dyDescent="0.55000000000000004">
      <c r="A134" t="s">
        <v>135</v>
      </c>
      <c r="B134">
        <v>49.626201000000002</v>
      </c>
      <c r="C134">
        <v>7.6300000000001547E-2</v>
      </c>
      <c r="E134">
        <v>56.352386000000003</v>
      </c>
      <c r="F134">
        <v>0.11110000000000254</v>
      </c>
      <c r="H134">
        <v>47.827885000000002</v>
      </c>
      <c r="I134">
        <v>0.11080000000000254</v>
      </c>
      <c r="T134">
        <v>7.6300000000001547E-2</v>
      </c>
      <c r="U134">
        <v>0.11110000000000254</v>
      </c>
      <c r="V134">
        <v>0.11080000000000254</v>
      </c>
    </row>
    <row r="135" spans="1:22" x14ac:dyDescent="0.55000000000000004">
      <c r="A135" t="s">
        <v>136</v>
      </c>
      <c r="B135">
        <v>49.456691999999997</v>
      </c>
      <c r="C135">
        <v>7.1100000000001398E-2</v>
      </c>
      <c r="E135">
        <v>108.986136</v>
      </c>
      <c r="F135">
        <v>0.11550000000000267</v>
      </c>
      <c r="H135">
        <v>55.653149999999997</v>
      </c>
      <c r="I135">
        <v>0.11230000000000258</v>
      </c>
      <c r="T135">
        <v>7.1100000000001398E-2</v>
      </c>
      <c r="U135">
        <v>0.11550000000000267</v>
      </c>
      <c r="V135">
        <v>0.11230000000000258</v>
      </c>
    </row>
    <row r="136" spans="1:22" x14ac:dyDescent="0.55000000000000004">
      <c r="A136" t="s">
        <v>137</v>
      </c>
      <c r="B136">
        <v>40.824522000000002</v>
      </c>
      <c r="C136">
        <v>8.0500000000001667E-2</v>
      </c>
      <c r="E136">
        <v>91.740812000000005</v>
      </c>
      <c r="F136">
        <v>0.1095000000000025</v>
      </c>
      <c r="H136">
        <v>53.306626000000001</v>
      </c>
      <c r="I136">
        <v>0.10780000000000245</v>
      </c>
      <c r="T136">
        <v>8.0500000000001667E-2</v>
      </c>
      <c r="U136">
        <v>0.1095000000000025</v>
      </c>
      <c r="V136">
        <v>0.10780000000000245</v>
      </c>
    </row>
    <row r="137" spans="1:22" x14ac:dyDescent="0.55000000000000004">
      <c r="A137" t="s">
        <v>138</v>
      </c>
      <c r="B137">
        <v>39.471046000000001</v>
      </c>
      <c r="C137">
        <v>6.9300000000001347E-2</v>
      </c>
      <c r="E137">
        <v>124.30309200000001</v>
      </c>
      <c r="F137">
        <v>0.10180000000000228</v>
      </c>
      <c r="H137">
        <v>58.126106999999998</v>
      </c>
      <c r="I137">
        <v>0.11140000000000255</v>
      </c>
      <c r="T137">
        <v>6.9300000000001347E-2</v>
      </c>
      <c r="U137">
        <v>0.10180000000000228</v>
      </c>
      <c r="V137">
        <v>0.11140000000000255</v>
      </c>
    </row>
    <row r="138" spans="1:22" x14ac:dyDescent="0.55000000000000004">
      <c r="A138" t="s">
        <v>139</v>
      </c>
      <c r="B138">
        <v>35.433393000000002</v>
      </c>
      <c r="C138">
        <v>8.060000000000167E-2</v>
      </c>
      <c r="E138">
        <v>55.655042000000002</v>
      </c>
      <c r="F138">
        <v>9.420000000000206E-2</v>
      </c>
      <c r="H138">
        <v>49.794789999999999</v>
      </c>
      <c r="I138">
        <v>0.10830000000000246</v>
      </c>
      <c r="T138">
        <v>8.060000000000167E-2</v>
      </c>
      <c r="U138">
        <v>9.420000000000206E-2</v>
      </c>
      <c r="V138">
        <v>0.10830000000000246</v>
      </c>
    </row>
    <row r="139" spans="1:22" x14ac:dyDescent="0.55000000000000004">
      <c r="A139" t="s">
        <v>140</v>
      </c>
      <c r="B139">
        <v>43.761474999999997</v>
      </c>
      <c r="C139">
        <v>8.9900000000001937E-2</v>
      </c>
      <c r="E139">
        <v>96.515834999999996</v>
      </c>
      <c r="F139">
        <v>0.11580000000000268</v>
      </c>
      <c r="H139">
        <v>49.229016000000001</v>
      </c>
      <c r="I139">
        <v>0.11790000000000274</v>
      </c>
      <c r="T139">
        <v>8.9900000000001937E-2</v>
      </c>
      <c r="U139">
        <v>0.11580000000000268</v>
      </c>
      <c r="V139">
        <v>0.11790000000000274</v>
      </c>
    </row>
    <row r="140" spans="1:22" x14ac:dyDescent="0.55000000000000004">
      <c r="A140" t="s">
        <v>141</v>
      </c>
      <c r="B140">
        <v>38.029947</v>
      </c>
      <c r="C140">
        <v>7.7200000000001573E-2</v>
      </c>
      <c r="E140">
        <v>71.823699000000005</v>
      </c>
      <c r="F140">
        <v>0.11680000000000271</v>
      </c>
      <c r="H140">
        <v>48.419030999999997</v>
      </c>
      <c r="I140">
        <v>0.11110000000000254</v>
      </c>
      <c r="T140">
        <v>7.7200000000001573E-2</v>
      </c>
      <c r="U140">
        <v>0.11680000000000271</v>
      </c>
      <c r="V140">
        <v>0.11110000000000254</v>
      </c>
    </row>
    <row r="141" spans="1:22" x14ac:dyDescent="0.55000000000000004">
      <c r="A141" t="s">
        <v>142</v>
      </c>
      <c r="B141">
        <v>43.919885999999998</v>
      </c>
      <c r="C141">
        <v>7.4500000000001496E-2</v>
      </c>
      <c r="E141">
        <v>69.812631999999994</v>
      </c>
      <c r="F141">
        <v>0.10910000000000249</v>
      </c>
      <c r="H141">
        <v>47.017443999999998</v>
      </c>
      <c r="I141">
        <v>9.2700000000002017E-2</v>
      </c>
      <c r="T141">
        <v>7.4500000000001496E-2</v>
      </c>
      <c r="U141">
        <v>0.10910000000000249</v>
      </c>
      <c r="V141">
        <v>9.2700000000002017E-2</v>
      </c>
    </row>
    <row r="142" spans="1:22" x14ac:dyDescent="0.55000000000000004">
      <c r="A142" t="s">
        <v>143</v>
      </c>
      <c r="B142">
        <v>34.480981</v>
      </c>
      <c r="C142">
        <v>7.2100000000001427E-2</v>
      </c>
      <c r="E142">
        <v>80.860547999999994</v>
      </c>
      <c r="F142">
        <v>0.12080000000000282</v>
      </c>
      <c r="H142">
        <v>46.436742000000002</v>
      </c>
      <c r="I142">
        <v>0.12440000000000292</v>
      </c>
      <c r="T142">
        <v>7.2100000000001427E-2</v>
      </c>
      <c r="U142">
        <v>0.12080000000000282</v>
      </c>
      <c r="V142">
        <v>0.12440000000000292</v>
      </c>
    </row>
    <row r="143" spans="1:22" x14ac:dyDescent="0.55000000000000004">
      <c r="A143" t="s">
        <v>144</v>
      </c>
      <c r="B143">
        <v>44.450902999999997</v>
      </c>
      <c r="C143">
        <v>7.9800000000001647E-2</v>
      </c>
      <c r="E143">
        <v>73.139872999999994</v>
      </c>
      <c r="F143">
        <v>0.2097999999999936</v>
      </c>
      <c r="H143">
        <v>49.407418999999997</v>
      </c>
      <c r="I143">
        <v>0.12790000000000262</v>
      </c>
      <c r="T143">
        <v>7.9800000000001647E-2</v>
      </c>
      <c r="U143">
        <v>0.2097999999999936</v>
      </c>
      <c r="V143">
        <v>0.12790000000000262</v>
      </c>
    </row>
    <row r="144" spans="1:22" x14ac:dyDescent="0.55000000000000004">
      <c r="A144" t="s">
        <v>145</v>
      </c>
      <c r="B144">
        <v>42.678649</v>
      </c>
      <c r="C144">
        <v>7.3000000000001453E-2</v>
      </c>
      <c r="E144">
        <v>54.659689</v>
      </c>
      <c r="F144">
        <v>0.12620000000000281</v>
      </c>
      <c r="H144">
        <v>37.424115999999998</v>
      </c>
      <c r="I144">
        <v>0.10290000000000231</v>
      </c>
      <c r="T144">
        <v>7.3000000000001453E-2</v>
      </c>
      <c r="U144">
        <v>0.12620000000000281</v>
      </c>
      <c r="V144">
        <v>0.10290000000000231</v>
      </c>
    </row>
    <row r="145" spans="1:22" x14ac:dyDescent="0.55000000000000004">
      <c r="A145" t="s">
        <v>146</v>
      </c>
      <c r="B145">
        <v>65.586371</v>
      </c>
      <c r="C145">
        <v>0.11840000000000275</v>
      </c>
      <c r="E145">
        <v>58.504196999999998</v>
      </c>
      <c r="F145">
        <v>0.11430000000000264</v>
      </c>
      <c r="H145">
        <v>40.133574000000003</v>
      </c>
      <c r="I145">
        <v>0.10800000000000246</v>
      </c>
      <c r="T145">
        <v>0.11840000000000275</v>
      </c>
      <c r="U145">
        <v>0.11430000000000264</v>
      </c>
      <c r="V145">
        <v>0.10800000000000246</v>
      </c>
    </row>
    <row r="146" spans="1:22" x14ac:dyDescent="0.55000000000000004">
      <c r="A146" t="s">
        <v>147</v>
      </c>
      <c r="B146">
        <v>38.133085000000001</v>
      </c>
      <c r="C146">
        <v>7.3100000000001455E-2</v>
      </c>
      <c r="E146">
        <v>58.017735999999999</v>
      </c>
      <c r="F146">
        <v>0.11350000000000261</v>
      </c>
      <c r="H146">
        <v>58.496721000000001</v>
      </c>
      <c r="I146">
        <v>0.10240000000000229</v>
      </c>
      <c r="T146">
        <v>7.3100000000001455E-2</v>
      </c>
      <c r="U146">
        <v>0.11350000000000261</v>
      </c>
      <c r="V146">
        <v>0.10240000000000229</v>
      </c>
    </row>
    <row r="147" spans="1:22" x14ac:dyDescent="0.55000000000000004">
      <c r="A147" t="s">
        <v>148</v>
      </c>
      <c r="B147">
        <v>37.554716999999997</v>
      </c>
      <c r="C147">
        <v>8.7300000000001862E-2</v>
      </c>
      <c r="E147">
        <v>32.480316999999999</v>
      </c>
      <c r="F147">
        <v>0.1254000000000029</v>
      </c>
      <c r="H147">
        <v>38.335208999999999</v>
      </c>
      <c r="I147">
        <v>9.9300000000002206E-2</v>
      </c>
      <c r="T147">
        <v>8.7300000000001862E-2</v>
      </c>
      <c r="U147">
        <v>0.1254000000000029</v>
      </c>
      <c r="V147">
        <v>9.9300000000002206E-2</v>
      </c>
    </row>
    <row r="148" spans="1:22" x14ac:dyDescent="0.55000000000000004">
      <c r="A148" t="s">
        <v>149</v>
      </c>
      <c r="B148">
        <v>35.359814</v>
      </c>
      <c r="C148">
        <v>6.4200000000001201E-2</v>
      </c>
      <c r="E148">
        <v>51.527259999999998</v>
      </c>
      <c r="F148">
        <v>0.11190000000000257</v>
      </c>
      <c r="H148">
        <v>40.038288999999999</v>
      </c>
      <c r="I148">
        <v>0.11120000000000255</v>
      </c>
      <c r="T148">
        <v>6.4200000000001201E-2</v>
      </c>
      <c r="U148">
        <v>0.11190000000000257</v>
      </c>
      <c r="V148">
        <v>0.11120000000000255</v>
      </c>
    </row>
    <row r="149" spans="1:22" x14ac:dyDescent="0.55000000000000004">
      <c r="A149" t="s">
        <v>150</v>
      </c>
      <c r="B149">
        <v>39.253399000000002</v>
      </c>
      <c r="C149">
        <v>8.0700000000001673E-2</v>
      </c>
      <c r="E149">
        <v>57.309472999999997</v>
      </c>
      <c r="F149">
        <v>0.13180000000000219</v>
      </c>
      <c r="H149">
        <v>37.767508999999997</v>
      </c>
      <c r="I149">
        <v>0.10020000000000223</v>
      </c>
      <c r="T149">
        <v>8.0700000000001673E-2</v>
      </c>
      <c r="U149">
        <v>0.13180000000000219</v>
      </c>
      <c r="V149">
        <v>0.10020000000000223</v>
      </c>
    </row>
    <row r="150" spans="1:22" x14ac:dyDescent="0.55000000000000004">
      <c r="A150" t="s">
        <v>151</v>
      </c>
      <c r="B150">
        <v>40.878846000000003</v>
      </c>
      <c r="C150">
        <v>7.4700000000001501E-2</v>
      </c>
      <c r="E150">
        <v>72.032737999999995</v>
      </c>
      <c r="F150">
        <v>0.10510000000000237</v>
      </c>
      <c r="H150">
        <v>58.790869000000001</v>
      </c>
      <c r="I150">
        <v>0.10920000000000249</v>
      </c>
      <c r="T150">
        <v>7.4700000000001501E-2</v>
      </c>
      <c r="U150">
        <v>0.10510000000000237</v>
      </c>
      <c r="V150">
        <v>0.10920000000000249</v>
      </c>
    </row>
    <row r="151" spans="1:22" x14ac:dyDescent="0.55000000000000004">
      <c r="A151" t="s">
        <v>152</v>
      </c>
      <c r="B151">
        <v>36.584014000000003</v>
      </c>
      <c r="C151">
        <v>7.5600000000001527E-2</v>
      </c>
      <c r="E151">
        <v>46.128404000000003</v>
      </c>
      <c r="F151">
        <v>9.1100000000001971E-2</v>
      </c>
      <c r="H151">
        <v>41.043925999999999</v>
      </c>
      <c r="I151">
        <v>9.0800000000001962E-2</v>
      </c>
      <c r="T151">
        <v>7.5600000000001527E-2</v>
      </c>
      <c r="U151">
        <v>9.1100000000001971E-2</v>
      </c>
      <c r="V151">
        <v>9.0800000000001962E-2</v>
      </c>
    </row>
    <row r="152" spans="1:22" x14ac:dyDescent="0.55000000000000004">
      <c r="A152" t="s">
        <v>153</v>
      </c>
      <c r="B152">
        <v>36.284649999999999</v>
      </c>
      <c r="C152">
        <v>7.5400000000001521E-2</v>
      </c>
      <c r="E152">
        <v>91.923623000000006</v>
      </c>
      <c r="F152">
        <v>0.1202000000000028</v>
      </c>
      <c r="H152">
        <v>40.095041999999999</v>
      </c>
      <c r="I152">
        <v>0.1129000000000026</v>
      </c>
      <c r="T152">
        <v>7.5400000000001521E-2</v>
      </c>
      <c r="U152">
        <v>0.1202000000000028</v>
      </c>
      <c r="V152">
        <v>0.1129000000000026</v>
      </c>
    </row>
    <row r="153" spans="1:22" x14ac:dyDescent="0.55000000000000004">
      <c r="A153" t="s">
        <v>154</v>
      </c>
      <c r="B153">
        <v>39.062288000000002</v>
      </c>
      <c r="C153">
        <v>7.3300000000001461E-2</v>
      </c>
      <c r="E153">
        <v>64.516766000000004</v>
      </c>
      <c r="F153">
        <v>0.12130000000000284</v>
      </c>
      <c r="H153">
        <v>45.127515000000002</v>
      </c>
      <c r="I153">
        <v>0.11430000000000264</v>
      </c>
      <c r="T153">
        <v>7.3300000000001461E-2</v>
      </c>
      <c r="U153">
        <v>0.12130000000000284</v>
      </c>
      <c r="V153">
        <v>0.11430000000000264</v>
      </c>
    </row>
    <row r="154" spans="1:22" x14ac:dyDescent="0.55000000000000004">
      <c r="A154" t="s">
        <v>155</v>
      </c>
      <c r="B154">
        <v>37.021152999999998</v>
      </c>
      <c r="C154">
        <v>9.3600000000002043E-2</v>
      </c>
      <c r="E154">
        <v>42.966836000000001</v>
      </c>
      <c r="F154">
        <v>0.12410000000000292</v>
      </c>
      <c r="H154">
        <v>37.587572999999999</v>
      </c>
      <c r="I154">
        <v>0.11090000000000254</v>
      </c>
      <c r="T154">
        <v>9.3600000000002043E-2</v>
      </c>
      <c r="U154">
        <v>0.12410000000000292</v>
      </c>
      <c r="V154">
        <v>0.11090000000000254</v>
      </c>
    </row>
    <row r="155" spans="1:22" x14ac:dyDescent="0.55000000000000004">
      <c r="A155" t="s">
        <v>156</v>
      </c>
      <c r="B155">
        <v>49.410839000000003</v>
      </c>
      <c r="C155">
        <v>0.11880000000000276</v>
      </c>
      <c r="E155">
        <v>83.131918999999996</v>
      </c>
      <c r="F155">
        <v>0.10740000000000244</v>
      </c>
      <c r="H155">
        <v>44.626151999999998</v>
      </c>
      <c r="I155">
        <v>0.11270000000000259</v>
      </c>
      <c r="T155">
        <v>0.11880000000000276</v>
      </c>
      <c r="U155">
        <v>0.10740000000000244</v>
      </c>
      <c r="V155">
        <v>0.11270000000000259</v>
      </c>
    </row>
    <row r="156" spans="1:22" x14ac:dyDescent="0.55000000000000004">
      <c r="A156" t="s">
        <v>157</v>
      </c>
      <c r="B156">
        <v>39.205758000000003</v>
      </c>
      <c r="C156">
        <v>7.3200000000001458E-2</v>
      </c>
      <c r="E156">
        <v>55.420555999999998</v>
      </c>
      <c r="F156">
        <v>0.20289999999999436</v>
      </c>
      <c r="H156">
        <v>47.814003999999997</v>
      </c>
      <c r="I156">
        <v>9.9400000000002209E-2</v>
      </c>
      <c r="T156">
        <v>7.3200000000001458E-2</v>
      </c>
      <c r="U156">
        <v>0.20289999999999436</v>
      </c>
      <c r="V156">
        <v>9.9400000000002209E-2</v>
      </c>
    </row>
    <row r="157" spans="1:22" x14ac:dyDescent="0.55000000000000004">
      <c r="A157" t="s">
        <v>158</v>
      </c>
      <c r="B157">
        <v>46.429855000000003</v>
      </c>
      <c r="C157">
        <v>9.8600000000002186E-2</v>
      </c>
      <c r="E157">
        <v>67.084192999999999</v>
      </c>
      <c r="F157">
        <v>0.10090000000000225</v>
      </c>
      <c r="H157">
        <v>47.382331000000001</v>
      </c>
      <c r="I157">
        <v>0.10160000000000227</v>
      </c>
      <c r="T157">
        <v>9.8600000000002186E-2</v>
      </c>
      <c r="U157">
        <v>0.10090000000000225</v>
      </c>
      <c r="V157">
        <v>0.10160000000000227</v>
      </c>
    </row>
    <row r="158" spans="1:22" x14ac:dyDescent="0.55000000000000004">
      <c r="A158" t="s">
        <v>159</v>
      </c>
      <c r="B158">
        <v>47.307763000000001</v>
      </c>
      <c r="C158">
        <v>8.4400000000001779E-2</v>
      </c>
      <c r="E158">
        <v>60.623249000000001</v>
      </c>
      <c r="F158">
        <v>0.11890000000000277</v>
      </c>
      <c r="H158">
        <v>41.697170999999997</v>
      </c>
      <c r="I158">
        <v>9.5000000000002083E-2</v>
      </c>
      <c r="T158">
        <v>8.4400000000001779E-2</v>
      </c>
      <c r="U158">
        <v>0.11890000000000277</v>
      </c>
      <c r="V158">
        <v>9.5000000000002083E-2</v>
      </c>
    </row>
    <row r="159" spans="1:22" x14ac:dyDescent="0.55000000000000004">
      <c r="A159" t="s">
        <v>160</v>
      </c>
      <c r="B159">
        <v>39.215088000000002</v>
      </c>
      <c r="C159">
        <v>6.9800000000001361E-2</v>
      </c>
      <c r="E159">
        <v>66.813247000000004</v>
      </c>
      <c r="F159">
        <v>0.10300000000000231</v>
      </c>
      <c r="H159">
        <v>48.500225999999998</v>
      </c>
      <c r="I159">
        <v>9.9000000000002197E-2</v>
      </c>
      <c r="T159">
        <v>6.9800000000001361E-2</v>
      </c>
      <c r="U159">
        <v>0.10300000000000231</v>
      </c>
      <c r="V159">
        <v>9.9000000000002197E-2</v>
      </c>
    </row>
    <row r="160" spans="1:22" x14ac:dyDescent="0.55000000000000004">
      <c r="A160" t="s">
        <v>161</v>
      </c>
      <c r="B160">
        <v>45.990997999999998</v>
      </c>
      <c r="C160">
        <v>4.6300000000000695E-2</v>
      </c>
      <c r="E160">
        <v>53.449601000000001</v>
      </c>
      <c r="F160">
        <v>9.9200000000002203E-2</v>
      </c>
      <c r="H160">
        <v>40.957019000000003</v>
      </c>
      <c r="I160">
        <v>0.11090000000000254</v>
      </c>
      <c r="T160">
        <v>4.6300000000000695E-2</v>
      </c>
      <c r="U160">
        <v>9.9200000000002203E-2</v>
      </c>
      <c r="V160">
        <v>0.11090000000000254</v>
      </c>
    </row>
    <row r="161" spans="1:22" x14ac:dyDescent="0.55000000000000004">
      <c r="A161" t="s">
        <v>162</v>
      </c>
      <c r="B161">
        <v>40.890487</v>
      </c>
      <c r="C161">
        <v>7.6200000000001544E-2</v>
      </c>
      <c r="E161">
        <v>67.033018999999996</v>
      </c>
      <c r="F161">
        <v>0.1129000000000026</v>
      </c>
      <c r="H161">
        <v>68.030450999999999</v>
      </c>
      <c r="I161">
        <v>0.10120000000000226</v>
      </c>
      <c r="T161">
        <v>7.6200000000001544E-2</v>
      </c>
      <c r="U161">
        <v>0.1129000000000026</v>
      </c>
      <c r="V161">
        <v>0.10120000000000226</v>
      </c>
    </row>
    <row r="162" spans="1:22" x14ac:dyDescent="0.55000000000000004">
      <c r="A162" t="s">
        <v>163</v>
      </c>
      <c r="B162">
        <v>38.34478</v>
      </c>
      <c r="C162">
        <v>7.1600000000002842E-2</v>
      </c>
      <c r="E162">
        <v>72.638722000000001</v>
      </c>
      <c r="F162">
        <v>0.10730000000000386</v>
      </c>
      <c r="H162">
        <v>48.055309999999999</v>
      </c>
      <c r="I162">
        <v>0.11520000000000409</v>
      </c>
      <c r="T162">
        <v>7.1600000000002842E-2</v>
      </c>
      <c r="U162">
        <v>0.10730000000000386</v>
      </c>
      <c r="V162">
        <v>0.11520000000000409</v>
      </c>
    </row>
    <row r="163" spans="1:22" x14ac:dyDescent="0.55000000000000004">
      <c r="A163" t="s">
        <v>164</v>
      </c>
      <c r="B163">
        <v>25.645810999999998</v>
      </c>
      <c r="C163">
        <v>4.7500000000000327E-2</v>
      </c>
      <c r="E163">
        <v>45.112786</v>
      </c>
      <c r="F163">
        <v>9.7700000000001758E-2</v>
      </c>
      <c r="H163">
        <v>40.358507000000003</v>
      </c>
      <c r="I163">
        <v>9.0300000000001546E-2</v>
      </c>
      <c r="T163">
        <v>4.7500000000000327E-2</v>
      </c>
      <c r="U163">
        <v>9.7700000000001758E-2</v>
      </c>
      <c r="V163">
        <v>9.0300000000001546E-2</v>
      </c>
    </row>
    <row r="164" spans="1:22" x14ac:dyDescent="0.55000000000000004">
      <c r="A164" t="s">
        <v>165</v>
      </c>
      <c r="B164">
        <v>39.684595999999999</v>
      </c>
      <c r="C164">
        <v>9.5700000000003532E-2</v>
      </c>
      <c r="E164">
        <v>54.375739000000003</v>
      </c>
      <c r="F164">
        <v>0.10570000000000382</v>
      </c>
      <c r="H164">
        <v>44.834395999999998</v>
      </c>
      <c r="I164">
        <v>0.11740000000000415</v>
      </c>
      <c r="T164">
        <v>9.5700000000003532E-2</v>
      </c>
      <c r="U164">
        <v>0.10570000000000382</v>
      </c>
      <c r="V164">
        <v>0.11740000000000415</v>
      </c>
    </row>
    <row r="165" spans="1:22" x14ac:dyDescent="0.55000000000000004">
      <c r="A165" t="s">
        <v>166</v>
      </c>
      <c r="B165">
        <v>35.154612</v>
      </c>
      <c r="C165">
        <v>7.5000000000001107E-2</v>
      </c>
      <c r="E165">
        <v>85.640399000000002</v>
      </c>
      <c r="F165">
        <v>0.11860000000000236</v>
      </c>
      <c r="H165">
        <v>65.693515000000005</v>
      </c>
      <c r="I165">
        <v>0.11530000000000226</v>
      </c>
      <c r="T165">
        <v>7.5000000000001107E-2</v>
      </c>
      <c r="U165">
        <v>0.11860000000000236</v>
      </c>
      <c r="V165">
        <v>0.11530000000000226</v>
      </c>
    </row>
    <row r="166" spans="1:22" x14ac:dyDescent="0.55000000000000004">
      <c r="A166" t="s">
        <v>167</v>
      </c>
      <c r="B166">
        <v>54.894964000000002</v>
      </c>
      <c r="C166">
        <v>9.010000000000154E-2</v>
      </c>
      <c r="E166">
        <v>51.784357999999997</v>
      </c>
      <c r="F166">
        <v>0.11240000000000218</v>
      </c>
      <c r="H166">
        <v>44.962257999999999</v>
      </c>
      <c r="I166">
        <v>0.10310000000000191</v>
      </c>
      <c r="T166">
        <v>9.010000000000154E-2</v>
      </c>
      <c r="U166">
        <v>0.11240000000000218</v>
      </c>
      <c r="V166">
        <v>0.10310000000000191</v>
      </c>
    </row>
    <row r="167" spans="1:22" x14ac:dyDescent="0.55000000000000004">
      <c r="A167" t="s">
        <v>168</v>
      </c>
      <c r="B167">
        <v>48.756852000000002</v>
      </c>
      <c r="C167">
        <v>9.6100000000003544E-2</v>
      </c>
      <c r="E167">
        <v>65.342969999999994</v>
      </c>
      <c r="F167">
        <v>0.10360000000000376</v>
      </c>
      <c r="H167">
        <v>42.838056999999999</v>
      </c>
      <c r="I167">
        <v>0.10290000000000374</v>
      </c>
      <c r="T167">
        <v>9.6100000000003544E-2</v>
      </c>
      <c r="U167">
        <v>0.10360000000000376</v>
      </c>
      <c r="V167">
        <v>0.10290000000000374</v>
      </c>
    </row>
    <row r="168" spans="1:22" x14ac:dyDescent="0.55000000000000004">
      <c r="A168" t="s">
        <v>169</v>
      </c>
      <c r="B168">
        <v>38.969271999999997</v>
      </c>
      <c r="C168">
        <v>7.5300000000002948E-2</v>
      </c>
      <c r="E168">
        <v>65.733079000000004</v>
      </c>
      <c r="F168">
        <v>0.11500000000000409</v>
      </c>
      <c r="H168">
        <v>51.053091999999999</v>
      </c>
      <c r="I168">
        <v>0.11690000000000414</v>
      </c>
      <c r="T168">
        <v>7.5300000000002948E-2</v>
      </c>
      <c r="U168">
        <v>0.11500000000000409</v>
      </c>
      <c r="V168">
        <v>0.11690000000000414</v>
      </c>
    </row>
    <row r="169" spans="1:22" x14ac:dyDescent="0.55000000000000004">
      <c r="A169" t="s">
        <v>170</v>
      </c>
      <c r="B169">
        <v>37.730713000000002</v>
      </c>
      <c r="C169">
        <v>8.900000000000334E-2</v>
      </c>
      <c r="E169">
        <v>98.308440000000004</v>
      </c>
      <c r="F169">
        <v>0.12950000000000386</v>
      </c>
      <c r="H169">
        <v>58.365901999999998</v>
      </c>
      <c r="I169">
        <v>0.12280000000000431</v>
      </c>
      <c r="T169">
        <v>8.900000000000334E-2</v>
      </c>
      <c r="U169">
        <v>0.12950000000000386</v>
      </c>
      <c r="V169">
        <v>0.12280000000000431</v>
      </c>
    </row>
    <row r="170" spans="1:22" x14ac:dyDescent="0.55000000000000004">
      <c r="A170" t="s">
        <v>171</v>
      </c>
      <c r="B170">
        <v>46.328496000000001</v>
      </c>
      <c r="C170">
        <v>8.270000000000316E-2</v>
      </c>
      <c r="E170">
        <v>43.056437000000003</v>
      </c>
      <c r="F170">
        <v>9.6300000000003549E-2</v>
      </c>
      <c r="H170">
        <v>40.097639000000001</v>
      </c>
      <c r="I170">
        <v>0.11880000000000419</v>
      </c>
      <c r="T170">
        <v>8.270000000000316E-2</v>
      </c>
      <c r="U170">
        <v>9.6300000000003549E-2</v>
      </c>
      <c r="V170">
        <v>0.11880000000000419</v>
      </c>
    </row>
    <row r="171" spans="1:22" x14ac:dyDescent="0.55000000000000004">
      <c r="A171" t="s">
        <v>172</v>
      </c>
      <c r="B171">
        <v>67.489715000000004</v>
      </c>
      <c r="C171">
        <v>7.1000000000002825E-2</v>
      </c>
      <c r="E171">
        <v>47.056395000000002</v>
      </c>
      <c r="F171">
        <v>0.11000000000000394</v>
      </c>
      <c r="H171">
        <v>52.962673000000002</v>
      </c>
      <c r="I171">
        <v>0.10040000000000367</v>
      </c>
      <c r="T171">
        <v>7.1000000000002825E-2</v>
      </c>
      <c r="U171">
        <v>0.11000000000000394</v>
      </c>
      <c r="V171">
        <v>0.10040000000000367</v>
      </c>
    </row>
    <row r="172" spans="1:22" x14ac:dyDescent="0.55000000000000004">
      <c r="A172" t="s">
        <v>173</v>
      </c>
      <c r="B172">
        <v>27.863616</v>
      </c>
      <c r="C172">
        <v>9.4900000000003509E-2</v>
      </c>
      <c r="E172">
        <v>44.943060000000003</v>
      </c>
      <c r="F172">
        <v>0.10210000000000372</v>
      </c>
      <c r="H172">
        <v>31.346941999999999</v>
      </c>
      <c r="I172">
        <v>9.1000000000003398E-2</v>
      </c>
      <c r="T172">
        <v>9.4900000000003509E-2</v>
      </c>
      <c r="U172">
        <v>0.10210000000000372</v>
      </c>
      <c r="V172">
        <v>9.1000000000003398E-2</v>
      </c>
    </row>
    <row r="173" spans="1:22" x14ac:dyDescent="0.55000000000000004">
      <c r="A173" t="s">
        <v>174</v>
      </c>
      <c r="B173">
        <v>36.041587999999997</v>
      </c>
      <c r="C173">
        <v>8.5800000000003249E-2</v>
      </c>
      <c r="E173">
        <v>53.899169000000001</v>
      </c>
      <c r="F173">
        <v>0.11770000000000416</v>
      </c>
      <c r="H173">
        <v>47.754998000000001</v>
      </c>
      <c r="I173">
        <v>0.1226000000000043</v>
      </c>
      <c r="T173">
        <v>8.5800000000003249E-2</v>
      </c>
      <c r="U173">
        <v>0.11770000000000416</v>
      </c>
      <c r="V173">
        <v>0.1226000000000043</v>
      </c>
    </row>
    <row r="174" spans="1:22" x14ac:dyDescent="0.55000000000000004">
      <c r="A174" t="s">
        <v>175</v>
      </c>
      <c r="B174">
        <v>37.434941000000002</v>
      </c>
      <c r="C174">
        <v>6.700000000000271E-2</v>
      </c>
      <c r="E174">
        <v>95.890521000000007</v>
      </c>
      <c r="F174">
        <v>0.10220000000000372</v>
      </c>
      <c r="H174">
        <v>44.809047</v>
      </c>
      <c r="I174">
        <v>7.5400000000002951E-2</v>
      </c>
      <c r="T174">
        <v>6.700000000000271E-2</v>
      </c>
      <c r="U174">
        <v>0.10220000000000372</v>
      </c>
      <c r="V174">
        <v>7.5400000000002951E-2</v>
      </c>
    </row>
    <row r="175" spans="1:22" x14ac:dyDescent="0.55000000000000004">
      <c r="A175" t="s">
        <v>176</v>
      </c>
      <c r="B175">
        <v>58.653197339999998</v>
      </c>
      <c r="C175">
        <v>9.8100000000002172E-2</v>
      </c>
      <c r="E175">
        <v>78.378943899999996</v>
      </c>
      <c r="F175">
        <v>0.1096000000000025</v>
      </c>
      <c r="H175">
        <v>50.391783169999997</v>
      </c>
      <c r="I175">
        <v>0.1167000000000027</v>
      </c>
      <c r="T175">
        <v>9.8100000000002172E-2</v>
      </c>
      <c r="U175">
        <v>0.1096000000000025</v>
      </c>
      <c r="V175">
        <v>0.1167000000000027</v>
      </c>
    </row>
    <row r="176" spans="1:22" x14ac:dyDescent="0.55000000000000004">
      <c r="A176" t="s">
        <v>177</v>
      </c>
      <c r="B176">
        <v>45.338842110000002</v>
      </c>
      <c r="C176">
        <v>7.430000000000149E-2</v>
      </c>
      <c r="E176">
        <v>70.092101029999995</v>
      </c>
      <c r="F176">
        <v>0.11050000000000253</v>
      </c>
      <c r="H176">
        <v>55.577466880000003</v>
      </c>
      <c r="I176">
        <v>0.11240000000000258</v>
      </c>
      <c r="T176">
        <v>7.430000000000149E-2</v>
      </c>
      <c r="U176">
        <v>0.11050000000000253</v>
      </c>
      <c r="V176">
        <v>0.11240000000000258</v>
      </c>
    </row>
    <row r="177" spans="1:22" x14ac:dyDescent="0.55000000000000004">
      <c r="A177" t="s">
        <v>178</v>
      </c>
      <c r="B177">
        <v>35.074154460000003</v>
      </c>
      <c r="C177">
        <v>0.10080000000000225</v>
      </c>
      <c r="E177">
        <v>49.492953159999999</v>
      </c>
      <c r="F177">
        <v>9.8800000000002192E-2</v>
      </c>
      <c r="H177">
        <v>37.578304430000003</v>
      </c>
      <c r="I177">
        <v>8.7300000000001862E-2</v>
      </c>
      <c r="T177">
        <v>0.10080000000000225</v>
      </c>
      <c r="U177">
        <v>9.8800000000002192E-2</v>
      </c>
      <c r="V177">
        <v>8.7300000000001862E-2</v>
      </c>
    </row>
    <row r="178" spans="1:22" x14ac:dyDescent="0.55000000000000004">
      <c r="A178" t="s">
        <v>179</v>
      </c>
      <c r="B178">
        <v>42.231462380000004</v>
      </c>
      <c r="C178">
        <v>8.5200000000001802E-2</v>
      </c>
      <c r="E178">
        <v>73.35726502</v>
      </c>
      <c r="F178">
        <v>0.12280000000000288</v>
      </c>
      <c r="H178">
        <v>45.01351657</v>
      </c>
      <c r="I178">
        <v>0.10200000000000228</v>
      </c>
      <c r="T178">
        <v>8.5200000000001802E-2</v>
      </c>
      <c r="U178">
        <v>0.12280000000000288</v>
      </c>
      <c r="V178">
        <v>0.10200000000000228</v>
      </c>
    </row>
    <row r="179" spans="1:22" x14ac:dyDescent="0.55000000000000004">
      <c r="A179" t="s">
        <v>180</v>
      </c>
      <c r="B179">
        <v>52.435774000000002</v>
      </c>
      <c r="C179">
        <v>7.4600000000001498E-2</v>
      </c>
      <c r="E179">
        <v>57.111508000000001</v>
      </c>
      <c r="F179">
        <v>0.13340000000000202</v>
      </c>
      <c r="H179">
        <v>43.621816000000003</v>
      </c>
      <c r="I179">
        <v>0.12120000000000283</v>
      </c>
      <c r="T179">
        <v>7.4600000000001498E-2</v>
      </c>
      <c r="U179">
        <v>0.13340000000000202</v>
      </c>
      <c r="V179">
        <v>0.12120000000000283</v>
      </c>
    </row>
    <row r="180" spans="1:22" x14ac:dyDescent="0.55000000000000004">
      <c r="A180" t="s">
        <v>181</v>
      </c>
      <c r="B180">
        <v>49.675948839999997</v>
      </c>
      <c r="C180">
        <v>8.1600000000001699E-2</v>
      </c>
      <c r="E180">
        <v>53.788380619999998</v>
      </c>
      <c r="F180">
        <v>9.7800000000002163E-2</v>
      </c>
      <c r="H180">
        <v>49.118879440000001</v>
      </c>
      <c r="I180">
        <v>0.10490000000000237</v>
      </c>
      <c r="T180">
        <v>8.1600000000001699E-2</v>
      </c>
      <c r="U180">
        <v>9.7800000000002163E-2</v>
      </c>
      <c r="V180">
        <v>0.10490000000000237</v>
      </c>
    </row>
    <row r="181" spans="1:22" x14ac:dyDescent="0.55000000000000004">
      <c r="A181" t="s">
        <v>182</v>
      </c>
      <c r="B181">
        <v>41.144531890000003</v>
      </c>
      <c r="C181">
        <v>8.3900000000003194E-2</v>
      </c>
      <c r="E181">
        <v>52.54300516</v>
      </c>
      <c r="F181">
        <v>9.2600000000003443E-2</v>
      </c>
      <c r="H181">
        <v>48.427502189999998</v>
      </c>
      <c r="I181">
        <v>0.10000000000000366</v>
      </c>
      <c r="T181">
        <v>8.3900000000003194E-2</v>
      </c>
      <c r="U181">
        <v>9.2600000000003443E-2</v>
      </c>
      <c r="V181">
        <v>0.10000000000000366</v>
      </c>
    </row>
    <row r="182" spans="1:22" x14ac:dyDescent="0.55000000000000004">
      <c r="A182" t="s">
        <v>183</v>
      </c>
      <c r="B182">
        <v>49.789591999999999</v>
      </c>
      <c r="C182">
        <v>7.220000000000143E-2</v>
      </c>
      <c r="E182">
        <v>52.76943</v>
      </c>
      <c r="F182">
        <v>0.29309999999998443</v>
      </c>
      <c r="H182">
        <v>40.043835999999999</v>
      </c>
      <c r="I182">
        <v>0.11400000000000263</v>
      </c>
      <c r="T182">
        <v>7.220000000000143E-2</v>
      </c>
      <c r="U182">
        <v>0.29309999999998443</v>
      </c>
      <c r="V182">
        <v>0.11400000000000263</v>
      </c>
    </row>
    <row r="183" spans="1:22" x14ac:dyDescent="0.55000000000000004">
      <c r="A183" t="s">
        <v>184</v>
      </c>
      <c r="B183">
        <v>40.779913999999998</v>
      </c>
      <c r="C183">
        <v>7.6000000000001539E-2</v>
      </c>
      <c r="E183">
        <v>116.513921</v>
      </c>
      <c r="F183">
        <v>0.1167000000000027</v>
      </c>
      <c r="H183">
        <v>47.331391000000004</v>
      </c>
      <c r="I183">
        <v>0.11430000000000264</v>
      </c>
      <c r="T183">
        <v>7.6000000000001539E-2</v>
      </c>
      <c r="U183">
        <v>0.1167000000000027</v>
      </c>
      <c r="V183">
        <v>0.11430000000000264</v>
      </c>
    </row>
    <row r="184" spans="1:22" x14ac:dyDescent="0.55000000000000004">
      <c r="A184" t="s">
        <v>185</v>
      </c>
      <c r="B184">
        <v>41.251159919999999</v>
      </c>
      <c r="C184">
        <v>9.5300000000002091E-2</v>
      </c>
      <c r="E184">
        <v>50.709054369999997</v>
      </c>
      <c r="F184">
        <v>0.23529999999999079</v>
      </c>
      <c r="H184">
        <v>57.786196590000003</v>
      </c>
      <c r="I184">
        <v>0.12050000000000281</v>
      </c>
      <c r="T184">
        <v>9.5300000000002091E-2</v>
      </c>
      <c r="U184">
        <v>0.23529999999999079</v>
      </c>
      <c r="V184">
        <v>0.12050000000000281</v>
      </c>
    </row>
    <row r="185" spans="1:22" x14ac:dyDescent="0.55000000000000004">
      <c r="A185" t="s">
        <v>186</v>
      </c>
      <c r="B185">
        <v>40.347641549999999</v>
      </c>
      <c r="C185">
        <v>8.1800000000001705E-2</v>
      </c>
      <c r="E185">
        <v>52.077733979999998</v>
      </c>
      <c r="F185">
        <v>0.11410000000000263</v>
      </c>
      <c r="H185">
        <v>44.03302188</v>
      </c>
      <c r="I185">
        <v>0.10090000000000225</v>
      </c>
      <c r="T185">
        <v>8.1800000000001705E-2</v>
      </c>
      <c r="U185">
        <v>0.11410000000000263</v>
      </c>
      <c r="V185">
        <v>0.10090000000000225</v>
      </c>
    </row>
    <row r="186" spans="1:22" x14ac:dyDescent="0.55000000000000004">
      <c r="A186" t="s">
        <v>187</v>
      </c>
      <c r="B186">
        <v>41.165657660000001</v>
      </c>
      <c r="C186">
        <v>8.9800000000001934E-2</v>
      </c>
      <c r="E186">
        <v>51.237937070000001</v>
      </c>
      <c r="F186">
        <v>0.10520000000000237</v>
      </c>
      <c r="H186">
        <v>51.138744699999997</v>
      </c>
      <c r="I186">
        <v>0.10210000000000229</v>
      </c>
      <c r="T186">
        <v>8.9800000000001934E-2</v>
      </c>
      <c r="U186">
        <v>0.10520000000000237</v>
      </c>
      <c r="V186">
        <v>0.10210000000000229</v>
      </c>
    </row>
    <row r="187" spans="1:22" x14ac:dyDescent="0.55000000000000004">
      <c r="A187" t="s">
        <v>188</v>
      </c>
      <c r="B187">
        <v>38.987862890000002</v>
      </c>
      <c r="C187">
        <v>7.8300000000001604E-2</v>
      </c>
      <c r="E187">
        <v>43.670112789999997</v>
      </c>
      <c r="F187">
        <v>0.10800000000000246</v>
      </c>
      <c r="H187">
        <v>44.388213219999997</v>
      </c>
      <c r="I187">
        <v>0.11090000000000254</v>
      </c>
      <c r="T187">
        <v>7.8300000000001604E-2</v>
      </c>
      <c r="U187">
        <v>0.10800000000000246</v>
      </c>
      <c r="V187">
        <v>0.11090000000000254</v>
      </c>
    </row>
    <row r="188" spans="1:22" x14ac:dyDescent="0.55000000000000004">
      <c r="A188" t="s">
        <v>189</v>
      </c>
      <c r="B188">
        <v>58.584114720000002</v>
      </c>
      <c r="C188">
        <v>8.0400000000001665E-2</v>
      </c>
      <c r="E188">
        <v>46.736684609999998</v>
      </c>
      <c r="F188">
        <v>0.10040000000000224</v>
      </c>
      <c r="H188">
        <v>37.483624910000003</v>
      </c>
      <c r="I188">
        <v>9.1000000000001968E-2</v>
      </c>
      <c r="T188">
        <v>8.0400000000001665E-2</v>
      </c>
      <c r="U188">
        <v>0.10040000000000224</v>
      </c>
      <c r="V188">
        <v>9.1000000000001968E-2</v>
      </c>
    </row>
    <row r="189" spans="1:22" x14ac:dyDescent="0.55000000000000004">
      <c r="A189" t="s">
        <v>190</v>
      </c>
      <c r="B189">
        <v>44.345224999999999</v>
      </c>
      <c r="C189">
        <v>7.0200000000001372E-2</v>
      </c>
      <c r="E189">
        <v>64.796771000000007</v>
      </c>
      <c r="F189">
        <v>0.11850000000000276</v>
      </c>
      <c r="H189">
        <v>57.946269999999998</v>
      </c>
      <c r="I189">
        <v>0.11150000000000256</v>
      </c>
      <c r="T189">
        <v>7.0200000000001372E-2</v>
      </c>
      <c r="U189">
        <v>0.11850000000000276</v>
      </c>
      <c r="V189">
        <v>0.11150000000000256</v>
      </c>
    </row>
    <row r="190" spans="1:22" x14ac:dyDescent="0.55000000000000004">
      <c r="A190" t="s">
        <v>191</v>
      </c>
      <c r="B190">
        <v>47.630496000000001</v>
      </c>
      <c r="C190">
        <v>6.5800000000001246E-2</v>
      </c>
      <c r="E190">
        <v>55.451762000000002</v>
      </c>
      <c r="F190">
        <v>9.8700000000002189E-2</v>
      </c>
      <c r="H190">
        <v>43.674900999999998</v>
      </c>
      <c r="I190">
        <v>0.10890000000000248</v>
      </c>
      <c r="T190">
        <v>6.5800000000001246E-2</v>
      </c>
      <c r="U190">
        <v>9.8700000000002189E-2</v>
      </c>
      <c r="V190">
        <v>0.10890000000000248</v>
      </c>
    </row>
    <row r="191" spans="1:22" x14ac:dyDescent="0.55000000000000004">
      <c r="A191" t="s">
        <v>192</v>
      </c>
      <c r="B191">
        <v>88.901612999999998</v>
      </c>
      <c r="C191">
        <v>7.9100000000001627E-2</v>
      </c>
      <c r="E191">
        <v>52.905420999999997</v>
      </c>
      <c r="F191">
        <v>0.11350000000000261</v>
      </c>
      <c r="H191">
        <v>29.978959</v>
      </c>
      <c r="I191">
        <v>0.11540000000000267</v>
      </c>
      <c r="T191">
        <v>7.9100000000001627E-2</v>
      </c>
      <c r="U191">
        <v>0.11350000000000261</v>
      </c>
      <c r="V191">
        <v>0.11540000000000267</v>
      </c>
    </row>
    <row r="192" spans="1:22" x14ac:dyDescent="0.55000000000000004">
      <c r="A192" t="s">
        <v>193</v>
      </c>
      <c r="B192">
        <v>34.060487000000002</v>
      </c>
      <c r="C192">
        <v>0.1025000000000023</v>
      </c>
      <c r="E192">
        <v>48.705312999999997</v>
      </c>
      <c r="F192">
        <v>0.11450000000000264</v>
      </c>
      <c r="H192">
        <v>36.317684999999997</v>
      </c>
      <c r="I192">
        <v>8.9800000000001934E-2</v>
      </c>
      <c r="T192">
        <v>0.1025000000000023</v>
      </c>
      <c r="U192">
        <v>0.11450000000000264</v>
      </c>
      <c r="V192">
        <v>8.9800000000001934E-2</v>
      </c>
    </row>
    <row r="193" spans="1:22" x14ac:dyDescent="0.55000000000000004">
      <c r="A193" t="s">
        <v>194</v>
      </c>
      <c r="B193">
        <v>50.831794000000002</v>
      </c>
      <c r="C193">
        <v>6.5000000000001223E-2</v>
      </c>
      <c r="E193">
        <v>87.625539000000003</v>
      </c>
      <c r="F193">
        <v>0.11910000000000277</v>
      </c>
      <c r="H193">
        <v>51.591755999999997</v>
      </c>
      <c r="I193">
        <v>0.12180000000000285</v>
      </c>
      <c r="T193">
        <v>6.5000000000001223E-2</v>
      </c>
      <c r="U193">
        <v>0.11910000000000277</v>
      </c>
      <c r="V193">
        <v>0.12180000000000285</v>
      </c>
    </row>
    <row r="194" spans="1:22" x14ac:dyDescent="0.55000000000000004">
      <c r="A194" t="s">
        <v>195</v>
      </c>
      <c r="B194">
        <v>50.639747</v>
      </c>
      <c r="C194">
        <v>8.8700000000001902E-2</v>
      </c>
      <c r="E194">
        <v>69.822787000000005</v>
      </c>
      <c r="F194">
        <v>0.11690000000000271</v>
      </c>
      <c r="H194">
        <v>41.663269999999997</v>
      </c>
      <c r="I194">
        <v>0.11410000000000263</v>
      </c>
      <c r="T194">
        <v>8.8700000000001902E-2</v>
      </c>
      <c r="U194">
        <v>0.11690000000000271</v>
      </c>
      <c r="V194">
        <v>0.11410000000000263</v>
      </c>
    </row>
    <row r="195" spans="1:22" x14ac:dyDescent="0.55000000000000004">
      <c r="A195" t="s">
        <v>196</v>
      </c>
      <c r="B195">
        <v>41.919100999999998</v>
      </c>
      <c r="C195">
        <v>8.270000000000173E-2</v>
      </c>
      <c r="E195">
        <v>66.592984000000001</v>
      </c>
      <c r="F195">
        <v>0.1129000000000026</v>
      </c>
      <c r="H195">
        <v>47.801760999999999</v>
      </c>
      <c r="I195">
        <v>0.10860000000000247</v>
      </c>
      <c r="T195">
        <v>8.270000000000173E-2</v>
      </c>
      <c r="U195">
        <v>0.1129000000000026</v>
      </c>
      <c r="V195">
        <v>0.10860000000000247</v>
      </c>
    </row>
    <row r="196" spans="1:22" x14ac:dyDescent="0.55000000000000004">
      <c r="A196" t="s">
        <v>197</v>
      </c>
      <c r="B196">
        <v>39.136063999999998</v>
      </c>
      <c r="C196">
        <v>7.4600000000001498E-2</v>
      </c>
      <c r="E196">
        <v>54.351354000000001</v>
      </c>
      <c r="F196">
        <v>8.7300000000001862E-2</v>
      </c>
      <c r="H196">
        <v>44.906140999999998</v>
      </c>
      <c r="I196">
        <v>8.4500000000001782E-2</v>
      </c>
      <c r="T196">
        <v>7.4600000000001498E-2</v>
      </c>
      <c r="U196">
        <v>8.7300000000001862E-2</v>
      </c>
      <c r="V196">
        <v>8.4500000000001782E-2</v>
      </c>
    </row>
    <row r="197" spans="1:22" x14ac:dyDescent="0.55000000000000004">
      <c r="A197" t="s">
        <v>198</v>
      </c>
      <c r="B197">
        <v>46.103893999999997</v>
      </c>
      <c r="C197">
        <v>7.5800000000001533E-2</v>
      </c>
      <c r="E197">
        <v>49.587896000000001</v>
      </c>
      <c r="F197">
        <v>0.11940000000000278</v>
      </c>
      <c r="H197">
        <v>48.040346999999997</v>
      </c>
      <c r="I197">
        <v>0.11110000000000254</v>
      </c>
      <c r="T197">
        <v>7.5800000000001533E-2</v>
      </c>
      <c r="U197">
        <v>0.11940000000000278</v>
      </c>
      <c r="V197">
        <v>0.11110000000000254</v>
      </c>
    </row>
    <row r="198" spans="1:22" x14ac:dyDescent="0.55000000000000004">
      <c r="A198" t="s">
        <v>199</v>
      </c>
      <c r="B198">
        <v>49.977435</v>
      </c>
      <c r="C198">
        <v>8.5800000000001819E-2</v>
      </c>
      <c r="E198">
        <v>81.440194000000005</v>
      </c>
      <c r="F198">
        <v>0.11520000000000266</v>
      </c>
      <c r="H198">
        <v>57.775694999999999</v>
      </c>
      <c r="I198">
        <v>9.6800000000002134E-2</v>
      </c>
      <c r="T198">
        <v>8.5800000000001819E-2</v>
      </c>
      <c r="U198">
        <v>0.11520000000000266</v>
      </c>
      <c r="V198">
        <v>9.6800000000002134E-2</v>
      </c>
    </row>
    <row r="199" spans="1:22" x14ac:dyDescent="0.55000000000000004">
      <c r="A199" t="s">
        <v>200</v>
      </c>
      <c r="B199">
        <v>49.094318999999999</v>
      </c>
      <c r="C199">
        <v>8.1600000000001699E-2</v>
      </c>
      <c r="E199">
        <v>76.588272000000003</v>
      </c>
      <c r="F199">
        <v>0.12100000000000283</v>
      </c>
      <c r="H199">
        <v>50.083519000000003</v>
      </c>
      <c r="I199">
        <v>0.11200000000000257</v>
      </c>
      <c r="T199">
        <v>8.1600000000001699E-2</v>
      </c>
      <c r="U199">
        <v>0.12100000000000283</v>
      </c>
      <c r="V199">
        <v>0.11200000000000257</v>
      </c>
    </row>
    <row r="200" spans="1:22" x14ac:dyDescent="0.55000000000000004">
      <c r="A200" t="s">
        <v>201</v>
      </c>
      <c r="B200">
        <v>40.784438000000002</v>
      </c>
      <c r="C200">
        <v>7.7400000000001579E-2</v>
      </c>
      <c r="E200">
        <v>68.892296000000002</v>
      </c>
      <c r="F200">
        <v>0.1199000000000028</v>
      </c>
      <c r="H200">
        <v>45.202908000000001</v>
      </c>
      <c r="I200">
        <v>0.10850000000000247</v>
      </c>
      <c r="T200">
        <v>7.7400000000001579E-2</v>
      </c>
      <c r="U200">
        <v>0.1199000000000028</v>
      </c>
      <c r="V200">
        <v>0.10850000000000247</v>
      </c>
    </row>
    <row r="201" spans="1:22" x14ac:dyDescent="0.55000000000000004">
      <c r="A201" t="s">
        <v>202</v>
      </c>
      <c r="B201">
        <v>54.823523999999999</v>
      </c>
      <c r="C201">
        <v>9.1900000000001994E-2</v>
      </c>
      <c r="E201">
        <v>59.191648999999998</v>
      </c>
      <c r="F201">
        <v>0.10130000000000226</v>
      </c>
      <c r="H201">
        <v>42.945157000000002</v>
      </c>
      <c r="I201">
        <v>9.8600000000002186E-2</v>
      </c>
      <c r="T201">
        <v>9.1900000000001994E-2</v>
      </c>
      <c r="U201">
        <v>0.10130000000000226</v>
      </c>
      <c r="V201">
        <v>9.8600000000002186E-2</v>
      </c>
    </row>
    <row r="202" spans="1:22" x14ac:dyDescent="0.55000000000000004">
      <c r="A202" t="s">
        <v>203</v>
      </c>
      <c r="B202">
        <v>40.148142</v>
      </c>
      <c r="C202">
        <v>8.270000000000173E-2</v>
      </c>
      <c r="E202">
        <v>127.630656</v>
      </c>
      <c r="F202">
        <v>0.10920000000000249</v>
      </c>
      <c r="H202">
        <v>50.296863000000002</v>
      </c>
      <c r="I202">
        <v>0.11900000000000277</v>
      </c>
      <c r="T202">
        <v>8.270000000000173E-2</v>
      </c>
      <c r="U202">
        <v>0.10920000000000249</v>
      </c>
      <c r="V202">
        <v>0.11900000000000277</v>
      </c>
    </row>
    <row r="203" spans="1:22" x14ac:dyDescent="0.55000000000000004">
      <c r="A203" t="s">
        <v>204</v>
      </c>
      <c r="B203">
        <v>40.297176999999998</v>
      </c>
      <c r="C203">
        <v>7.6000000000001539E-2</v>
      </c>
      <c r="E203">
        <v>46.301037000000001</v>
      </c>
      <c r="F203">
        <v>0.10450000000000235</v>
      </c>
      <c r="H203">
        <v>36.321395000000003</v>
      </c>
      <c r="I203">
        <v>0.11550000000000267</v>
      </c>
      <c r="T203">
        <v>7.6000000000001539E-2</v>
      </c>
      <c r="U203">
        <v>0.10450000000000235</v>
      </c>
      <c r="V203">
        <v>0.11550000000000267</v>
      </c>
    </row>
    <row r="204" spans="1:22" x14ac:dyDescent="0.55000000000000004">
      <c r="A204" t="s">
        <v>205</v>
      </c>
      <c r="B204">
        <v>30.615981999999999</v>
      </c>
      <c r="C204">
        <v>0.10840000000000247</v>
      </c>
      <c r="E204">
        <v>43.963287999999999</v>
      </c>
      <c r="F204">
        <v>9.8000000000002169E-2</v>
      </c>
      <c r="H204">
        <v>34.816833000000003</v>
      </c>
      <c r="I204">
        <v>0.10760000000000244</v>
      </c>
      <c r="T204">
        <v>0.10840000000000247</v>
      </c>
      <c r="U204">
        <v>9.8000000000002169E-2</v>
      </c>
      <c r="V204">
        <v>0.10760000000000244</v>
      </c>
    </row>
    <row r="205" spans="1:22" x14ac:dyDescent="0.55000000000000004">
      <c r="A205" t="s">
        <v>206</v>
      </c>
      <c r="B205">
        <v>48.194704999999999</v>
      </c>
      <c r="C205">
        <v>0.12120000000000283</v>
      </c>
      <c r="E205">
        <v>91.993270999999993</v>
      </c>
      <c r="F205">
        <v>0.11480000000000265</v>
      </c>
      <c r="H205">
        <v>42.261800000000001</v>
      </c>
      <c r="I205">
        <v>0.11710000000000272</v>
      </c>
      <c r="T205">
        <v>0.12120000000000283</v>
      </c>
      <c r="U205">
        <v>0.11480000000000265</v>
      </c>
      <c r="V205">
        <v>0.11710000000000272</v>
      </c>
    </row>
    <row r="206" spans="1:22" x14ac:dyDescent="0.55000000000000004">
      <c r="A206" t="s">
        <v>207</v>
      </c>
      <c r="B206">
        <v>37.322429999999997</v>
      </c>
      <c r="C206">
        <v>9.1900000000001994E-2</v>
      </c>
      <c r="E206">
        <v>46.915629000000003</v>
      </c>
      <c r="F206">
        <v>8.8700000000001902E-2</v>
      </c>
      <c r="H206">
        <v>45.797680999999997</v>
      </c>
      <c r="I206">
        <v>8.9800000000001934E-2</v>
      </c>
      <c r="T206">
        <v>9.1900000000001994E-2</v>
      </c>
      <c r="U206">
        <v>8.8700000000001902E-2</v>
      </c>
      <c r="V206">
        <v>8.9800000000001934E-2</v>
      </c>
    </row>
    <row r="207" spans="1:22" x14ac:dyDescent="0.55000000000000004">
      <c r="A207" t="s">
        <v>208</v>
      </c>
      <c r="B207">
        <v>40.496174000000003</v>
      </c>
      <c r="C207">
        <v>8.6500000000001839E-2</v>
      </c>
      <c r="E207">
        <v>42.426571000000003</v>
      </c>
      <c r="F207">
        <v>9.7300000000002149E-2</v>
      </c>
      <c r="H207">
        <v>37.817954</v>
      </c>
      <c r="I207">
        <v>0.10050000000000224</v>
      </c>
      <c r="T207">
        <v>8.6500000000001839E-2</v>
      </c>
      <c r="U207">
        <v>9.7300000000002149E-2</v>
      </c>
      <c r="V207">
        <v>0.10050000000000224</v>
      </c>
    </row>
    <row r="208" spans="1:22" x14ac:dyDescent="0.55000000000000004">
      <c r="A208" t="s">
        <v>209</v>
      </c>
      <c r="B208">
        <v>38.256264000000002</v>
      </c>
      <c r="C208">
        <v>6.8400000000001321E-2</v>
      </c>
      <c r="E208">
        <v>114.422155</v>
      </c>
      <c r="F208">
        <v>0.10980000000000251</v>
      </c>
      <c r="H208">
        <v>61.830858999999997</v>
      </c>
      <c r="I208">
        <v>0.1165000000000027</v>
      </c>
      <c r="T208">
        <v>6.8400000000001321E-2</v>
      </c>
      <c r="U208">
        <v>0.10980000000000251</v>
      </c>
      <c r="V208">
        <v>0.1165000000000027</v>
      </c>
    </row>
    <row r="209" spans="1:22" x14ac:dyDescent="0.55000000000000004">
      <c r="A209" t="s">
        <v>210</v>
      </c>
      <c r="B209">
        <v>52.422179999999997</v>
      </c>
      <c r="C209">
        <v>7.0900000000002822E-2</v>
      </c>
      <c r="E209">
        <v>74.689871999999994</v>
      </c>
      <c r="F209">
        <v>0.12290000000000431</v>
      </c>
      <c r="H209">
        <v>39.849916</v>
      </c>
      <c r="I209">
        <v>0.12380000000000434</v>
      </c>
      <c r="T209">
        <v>7.0900000000002822E-2</v>
      </c>
      <c r="U209">
        <v>0.12290000000000431</v>
      </c>
      <c r="V209">
        <v>0.12380000000000434</v>
      </c>
    </row>
    <row r="210" spans="1:22" x14ac:dyDescent="0.55000000000000004">
      <c r="A210" t="s">
        <v>211</v>
      </c>
      <c r="B210">
        <v>41.262847999999998</v>
      </c>
      <c r="C210">
        <v>8.1100000000003114E-2</v>
      </c>
      <c r="E210">
        <v>50.623035999999999</v>
      </c>
      <c r="F210">
        <v>0.10410000000000377</v>
      </c>
      <c r="H210">
        <v>36.957689999999999</v>
      </c>
      <c r="I210">
        <v>0.10210000000000372</v>
      </c>
      <c r="T210">
        <v>8.1100000000003114E-2</v>
      </c>
      <c r="U210">
        <v>0.10410000000000377</v>
      </c>
      <c r="V210">
        <v>0.10210000000000372</v>
      </c>
    </row>
    <row r="211" spans="1:22" x14ac:dyDescent="0.55000000000000004">
      <c r="A211" t="s">
        <v>212</v>
      </c>
      <c r="B211">
        <v>48.740330999999998</v>
      </c>
      <c r="C211">
        <v>7.6500000000002982E-2</v>
      </c>
      <c r="E211">
        <v>55.650379999999998</v>
      </c>
      <c r="F211">
        <v>0.112000000000004</v>
      </c>
      <c r="H211">
        <v>48.255522999999997</v>
      </c>
      <c r="I211">
        <v>0.1225000000000043</v>
      </c>
      <c r="T211">
        <v>7.6500000000002982E-2</v>
      </c>
      <c r="U211">
        <v>0.112000000000004</v>
      </c>
      <c r="V211">
        <v>0.1225000000000043</v>
      </c>
    </row>
    <row r="212" spans="1:22" x14ac:dyDescent="0.55000000000000004">
      <c r="A212" t="s">
        <v>213</v>
      </c>
      <c r="B212">
        <v>36.573723999999999</v>
      </c>
      <c r="C212">
        <v>7.9100000000003057E-2</v>
      </c>
      <c r="E212">
        <v>63.432462000000001</v>
      </c>
      <c r="F212">
        <v>0.11980000000000422</v>
      </c>
      <c r="H212">
        <v>39.364263000000001</v>
      </c>
      <c r="I212">
        <v>0.112000000000004</v>
      </c>
      <c r="T212">
        <v>7.9100000000003057E-2</v>
      </c>
      <c r="U212">
        <v>0.11980000000000422</v>
      </c>
      <c r="V212">
        <v>0.112000000000004</v>
      </c>
    </row>
    <row r="213" spans="1:22" x14ac:dyDescent="0.55000000000000004">
      <c r="A213" t="s">
        <v>214</v>
      </c>
      <c r="B213">
        <v>65.547708260833062</v>
      </c>
      <c r="C213">
        <v>7.0900000000002822E-2</v>
      </c>
      <c r="E213">
        <v>52.712895861849404</v>
      </c>
      <c r="F213">
        <v>0.31749999999998318</v>
      </c>
      <c r="H213">
        <v>48.609071735029332</v>
      </c>
      <c r="I213">
        <v>0.10570000000000382</v>
      </c>
      <c r="T213">
        <v>7.0900000000002822E-2</v>
      </c>
      <c r="U213">
        <v>0.31749999999998318</v>
      </c>
      <c r="V213">
        <v>0.10570000000000382</v>
      </c>
    </row>
    <row r="214" spans="1:22" x14ac:dyDescent="0.55000000000000004">
      <c r="A214" t="s">
        <v>215</v>
      </c>
      <c r="B214">
        <v>48.491247885149917</v>
      </c>
      <c r="C214">
        <v>6.9300000000002776E-2</v>
      </c>
      <c r="E214">
        <v>59.168833871287148</v>
      </c>
      <c r="F214">
        <v>0.11000000000000394</v>
      </c>
      <c r="H214">
        <v>51.452316130274951</v>
      </c>
      <c r="I214">
        <v>9.8300000000003607E-2</v>
      </c>
      <c r="T214">
        <v>6.9300000000002776E-2</v>
      </c>
      <c r="U214">
        <v>0.11000000000000394</v>
      </c>
      <c r="V214">
        <v>9.8300000000003607E-2</v>
      </c>
    </row>
    <row r="215" spans="1:22" x14ac:dyDescent="0.55000000000000004">
      <c r="A215" t="s">
        <v>216</v>
      </c>
      <c r="B215">
        <v>51.984149458016134</v>
      </c>
      <c r="C215">
        <v>7.4600000000002928E-2</v>
      </c>
      <c r="E215">
        <v>72.091847526428694</v>
      </c>
      <c r="F215">
        <v>0.11790000000000417</v>
      </c>
      <c r="H215">
        <v>37.520352768237018</v>
      </c>
      <c r="I215">
        <v>0.10220000000000372</v>
      </c>
      <c r="T215">
        <v>7.4600000000002928E-2</v>
      </c>
      <c r="U215">
        <v>0.11790000000000417</v>
      </c>
      <c r="V215">
        <v>0.10220000000000372</v>
      </c>
    </row>
    <row r="216" spans="1:22" x14ac:dyDescent="0.55000000000000004">
      <c r="A216" t="s">
        <v>217</v>
      </c>
      <c r="B216">
        <v>40.068157255682706</v>
      </c>
      <c r="C216">
        <v>8.2600000000003157E-2</v>
      </c>
      <c r="E216">
        <v>50.238817509481024</v>
      </c>
      <c r="F216">
        <v>0.11720000000000415</v>
      </c>
      <c r="H216">
        <v>42.915307580540585</v>
      </c>
      <c r="I216">
        <v>0.11230000000000401</v>
      </c>
      <c r="T216">
        <v>8.2600000000003157E-2</v>
      </c>
      <c r="U216">
        <v>0.11720000000000415</v>
      </c>
      <c r="V216">
        <v>0.11230000000000401</v>
      </c>
    </row>
    <row r="217" spans="1:22" x14ac:dyDescent="0.55000000000000004">
      <c r="A217" t="s">
        <v>218</v>
      </c>
      <c r="B217">
        <v>43.95069158414627</v>
      </c>
      <c r="C217">
        <v>8.1600000000003128E-2</v>
      </c>
      <c r="E217">
        <v>53.13600117545306</v>
      </c>
      <c r="F217">
        <v>0.20959999999999504</v>
      </c>
      <c r="H217">
        <v>41.625136876424122</v>
      </c>
      <c r="I217">
        <v>0.10720000000000386</v>
      </c>
      <c r="T217">
        <v>8.1600000000003128E-2</v>
      </c>
      <c r="U217">
        <v>0.20959999999999504</v>
      </c>
      <c r="V217">
        <v>0.10720000000000386</v>
      </c>
    </row>
    <row r="218" spans="1:22" x14ac:dyDescent="0.55000000000000004">
      <c r="A218" t="s">
        <v>219</v>
      </c>
      <c r="B218">
        <v>36.417607860130197</v>
      </c>
      <c r="C218">
        <v>9.9500000000003641E-2</v>
      </c>
      <c r="E218">
        <v>55.219745647172672</v>
      </c>
      <c r="F218">
        <v>0.1346000000000033</v>
      </c>
      <c r="H218">
        <v>49.720663114510529</v>
      </c>
      <c r="I218">
        <v>0.1155000000000041</v>
      </c>
      <c r="T218">
        <v>9.9500000000003641E-2</v>
      </c>
      <c r="U218">
        <v>0.1346000000000033</v>
      </c>
      <c r="V218">
        <v>0.1155000000000041</v>
      </c>
    </row>
    <row r="219" spans="1:22" x14ac:dyDescent="0.55000000000000004">
      <c r="A219" t="s">
        <v>220</v>
      </c>
      <c r="B219">
        <v>43.05805263421302</v>
      </c>
      <c r="C219">
        <v>8.1100000000003114E-2</v>
      </c>
      <c r="E219">
        <v>62.239822952556985</v>
      </c>
      <c r="F219">
        <v>0.11320000000000403</v>
      </c>
      <c r="H219">
        <v>46.306562283212095</v>
      </c>
      <c r="I219">
        <v>0.10810000000000389</v>
      </c>
      <c r="T219">
        <v>8.1100000000003114E-2</v>
      </c>
      <c r="U219">
        <v>0.11320000000000403</v>
      </c>
      <c r="V219">
        <v>0.10810000000000389</v>
      </c>
    </row>
    <row r="220" spans="1:22" x14ac:dyDescent="0.55000000000000004">
      <c r="A220" t="s">
        <v>221</v>
      </c>
      <c r="B220">
        <v>33.028242967326946</v>
      </c>
      <c r="C220">
        <v>9.4900000000003509E-2</v>
      </c>
      <c r="E220">
        <v>47.908438190888084</v>
      </c>
      <c r="F220">
        <v>0.10920000000000392</v>
      </c>
      <c r="H220">
        <v>38.219134320613378</v>
      </c>
      <c r="I220">
        <v>0.10810000000000389</v>
      </c>
      <c r="T220">
        <v>9.4900000000003509E-2</v>
      </c>
      <c r="U220">
        <v>0.10920000000000392</v>
      </c>
      <c r="V220">
        <v>0.10810000000000389</v>
      </c>
    </row>
    <row r="221" spans="1:22" x14ac:dyDescent="0.55000000000000004">
      <c r="A221" t="s">
        <v>222</v>
      </c>
      <c r="B221">
        <v>35.116997132275714</v>
      </c>
      <c r="C221">
        <v>9.4600000000003501E-2</v>
      </c>
      <c r="E221">
        <v>68.511718039336003</v>
      </c>
      <c r="F221">
        <v>0.10210000000000372</v>
      </c>
      <c r="H221">
        <v>49.698304875143052</v>
      </c>
      <c r="I221">
        <v>9.5300000000003521E-2</v>
      </c>
      <c r="T221">
        <v>9.4600000000003501E-2</v>
      </c>
      <c r="U221">
        <v>0.10210000000000372</v>
      </c>
      <c r="V221">
        <v>9.5300000000003521E-2</v>
      </c>
    </row>
    <row r="222" spans="1:22" x14ac:dyDescent="0.55000000000000004">
      <c r="A222" t="s">
        <v>223</v>
      </c>
      <c r="B222">
        <v>49.620000555489248</v>
      </c>
      <c r="C222">
        <v>5.7400000000002442E-2</v>
      </c>
      <c r="E222">
        <v>143.54469589872198</v>
      </c>
      <c r="F222">
        <v>9.3600000000003472E-2</v>
      </c>
      <c r="H222">
        <v>53.42966005684972</v>
      </c>
      <c r="I222">
        <v>9.3800000000003478E-2</v>
      </c>
      <c r="T222">
        <v>5.7400000000002442E-2</v>
      </c>
      <c r="U222">
        <v>9.3600000000003472E-2</v>
      </c>
      <c r="V222">
        <v>9.3800000000003478E-2</v>
      </c>
    </row>
    <row r="223" spans="1:22" x14ac:dyDescent="0.55000000000000004">
      <c r="A223" t="s">
        <v>224</v>
      </c>
      <c r="B223">
        <v>48.944991039017431</v>
      </c>
      <c r="C223">
        <v>7.2400000000002865E-2</v>
      </c>
      <c r="E223">
        <v>58.254092033447591</v>
      </c>
      <c r="F223">
        <v>8.900000000000334E-2</v>
      </c>
      <c r="H223">
        <v>46.468756466815336</v>
      </c>
      <c r="I223">
        <v>9.980000000000365E-2</v>
      </c>
      <c r="T223">
        <v>7.2400000000002865E-2</v>
      </c>
      <c r="U223">
        <v>8.900000000000334E-2</v>
      </c>
      <c r="V223">
        <v>9.980000000000365E-2</v>
      </c>
    </row>
    <row r="224" spans="1:22" x14ac:dyDescent="0.55000000000000004">
      <c r="A224" t="s">
        <v>225</v>
      </c>
      <c r="B224">
        <v>48.337468888275339</v>
      </c>
      <c r="C224">
        <v>6.980000000000279E-2</v>
      </c>
      <c r="E224">
        <v>89.499579026544666</v>
      </c>
      <c r="F224">
        <v>9.7200000000003575E-2</v>
      </c>
      <c r="H224">
        <v>52.02451412092045</v>
      </c>
      <c r="I224">
        <v>8.3600000000003186E-2</v>
      </c>
      <c r="T224">
        <v>6.980000000000279E-2</v>
      </c>
      <c r="U224">
        <v>9.7200000000003575E-2</v>
      </c>
      <c r="V224">
        <v>8.3600000000003186E-2</v>
      </c>
    </row>
    <row r="225" spans="1:22" x14ac:dyDescent="0.55000000000000004">
      <c r="A225" t="s">
        <v>226</v>
      </c>
      <c r="B225">
        <v>37.685122427078852</v>
      </c>
      <c r="C225">
        <v>7.8900000000003051E-2</v>
      </c>
      <c r="E225">
        <v>93.668496010164461</v>
      </c>
      <c r="F225">
        <v>0.10940000000000392</v>
      </c>
      <c r="H225">
        <v>48.229111208122106</v>
      </c>
      <c r="I225">
        <v>0.11100000000000397</v>
      </c>
      <c r="T225">
        <v>7.8900000000003051E-2</v>
      </c>
      <c r="U225">
        <v>0.10940000000000392</v>
      </c>
      <c r="V225">
        <v>0.11100000000000397</v>
      </c>
    </row>
    <row r="226" spans="1:22" x14ac:dyDescent="0.55000000000000004">
      <c r="A226" t="s">
        <v>227</v>
      </c>
      <c r="B226">
        <v>44.384856852976348</v>
      </c>
      <c r="C226">
        <v>6.6200000000002687E-2</v>
      </c>
      <c r="E226">
        <v>75.701803093879306</v>
      </c>
      <c r="F226">
        <v>0.112200000000004</v>
      </c>
      <c r="H226">
        <v>51.732989867070494</v>
      </c>
      <c r="I226">
        <v>0.10010000000000366</v>
      </c>
      <c r="T226">
        <v>6.6200000000002687E-2</v>
      </c>
      <c r="U226">
        <v>0.112200000000004</v>
      </c>
      <c r="V226">
        <v>0.10010000000000366</v>
      </c>
    </row>
    <row r="227" spans="1:22" x14ac:dyDescent="0.55000000000000004">
      <c r="A227" t="s">
        <v>228</v>
      </c>
      <c r="B227">
        <v>51.191052964357908</v>
      </c>
      <c r="C227">
        <v>6.0100000000002519E-2</v>
      </c>
      <c r="E227">
        <v>52.43021002317289</v>
      </c>
      <c r="F227">
        <v>9.1600000000003415E-2</v>
      </c>
      <c r="H227">
        <v>41.343339122292726</v>
      </c>
      <c r="I227">
        <v>9.2200000000003432E-2</v>
      </c>
      <c r="T227">
        <v>6.0100000000002519E-2</v>
      </c>
      <c r="U227">
        <v>9.1600000000003415E-2</v>
      </c>
      <c r="V227">
        <v>9.2200000000003432E-2</v>
      </c>
    </row>
    <row r="228" spans="1:22" x14ac:dyDescent="0.55000000000000004">
      <c r="A228" t="s">
        <v>229</v>
      </c>
      <c r="B228">
        <v>42.401409420144333</v>
      </c>
      <c r="C228">
        <v>8.5700000000003246E-2</v>
      </c>
      <c r="E228">
        <v>63.166657251300002</v>
      </c>
      <c r="F228">
        <v>0.13600000000000315</v>
      </c>
      <c r="H228">
        <v>41.60196123342093</v>
      </c>
      <c r="I228">
        <v>0.11570000000000411</v>
      </c>
      <c r="T228">
        <v>8.5700000000003246E-2</v>
      </c>
      <c r="U228">
        <v>0.13600000000000315</v>
      </c>
      <c r="V228">
        <v>0.11570000000000411</v>
      </c>
    </row>
    <row r="229" spans="1:22" x14ac:dyDescent="0.55000000000000004">
      <c r="A229" t="s">
        <v>230</v>
      </c>
      <c r="B229">
        <v>61.362726878568864</v>
      </c>
      <c r="C229">
        <v>4.7499999999656595E-2</v>
      </c>
      <c r="E229">
        <v>62.483982148311888</v>
      </c>
      <c r="F229">
        <v>0.10109999999953168</v>
      </c>
      <c r="H229">
        <v>39.253927253093728</v>
      </c>
      <c r="I229">
        <v>9.7799999999539367E-2</v>
      </c>
      <c r="T229">
        <v>4.7499999999656595E-2</v>
      </c>
      <c r="U229">
        <v>0.10109999999953168</v>
      </c>
      <c r="V229">
        <v>9.7799999999539367E-2</v>
      </c>
    </row>
    <row r="230" spans="1:22" x14ac:dyDescent="0.55000000000000004">
      <c r="A230" t="s">
        <v>231</v>
      </c>
      <c r="B230">
        <v>43.270453570079894</v>
      </c>
      <c r="C230">
        <v>8.2099999999575957E-2</v>
      </c>
      <c r="E230">
        <v>45.701308530815005</v>
      </c>
      <c r="F230">
        <v>0.11869999999949066</v>
      </c>
      <c r="H230">
        <v>43.796191085903246</v>
      </c>
      <c r="I230">
        <v>0.10969999999951163</v>
      </c>
      <c r="T230">
        <v>8.2099999999575957E-2</v>
      </c>
      <c r="U230">
        <v>0.11869999999949066</v>
      </c>
      <c r="V230">
        <v>0.10969999999951163</v>
      </c>
    </row>
    <row r="231" spans="1:22" x14ac:dyDescent="0.55000000000000004">
      <c r="A231" t="s">
        <v>232</v>
      </c>
      <c r="B231">
        <v>56.887003709616359</v>
      </c>
      <c r="C231">
        <v>6.5599999999614411E-2</v>
      </c>
      <c r="E231">
        <v>64.62875282700206</v>
      </c>
      <c r="F231">
        <v>0.10819999999951513</v>
      </c>
      <c r="H231">
        <v>42.219233337760102</v>
      </c>
      <c r="I231">
        <v>9.9699999999534938E-2</v>
      </c>
      <c r="T231">
        <v>6.5599999999614411E-2</v>
      </c>
      <c r="U231">
        <v>0.10819999999951513</v>
      </c>
      <c r="V231">
        <v>9.9699999999534938E-2</v>
      </c>
    </row>
    <row r="232" spans="1:22" x14ac:dyDescent="0.55000000000000004">
      <c r="A232" t="s">
        <v>233</v>
      </c>
      <c r="B232">
        <v>36.989939961033102</v>
      </c>
      <c r="C232">
        <v>7.1799999999599962E-2</v>
      </c>
      <c r="E232">
        <v>54.883726607819874</v>
      </c>
      <c r="F232">
        <v>0.12389999999947854</v>
      </c>
      <c r="H232">
        <v>35.614543371983686</v>
      </c>
      <c r="I232">
        <v>0.12759999999946992</v>
      </c>
      <c r="T232">
        <v>7.1799999999599962E-2</v>
      </c>
      <c r="U232">
        <v>0.12389999999947854</v>
      </c>
      <c r="V232">
        <v>0.12759999999946992</v>
      </c>
    </row>
    <row r="233" spans="1:22" x14ac:dyDescent="0.55000000000000004">
      <c r="A233" t="s">
        <v>234</v>
      </c>
      <c r="B233">
        <v>69.985017520902758</v>
      </c>
      <c r="C233">
        <v>8.2099999999575957E-2</v>
      </c>
      <c r="E233">
        <v>50.848211549819631</v>
      </c>
      <c r="F233">
        <v>0.10309999999952701</v>
      </c>
      <c r="H233">
        <v>49.49418421375934</v>
      </c>
      <c r="I233">
        <v>0.10449999999952375</v>
      </c>
      <c r="T233">
        <v>8.2099999999575957E-2</v>
      </c>
      <c r="U233">
        <v>0.10309999999952701</v>
      </c>
      <c r="V233">
        <v>0.10449999999952375</v>
      </c>
    </row>
    <row r="234" spans="1:22" x14ac:dyDescent="0.55000000000000004">
      <c r="A234" t="s">
        <v>235</v>
      </c>
      <c r="B234">
        <v>45.732129880176444</v>
      </c>
      <c r="C234">
        <v>8.2599999999574791E-2</v>
      </c>
      <c r="E234">
        <v>40.933778704608542</v>
      </c>
      <c r="F234">
        <v>9.3299999999549854E-2</v>
      </c>
      <c r="H234">
        <v>38.464209867831926</v>
      </c>
      <c r="I234">
        <v>0.10519999999952212</v>
      </c>
      <c r="T234">
        <v>8.2599999999574791E-2</v>
      </c>
      <c r="U234">
        <v>9.3299999999549854E-2</v>
      </c>
      <c r="V234">
        <v>0.10519999999952212</v>
      </c>
    </row>
    <row r="235" spans="1:22" x14ac:dyDescent="0.55000000000000004">
      <c r="A235" t="s">
        <v>236</v>
      </c>
      <c r="B235">
        <v>35.77449758470862</v>
      </c>
      <c r="C235">
        <v>7.5799999999590639E-2</v>
      </c>
      <c r="E235">
        <v>38.2408028571881</v>
      </c>
      <c r="F235">
        <v>0.13169999999946036</v>
      </c>
      <c r="H235">
        <v>36.615106536798741</v>
      </c>
      <c r="I235">
        <v>0.10629999999951956</v>
      </c>
      <c r="T235">
        <v>7.5799999999590639E-2</v>
      </c>
      <c r="U235">
        <v>0.13169999999946036</v>
      </c>
      <c r="V235">
        <v>0.10629999999951956</v>
      </c>
    </row>
    <row r="236" spans="1:22" x14ac:dyDescent="0.55000000000000004">
      <c r="A236" t="s">
        <v>237</v>
      </c>
      <c r="B236">
        <v>57.211432734584179</v>
      </c>
      <c r="C236">
        <v>9.0799999999555681E-2</v>
      </c>
      <c r="E236">
        <v>53.709992550685968</v>
      </c>
      <c r="F236">
        <v>0.11019999999951047</v>
      </c>
      <c r="H236">
        <v>48.241899284181052</v>
      </c>
      <c r="I236">
        <v>0.11259999999950487</v>
      </c>
      <c r="T236">
        <v>9.0799999999555681E-2</v>
      </c>
      <c r="U236">
        <v>0.11019999999951047</v>
      </c>
      <c r="V236">
        <v>0.11259999999950487</v>
      </c>
    </row>
    <row r="237" spans="1:22" x14ac:dyDescent="0.55000000000000004">
      <c r="A237" t="s">
        <v>238</v>
      </c>
      <c r="B237">
        <v>43.746587693238801</v>
      </c>
      <c r="C237">
        <v>7.6199999999589707E-2</v>
      </c>
      <c r="E237">
        <v>45.289297581886245</v>
      </c>
      <c r="F237">
        <v>0.10739999999951699</v>
      </c>
      <c r="H237">
        <v>37.173147482704756</v>
      </c>
      <c r="I237">
        <v>0.12239999999948203</v>
      </c>
      <c r="T237">
        <v>7.6199999999589707E-2</v>
      </c>
      <c r="U237">
        <v>0.10739999999951699</v>
      </c>
      <c r="V237">
        <v>0.12239999999948203</v>
      </c>
    </row>
    <row r="238" spans="1:22" x14ac:dyDescent="0.55000000000000004">
      <c r="A238" t="s">
        <v>239</v>
      </c>
      <c r="B238">
        <v>47.67255676203925</v>
      </c>
      <c r="C238">
        <v>6.4499999999616975E-2</v>
      </c>
      <c r="E238">
        <v>66.845169324202985</v>
      </c>
      <c r="F238">
        <v>0.11869999999949066</v>
      </c>
      <c r="H238">
        <v>44.412293715222489</v>
      </c>
      <c r="I238">
        <v>9.6099999999543328E-2</v>
      </c>
      <c r="T238">
        <v>6.4499999999616975E-2</v>
      </c>
      <c r="U238">
        <v>0.11869999999949066</v>
      </c>
      <c r="V238">
        <v>9.6099999999543328E-2</v>
      </c>
    </row>
    <row r="239" spans="1:22" x14ac:dyDescent="0.55000000000000004">
      <c r="A239" t="s">
        <v>240</v>
      </c>
      <c r="B239">
        <v>41.180229022778299</v>
      </c>
      <c r="C239">
        <v>8.8399999999561274E-2</v>
      </c>
      <c r="E239">
        <v>48.38785238680498</v>
      </c>
      <c r="F239">
        <v>9.4999999999545892E-2</v>
      </c>
      <c r="H239">
        <v>48.307182173332102</v>
      </c>
      <c r="I239">
        <v>0.11139999999950767</v>
      </c>
      <c r="T239">
        <v>8.8399999999561274E-2</v>
      </c>
      <c r="U239">
        <v>9.4999999999545892E-2</v>
      </c>
      <c r="V239">
        <v>0.11139999999950767</v>
      </c>
    </row>
    <row r="240" spans="1:22" x14ac:dyDescent="0.55000000000000004">
      <c r="A240" t="s">
        <v>241</v>
      </c>
      <c r="B240">
        <v>41.261059589711188</v>
      </c>
      <c r="C240">
        <v>6.0699999999625831E-2</v>
      </c>
      <c r="E240">
        <v>74.354774069626529</v>
      </c>
      <c r="F240">
        <v>0.10089999999953214</v>
      </c>
      <c r="H240">
        <v>49.886476008691346</v>
      </c>
      <c r="I240">
        <v>9.8799999999537036E-2</v>
      </c>
      <c r="T240">
        <v>6.0699999999625831E-2</v>
      </c>
      <c r="U240">
        <v>0.10089999999953214</v>
      </c>
      <c r="V240">
        <v>9.8799999999537036E-2</v>
      </c>
    </row>
    <row r="241" spans="1:22" x14ac:dyDescent="0.55000000000000004">
      <c r="A241" t="s">
        <v>242</v>
      </c>
      <c r="B241">
        <v>43.656037681527017</v>
      </c>
      <c r="C241">
        <v>7.6299999999589474E-2</v>
      </c>
      <c r="E241">
        <v>59.714678925948633</v>
      </c>
      <c r="F241">
        <v>0.11189999999950651</v>
      </c>
      <c r="H241">
        <v>36.088374455320931</v>
      </c>
      <c r="I241">
        <v>0.11079999999950907</v>
      </c>
      <c r="T241">
        <v>7.6299999999589474E-2</v>
      </c>
      <c r="U241">
        <v>0.11189999999950651</v>
      </c>
      <c r="V241">
        <v>0.11079999999950907</v>
      </c>
    </row>
    <row r="242" spans="1:22" x14ac:dyDescent="0.55000000000000004">
      <c r="A242" t="s">
        <v>243</v>
      </c>
      <c r="B242">
        <v>49.907303866967602</v>
      </c>
      <c r="C242">
        <v>5.2499999999644942E-2</v>
      </c>
      <c r="E242">
        <v>52.53942903822027</v>
      </c>
      <c r="F242">
        <v>0.11929999999948926</v>
      </c>
      <c r="H242">
        <v>44.131030489046942</v>
      </c>
      <c r="I242">
        <v>0.1112999999995079</v>
      </c>
      <c r="T242">
        <v>5.2499999999644942E-2</v>
      </c>
      <c r="U242">
        <v>0.11929999999948926</v>
      </c>
      <c r="V242">
        <v>0.1112999999995079</v>
      </c>
    </row>
    <row r="243" spans="1:22" x14ac:dyDescent="0.55000000000000004">
      <c r="A243" t="s">
        <v>244</v>
      </c>
      <c r="B243">
        <v>33.841986525260388</v>
      </c>
      <c r="C243">
        <v>8.7499999999563371E-2</v>
      </c>
      <c r="E243">
        <v>38.781849315481885</v>
      </c>
      <c r="F243">
        <v>8.55999999995678E-2</v>
      </c>
      <c r="H243">
        <v>37.53546250945665</v>
      </c>
      <c r="I243">
        <v>9.309999999955032E-2</v>
      </c>
      <c r="T243">
        <v>8.7499999999563371E-2</v>
      </c>
      <c r="U243">
        <v>8.55999999995678E-2</v>
      </c>
      <c r="V243">
        <v>9.309999999955032E-2</v>
      </c>
    </row>
    <row r="244" spans="1:22" x14ac:dyDescent="0.55000000000000004">
      <c r="A244" t="s">
        <v>245</v>
      </c>
      <c r="B244">
        <v>34.554341365121225</v>
      </c>
      <c r="C244">
        <v>8.2299999999575491E-2</v>
      </c>
      <c r="E244">
        <v>61.305315970810383</v>
      </c>
      <c r="F244">
        <v>0.10339999999952632</v>
      </c>
      <c r="H244">
        <v>38.732322920762044</v>
      </c>
      <c r="I244">
        <v>0.10519999999952212</v>
      </c>
      <c r="T244">
        <v>8.2299999999575491E-2</v>
      </c>
      <c r="U244">
        <v>0.10339999999952632</v>
      </c>
      <c r="V244">
        <v>0.10519999999952212</v>
      </c>
    </row>
    <row r="245" spans="1:22" x14ac:dyDescent="0.55000000000000004">
      <c r="A245" t="s">
        <v>246</v>
      </c>
      <c r="B245">
        <v>41.84396733932234</v>
      </c>
      <c r="C245">
        <v>8.2899999999574092E-2</v>
      </c>
      <c r="E245">
        <v>80.252938980834358</v>
      </c>
      <c r="F245">
        <v>0.12029999999948693</v>
      </c>
      <c r="H245">
        <v>51.830628384372112</v>
      </c>
      <c r="I245">
        <v>0.11079999999950907</v>
      </c>
      <c r="T245">
        <v>8.2899999999574092E-2</v>
      </c>
      <c r="U245">
        <v>0.12029999999948693</v>
      </c>
      <c r="V245">
        <v>0.11079999999950907</v>
      </c>
    </row>
    <row r="246" spans="1:22" x14ac:dyDescent="0.55000000000000004">
      <c r="A246" t="s">
        <v>247</v>
      </c>
      <c r="B246">
        <v>35.342828862380138</v>
      </c>
      <c r="C246">
        <v>8.7199999999564071E-2</v>
      </c>
      <c r="E246">
        <v>55.046612767627778</v>
      </c>
      <c r="F246">
        <v>0.10609999999952002</v>
      </c>
      <c r="H246">
        <v>44.863752363861387</v>
      </c>
      <c r="I246">
        <v>0.11879999999949042</v>
      </c>
      <c r="T246">
        <v>8.7199999999564071E-2</v>
      </c>
      <c r="U246">
        <v>0.10609999999952002</v>
      </c>
      <c r="V246">
        <v>0.11879999999949042</v>
      </c>
    </row>
    <row r="247" spans="1:22" x14ac:dyDescent="0.55000000000000004">
      <c r="A247" t="s">
        <v>248</v>
      </c>
      <c r="B247">
        <v>33.221700563976093</v>
      </c>
      <c r="C247">
        <v>8.3500000000003544E-2</v>
      </c>
      <c r="E247">
        <v>59.600807187270782</v>
      </c>
      <c r="F247">
        <v>0.11890000000000456</v>
      </c>
      <c r="H247">
        <v>39.627760210332717</v>
      </c>
      <c r="I247">
        <v>0.11910000000000456</v>
      </c>
      <c r="T247">
        <v>8.3500000000003544E-2</v>
      </c>
      <c r="U247">
        <v>0.11890000000000456</v>
      </c>
      <c r="V247">
        <v>0.11910000000000456</v>
      </c>
    </row>
    <row r="248" spans="1:22" x14ac:dyDescent="0.55000000000000004">
      <c r="A248" t="s">
        <v>249</v>
      </c>
      <c r="B248">
        <v>38.402913215248191</v>
      </c>
      <c r="C248">
        <v>5.9300000000002857E-2</v>
      </c>
      <c r="E248">
        <v>54.080194635814216</v>
      </c>
      <c r="F248">
        <v>9.5100000000003876E-2</v>
      </c>
      <c r="H248">
        <v>42.606359213358246</v>
      </c>
      <c r="I248">
        <v>8.2500000000003515E-2</v>
      </c>
      <c r="T248">
        <v>5.9300000000002857E-2</v>
      </c>
      <c r="U248">
        <v>9.5100000000003876E-2</v>
      </c>
      <c r="V248">
        <v>8.2500000000003515E-2</v>
      </c>
    </row>
    <row r="249" spans="1:22" x14ac:dyDescent="0.55000000000000004">
      <c r="A249" t="s">
        <v>250</v>
      </c>
      <c r="B249">
        <v>42.839185003503928</v>
      </c>
      <c r="C249">
        <v>9.5399999962947069E-2</v>
      </c>
      <c r="E249">
        <v>49.131319822442357</v>
      </c>
      <c r="F249">
        <v>9.0099999962946917E-2</v>
      </c>
      <c r="H249">
        <v>41.836695881982386</v>
      </c>
      <c r="I249">
        <v>8.9699999962946905E-2</v>
      </c>
      <c r="T249">
        <v>9.5399999962947069E-2</v>
      </c>
      <c r="U249">
        <v>9.0099999962946917E-2</v>
      </c>
      <c r="V249">
        <v>8.9699999962946905E-2</v>
      </c>
    </row>
    <row r="250" spans="1:22" x14ac:dyDescent="0.55000000000000004">
      <c r="A250" t="s">
        <v>251</v>
      </c>
      <c r="B250">
        <v>49.242288162920133</v>
      </c>
      <c r="C250">
        <v>7.239999996294641E-2</v>
      </c>
      <c r="E250">
        <v>68.023179230645582</v>
      </c>
      <c r="F250">
        <v>0.12039999996294778</v>
      </c>
      <c r="H250">
        <v>42.921285627263146</v>
      </c>
      <c r="I250">
        <v>0.11679999996294768</v>
      </c>
      <c r="T250">
        <v>7.239999996294641E-2</v>
      </c>
      <c r="U250">
        <v>0.12039999996294778</v>
      </c>
      <c r="V250">
        <v>0.11679999996294768</v>
      </c>
    </row>
    <row r="251" spans="1:22" x14ac:dyDescent="0.55000000000000004">
      <c r="A251" t="s">
        <v>252</v>
      </c>
      <c r="B251">
        <v>49.568853482004826</v>
      </c>
      <c r="C251">
        <v>7.3599999960615864E-2</v>
      </c>
      <c r="E251">
        <v>61.529941811982354</v>
      </c>
      <c r="F251">
        <v>0.12349999996061729</v>
      </c>
      <c r="H251">
        <v>43.501568030567078</v>
      </c>
      <c r="I251">
        <v>0.1270999999606171</v>
      </c>
      <c r="T251">
        <v>7.3599999960615864E-2</v>
      </c>
      <c r="U251">
        <v>0.12349999996061729</v>
      </c>
      <c r="V251">
        <v>0.1270999999606171</v>
      </c>
    </row>
    <row r="252" spans="1:22" x14ac:dyDescent="0.55000000000000004">
      <c r="A252" t="s">
        <v>253</v>
      </c>
      <c r="B252">
        <v>48.083105191701293</v>
      </c>
      <c r="C252">
        <v>8.6999999960616248E-2</v>
      </c>
      <c r="E252">
        <v>48.313014389824644</v>
      </c>
      <c r="F252">
        <v>0.1343999999606163</v>
      </c>
      <c r="H252">
        <v>37.531773877417024</v>
      </c>
      <c r="I252">
        <v>0.12779999996061703</v>
      </c>
      <c r="T252">
        <v>8.6999999960616248E-2</v>
      </c>
      <c r="U252">
        <v>0.1343999999606163</v>
      </c>
      <c r="V252">
        <v>0.12779999996061703</v>
      </c>
    </row>
    <row r="253" spans="1:22" x14ac:dyDescent="0.55000000000000004">
      <c r="A253" t="s">
        <v>254</v>
      </c>
      <c r="B253">
        <v>36.984055316250085</v>
      </c>
      <c r="C253">
        <v>7.9799999960616042E-2</v>
      </c>
      <c r="E253">
        <v>41.371171613690457</v>
      </c>
      <c r="F253">
        <v>0.13329999996061642</v>
      </c>
      <c r="H253">
        <v>30.061566055867051</v>
      </c>
      <c r="I253">
        <v>9.5999999960616506E-2</v>
      </c>
      <c r="T253">
        <v>7.9799999960616042E-2</v>
      </c>
      <c r="U253">
        <v>0.13329999996061642</v>
      </c>
      <c r="V253">
        <v>9.5999999960616506E-2</v>
      </c>
    </row>
    <row r="254" spans="1:22" x14ac:dyDescent="0.55000000000000004">
      <c r="A254" t="s">
        <v>255</v>
      </c>
      <c r="B254">
        <v>47.525954345009275</v>
      </c>
      <c r="C254">
        <v>0.12129999996061723</v>
      </c>
      <c r="E254">
        <v>47.605451827677825</v>
      </c>
      <c r="F254">
        <v>0.10099999996061665</v>
      </c>
      <c r="H254">
        <v>35.909955615288936</v>
      </c>
      <c r="I254">
        <v>0.11229999996061697</v>
      </c>
      <c r="T254">
        <v>0.12129999996061723</v>
      </c>
      <c r="U254">
        <v>0.10099999996061665</v>
      </c>
      <c r="V254">
        <v>0.11229999996061697</v>
      </c>
    </row>
    <row r="255" spans="1:22" x14ac:dyDescent="0.55000000000000004">
      <c r="A255" t="s">
        <v>256</v>
      </c>
      <c r="B255">
        <v>44.004017986448154</v>
      </c>
      <c r="C255">
        <v>8.2599999960616122E-2</v>
      </c>
      <c r="E255">
        <v>50.339302779990561</v>
      </c>
      <c r="F255">
        <v>0.11599999996061708</v>
      </c>
      <c r="H255">
        <v>42.568718226054237</v>
      </c>
      <c r="I255">
        <v>0.11079999996061693</v>
      </c>
      <c r="T255">
        <v>8.2599999960616122E-2</v>
      </c>
      <c r="U255">
        <v>0.11599999996061708</v>
      </c>
      <c r="V255">
        <v>0.11079999996061693</v>
      </c>
    </row>
    <row r="256" spans="1:22" x14ac:dyDescent="0.55000000000000004">
      <c r="A256" t="s">
        <v>257</v>
      </c>
      <c r="B256">
        <v>39.232500223017063</v>
      </c>
      <c r="C256">
        <v>9.1499999960616377E-2</v>
      </c>
      <c r="E256">
        <v>37.250141357772058</v>
      </c>
      <c r="F256">
        <v>0.10029999996061663</v>
      </c>
      <c r="H256">
        <v>34.264922971685557</v>
      </c>
      <c r="I256">
        <v>8.9799999960616328E-2</v>
      </c>
      <c r="T256">
        <v>9.1499999960616377E-2</v>
      </c>
      <c r="U256">
        <v>0.10029999996061663</v>
      </c>
      <c r="V256">
        <v>8.9799999960616328E-2</v>
      </c>
    </row>
    <row r="257" spans="1:22" x14ac:dyDescent="0.55000000000000004">
      <c r="A257" t="s">
        <v>258</v>
      </c>
      <c r="B257">
        <v>41.359575909734133</v>
      </c>
      <c r="C257">
        <v>6.8799999960615726E-2</v>
      </c>
      <c r="E257">
        <v>50.929104954634859</v>
      </c>
      <c r="F257">
        <v>9.5599999960616494E-2</v>
      </c>
      <c r="H257">
        <v>41.522727716166735</v>
      </c>
      <c r="I257">
        <v>0.10949999996061689</v>
      </c>
      <c r="T257">
        <v>6.8799999960615726E-2</v>
      </c>
      <c r="U257">
        <v>9.5599999960616494E-2</v>
      </c>
      <c r="V257">
        <v>0.10949999996061689</v>
      </c>
    </row>
    <row r="258" spans="1:22" x14ac:dyDescent="0.55000000000000004">
      <c r="A258" t="s">
        <v>259</v>
      </c>
      <c r="B258">
        <v>37.245527073020497</v>
      </c>
      <c r="C258">
        <v>9.0199999960616339E-2</v>
      </c>
      <c r="E258">
        <v>43.95987779993964</v>
      </c>
      <c r="F258">
        <v>0.10169999996061667</v>
      </c>
      <c r="H258">
        <v>43.155290115071907</v>
      </c>
      <c r="I258">
        <v>9.7699999960616554E-2</v>
      </c>
      <c r="T258">
        <v>9.0199999960616339E-2</v>
      </c>
      <c r="U258">
        <v>0.10169999996061667</v>
      </c>
      <c r="V258">
        <v>9.7699999960616554E-2</v>
      </c>
    </row>
    <row r="259" spans="1:22" x14ac:dyDescent="0.55000000000000004">
      <c r="A259" t="s">
        <v>260</v>
      </c>
      <c r="B259">
        <v>33.326847298216599</v>
      </c>
      <c r="C259">
        <v>6.2799999960615555E-2</v>
      </c>
      <c r="E259">
        <v>48.626101990893076</v>
      </c>
      <c r="F259">
        <v>8.3099999960616136E-2</v>
      </c>
      <c r="H259">
        <v>40.445214817375856</v>
      </c>
      <c r="I259">
        <v>8.6999999960616248E-2</v>
      </c>
      <c r="T259">
        <v>6.2799999960615555E-2</v>
      </c>
      <c r="U259">
        <v>8.3099999960616136E-2</v>
      </c>
      <c r="V259">
        <v>8.6999999960616248E-2</v>
      </c>
    </row>
    <row r="260" spans="1:22" x14ac:dyDescent="0.55000000000000004">
      <c r="A260" t="s">
        <v>261</v>
      </c>
      <c r="B260">
        <v>31.484358926337638</v>
      </c>
      <c r="C260">
        <v>9.0799999960616357E-2</v>
      </c>
      <c r="E260">
        <v>66.644893655456357</v>
      </c>
      <c r="F260">
        <v>0.11249999996061698</v>
      </c>
      <c r="H260">
        <v>40.566004553709575</v>
      </c>
      <c r="I260">
        <v>0.11089999996061693</v>
      </c>
      <c r="T260">
        <v>9.0799999960616357E-2</v>
      </c>
      <c r="U260">
        <v>0.11249999996061698</v>
      </c>
      <c r="V260">
        <v>0.11089999996061693</v>
      </c>
    </row>
    <row r="261" spans="1:22" x14ac:dyDescent="0.55000000000000004">
      <c r="A261" t="s">
        <v>262</v>
      </c>
      <c r="B261">
        <v>43.17396748004699</v>
      </c>
      <c r="C261">
        <v>6.8599999960615721E-2</v>
      </c>
      <c r="E261">
        <v>80.39472464157457</v>
      </c>
      <c r="F261">
        <v>0.11999999996061719</v>
      </c>
      <c r="H261">
        <v>44.603857087555689</v>
      </c>
      <c r="I261">
        <v>0.1252999999606173</v>
      </c>
      <c r="T261">
        <v>6.8599999960615721E-2</v>
      </c>
      <c r="U261">
        <v>0.11999999996061719</v>
      </c>
      <c r="V261">
        <v>0.1252999999606173</v>
      </c>
    </row>
    <row r="262" spans="1:22" x14ac:dyDescent="0.55000000000000004">
      <c r="A262" t="s">
        <v>263</v>
      </c>
      <c r="B262">
        <v>61.326152981968626</v>
      </c>
      <c r="C262">
        <v>8.1699999960616096E-2</v>
      </c>
      <c r="E262">
        <v>48.956552394622264</v>
      </c>
      <c r="F262">
        <v>0.10369999996061673</v>
      </c>
      <c r="H262">
        <v>43.746890885113153</v>
      </c>
      <c r="I262">
        <v>0.10609999996061679</v>
      </c>
      <c r="T262">
        <v>8.1699999960616096E-2</v>
      </c>
      <c r="U262">
        <v>0.10369999996061673</v>
      </c>
      <c r="V262">
        <v>0.10609999996061679</v>
      </c>
    </row>
    <row r="263" spans="1:22" x14ac:dyDescent="0.55000000000000004">
      <c r="A263" t="s">
        <v>264</v>
      </c>
      <c r="B263">
        <v>29.085754171630374</v>
      </c>
      <c r="C263">
        <v>9.5399999960616488E-2</v>
      </c>
      <c r="E263">
        <v>51.892794308067451</v>
      </c>
      <c r="F263">
        <v>9.9599999960616609E-2</v>
      </c>
      <c r="H263">
        <v>33.146228612475362</v>
      </c>
      <c r="I263">
        <v>0.10519999996061677</v>
      </c>
      <c r="T263">
        <v>9.5399999960616488E-2</v>
      </c>
      <c r="U263">
        <v>9.9599999960616609E-2</v>
      </c>
      <c r="V263">
        <v>0.10519999996061677</v>
      </c>
    </row>
    <row r="264" spans="1:22" x14ac:dyDescent="0.55000000000000004">
      <c r="A264" t="s">
        <v>265</v>
      </c>
      <c r="B264">
        <v>43.980689527433128</v>
      </c>
      <c r="C264">
        <v>7.7499999962946556E-2</v>
      </c>
      <c r="E264">
        <v>55.467659885963307</v>
      </c>
      <c r="F264">
        <v>0.10629999996294738</v>
      </c>
      <c r="H264">
        <v>44.416524840458003</v>
      </c>
      <c r="I264">
        <v>0.10179999996294725</v>
      </c>
      <c r="T264">
        <v>7.7499999962946556E-2</v>
      </c>
      <c r="U264">
        <v>0.10629999996294738</v>
      </c>
      <c r="V264">
        <v>0.10179999996294725</v>
      </c>
    </row>
    <row r="265" spans="1:22" x14ac:dyDescent="0.55000000000000004">
      <c r="A265" t="s">
        <v>266</v>
      </c>
      <c r="B265">
        <v>40.796479013772412</v>
      </c>
      <c r="C265">
        <v>8.3899999962946739E-2</v>
      </c>
      <c r="E265">
        <v>47.108715915642463</v>
      </c>
      <c r="F265">
        <v>0.1359999999629467</v>
      </c>
      <c r="H265">
        <v>42.935815012270297</v>
      </c>
      <c r="I265">
        <v>0.10999999996294749</v>
      </c>
      <c r="T265">
        <v>8.3899999962946739E-2</v>
      </c>
      <c r="U265">
        <v>0.1359999999629467</v>
      </c>
      <c r="V265">
        <v>0.10999999996294749</v>
      </c>
    </row>
    <row r="266" spans="1:22" x14ac:dyDescent="0.55000000000000004">
      <c r="A266" t="s">
        <v>267</v>
      </c>
      <c r="B266">
        <v>50.020971511686973</v>
      </c>
      <c r="C266">
        <v>9.0499999962946928E-2</v>
      </c>
      <c r="E266">
        <v>51.282392003499396</v>
      </c>
      <c r="F266">
        <v>9.4199999962947034E-2</v>
      </c>
      <c r="H266">
        <v>48.246572745163284</v>
      </c>
      <c r="I266">
        <v>9.5899999962947083E-2</v>
      </c>
      <c r="T266">
        <v>9.0499999962946928E-2</v>
      </c>
      <c r="U266">
        <v>9.4199999962947034E-2</v>
      </c>
      <c r="V266">
        <v>9.5899999962947083E-2</v>
      </c>
    </row>
    <row r="267" spans="1:22" x14ac:dyDescent="0.55000000000000004">
      <c r="A267" t="s">
        <v>268</v>
      </c>
      <c r="B267">
        <v>36.343789440363054</v>
      </c>
      <c r="C267">
        <v>7.2199999962946404E-2</v>
      </c>
      <c r="E267">
        <v>53.386303777214614</v>
      </c>
      <c r="F267">
        <v>0.10849999996294744</v>
      </c>
      <c r="H267">
        <v>40.475868514559735</v>
      </c>
      <c r="I267">
        <v>0.1102999999629475</v>
      </c>
      <c r="T267">
        <v>7.2199999962946404E-2</v>
      </c>
      <c r="U267">
        <v>0.10849999996294744</v>
      </c>
      <c r="V267">
        <v>0.1102999999629475</v>
      </c>
    </row>
    <row r="268" spans="1:22" x14ac:dyDescent="0.55000000000000004">
      <c r="A268" t="s">
        <v>269</v>
      </c>
      <c r="B268">
        <v>42.38670549873428</v>
      </c>
      <c r="C268">
        <v>7.589999996294651E-2</v>
      </c>
      <c r="E268">
        <v>48.289399212182346</v>
      </c>
      <c r="F268">
        <v>0.1070999999629474</v>
      </c>
      <c r="H268">
        <v>42.946251237722393</v>
      </c>
      <c r="I268">
        <v>0.11619999996294766</v>
      </c>
      <c r="T268">
        <v>7.589999996294651E-2</v>
      </c>
      <c r="U268">
        <v>0.1070999999629474</v>
      </c>
      <c r="V268">
        <v>0.11619999996294766</v>
      </c>
    </row>
    <row r="269" spans="1:22" x14ac:dyDescent="0.55000000000000004">
      <c r="A269" t="s">
        <v>270</v>
      </c>
      <c r="B269">
        <v>35.492994958420034</v>
      </c>
      <c r="C269">
        <v>0.10579999996294737</v>
      </c>
      <c r="E269">
        <v>46.073987823763296</v>
      </c>
      <c r="F269">
        <v>0.10029999996294721</v>
      </c>
      <c r="H269">
        <v>33.859690511573369</v>
      </c>
      <c r="I269">
        <v>0.12669999996294773</v>
      </c>
      <c r="T269">
        <v>0.10579999996294737</v>
      </c>
      <c r="U269">
        <v>0.10029999996294721</v>
      </c>
      <c r="V269">
        <v>0.12669999996294773</v>
      </c>
    </row>
    <row r="270" spans="1:22" x14ac:dyDescent="0.55000000000000004">
      <c r="A270" t="s">
        <v>271</v>
      </c>
      <c r="B270">
        <v>31.019674730537545</v>
      </c>
      <c r="C270">
        <v>6.5199999962946203E-2</v>
      </c>
      <c r="E270">
        <v>47.562604836395501</v>
      </c>
      <c r="F270">
        <v>8.9799999962946908E-2</v>
      </c>
      <c r="H270">
        <v>35.701375388170696</v>
      </c>
      <c r="I270">
        <v>8.9799999962946908E-2</v>
      </c>
      <c r="T270">
        <v>6.5199999962946203E-2</v>
      </c>
      <c r="U270">
        <v>8.9799999962946908E-2</v>
      </c>
      <c r="V270">
        <v>8.9799999962946908E-2</v>
      </c>
    </row>
    <row r="271" spans="1:22" x14ac:dyDescent="0.55000000000000004">
      <c r="A271" t="s">
        <v>272</v>
      </c>
      <c r="B271">
        <v>30.198812125381512</v>
      </c>
      <c r="C271">
        <v>8.5899999962946796E-2</v>
      </c>
      <c r="E271">
        <v>38.401944720274081</v>
      </c>
      <c r="F271">
        <v>0.11539999996294764</v>
      </c>
      <c r="H271">
        <v>32.439606200414715</v>
      </c>
      <c r="I271">
        <v>0.1172999999629477</v>
      </c>
      <c r="T271">
        <v>8.5899999962946796E-2</v>
      </c>
      <c r="U271">
        <v>0.11539999996294764</v>
      </c>
      <c r="V271">
        <v>0.1172999999629477</v>
      </c>
    </row>
    <row r="272" spans="1:22" x14ac:dyDescent="0.55000000000000004">
      <c r="A272" t="s">
        <v>273</v>
      </c>
      <c r="B272">
        <v>37.807745630653805</v>
      </c>
      <c r="C272">
        <v>9.229999996294698E-2</v>
      </c>
      <c r="E272">
        <v>52.782343508636693</v>
      </c>
      <c r="F272">
        <v>0.10639999996294738</v>
      </c>
      <c r="H272">
        <v>40.437771303486755</v>
      </c>
      <c r="I272">
        <v>0.11149999996294753</v>
      </c>
      <c r="T272">
        <v>9.229999996294698E-2</v>
      </c>
      <c r="U272">
        <v>0.10639999996294738</v>
      </c>
      <c r="V272">
        <v>0.11149999996294753</v>
      </c>
    </row>
    <row r="273" spans="1:25" x14ac:dyDescent="0.55000000000000004">
      <c r="A273" t="s">
        <v>274</v>
      </c>
      <c r="B273">
        <v>39.630569310933566</v>
      </c>
      <c r="C273">
        <v>6.8799999962946307E-2</v>
      </c>
      <c r="E273">
        <v>51.097337269673496</v>
      </c>
      <c r="F273">
        <v>9.7499999962947129E-2</v>
      </c>
      <c r="H273">
        <v>38.616103389473032</v>
      </c>
      <c r="I273">
        <v>0.1069999999629474</v>
      </c>
      <c r="K273">
        <v>77.031871962405503</v>
      </c>
      <c r="L273">
        <v>0.10719999996294741</v>
      </c>
      <c r="N273">
        <v>55.449707475761151</v>
      </c>
      <c r="O273">
        <v>8.9799999962946908E-2</v>
      </c>
      <c r="Q273">
        <v>65.220046097036416</v>
      </c>
      <c r="R273">
        <v>8.3199999962946719E-2</v>
      </c>
      <c r="T273">
        <v>6.8799999962946307E-2</v>
      </c>
      <c r="U273">
        <v>9.7499999962947129E-2</v>
      </c>
      <c r="V273">
        <v>0.1069999999629474</v>
      </c>
      <c r="W273">
        <v>0.10719999996294741</v>
      </c>
      <c r="X273">
        <v>8.9799999962946908E-2</v>
      </c>
      <c r="Y273">
        <v>8.3199999962946719E-2</v>
      </c>
    </row>
    <row r="274" spans="1:25" x14ac:dyDescent="0.55000000000000004">
      <c r="A274" t="s">
        <v>275</v>
      </c>
      <c r="B274">
        <v>32.569267436720381</v>
      </c>
      <c r="C274">
        <v>6.7499999962946269E-2</v>
      </c>
      <c r="E274">
        <v>43.657471123524317</v>
      </c>
      <c r="F274">
        <v>9.7499999962947129E-2</v>
      </c>
      <c r="H274">
        <v>37.626391021958931</v>
      </c>
      <c r="I274">
        <v>0.10119999996294723</v>
      </c>
      <c r="K274">
        <v>91.863319779342717</v>
      </c>
      <c r="L274">
        <v>0.11009999996294749</v>
      </c>
      <c r="N274">
        <v>53.277298483206842</v>
      </c>
      <c r="O274">
        <v>8.7399999962946839E-2</v>
      </c>
      <c r="Q274">
        <v>57.702194529704101</v>
      </c>
      <c r="R274">
        <v>8.7499999962946842E-2</v>
      </c>
      <c r="T274">
        <v>6.7499999962946269E-2</v>
      </c>
      <c r="U274">
        <v>9.7499999962947129E-2</v>
      </c>
      <c r="V274">
        <v>0.10119999996294723</v>
      </c>
      <c r="W274">
        <v>0.11009999996294749</v>
      </c>
      <c r="X274">
        <v>8.7399999962946839E-2</v>
      </c>
      <c r="Y274">
        <v>8.7499999962946842E-2</v>
      </c>
    </row>
    <row r="275" spans="1:25" x14ac:dyDescent="0.55000000000000004">
      <c r="A275" t="s">
        <v>276</v>
      </c>
      <c r="B275">
        <v>46.092086420174674</v>
      </c>
      <c r="C275">
        <v>7.1100000000002828E-2</v>
      </c>
      <c r="E275">
        <v>54.370176176814709</v>
      </c>
      <c r="F275">
        <v>0.10090000000000368</v>
      </c>
      <c r="H275">
        <v>48.23952018565668</v>
      </c>
      <c r="I275">
        <v>0.10190000000000371</v>
      </c>
      <c r="K275">
        <v>70.61746530958294</v>
      </c>
      <c r="L275">
        <v>0.11310000000000403</v>
      </c>
      <c r="N275">
        <v>56.598342963341864</v>
      </c>
      <c r="O275">
        <v>0.10620000000000383</v>
      </c>
      <c r="Q275">
        <v>52.40948727966186</v>
      </c>
      <c r="R275">
        <v>9.8500000000003612E-2</v>
      </c>
      <c r="T275">
        <v>7.1100000000002828E-2</v>
      </c>
      <c r="U275">
        <v>0.10090000000000368</v>
      </c>
      <c r="V275">
        <v>0.10190000000000371</v>
      </c>
      <c r="W275">
        <v>0.11310000000000403</v>
      </c>
      <c r="X275">
        <v>0.10620000000000383</v>
      </c>
      <c r="Y275">
        <v>9.8500000000003612E-2</v>
      </c>
    </row>
    <row r="276" spans="1:25" x14ac:dyDescent="0.55000000000000004">
      <c r="A276" t="s">
        <v>277</v>
      </c>
      <c r="B276">
        <v>27.998060630667581</v>
      </c>
      <c r="C276">
        <v>9.1499999962946957E-2</v>
      </c>
      <c r="E276">
        <v>49.955233209342012</v>
      </c>
      <c r="F276">
        <v>0.10249999996294727</v>
      </c>
      <c r="H276">
        <v>35.931449485817765</v>
      </c>
      <c r="I276">
        <v>0.10779999996294742</v>
      </c>
      <c r="T276">
        <v>9.1499999962946957E-2</v>
      </c>
      <c r="U276">
        <v>0.10249999996294727</v>
      </c>
      <c r="V276">
        <v>0.10779999996294742</v>
      </c>
    </row>
    <row r="277" spans="1:25" x14ac:dyDescent="0.55000000000000004">
      <c r="A277" t="s">
        <v>278</v>
      </c>
      <c r="B277">
        <v>74.648794215863049</v>
      </c>
      <c r="C277">
        <v>6.8599999962946301E-2</v>
      </c>
      <c r="E277">
        <v>49.077735772615696</v>
      </c>
      <c r="F277">
        <v>0.11199999996294754</v>
      </c>
      <c r="H277">
        <v>38.077324293491607</v>
      </c>
      <c r="I277">
        <v>0.12189999996294783</v>
      </c>
      <c r="K277">
        <v>97.652281917249582</v>
      </c>
      <c r="L277">
        <v>0.11229999996294755</v>
      </c>
      <c r="N277">
        <v>62.263841621359717</v>
      </c>
      <c r="O277">
        <v>8.8899999962946882E-2</v>
      </c>
      <c r="Q277">
        <v>85.27287055563373</v>
      </c>
      <c r="R277">
        <v>8.7699999962946848E-2</v>
      </c>
      <c r="T277">
        <v>6.8599999962946301E-2</v>
      </c>
      <c r="U277">
        <v>0.11199999996294754</v>
      </c>
      <c r="V277">
        <v>0.12189999996294783</v>
      </c>
      <c r="W277">
        <v>0.11229999996294755</v>
      </c>
      <c r="X277">
        <v>8.8899999962946882E-2</v>
      </c>
      <c r="Y277">
        <v>8.7699999962946848E-2</v>
      </c>
    </row>
    <row r="278" spans="1:25" x14ac:dyDescent="0.55000000000000004">
      <c r="A278" t="s">
        <v>279</v>
      </c>
      <c r="B278">
        <v>43.51681399888318</v>
      </c>
      <c r="C278">
        <v>6.6699999962946246E-2</v>
      </c>
      <c r="E278">
        <v>49.846052650480743</v>
      </c>
      <c r="F278">
        <v>0.10159999996294725</v>
      </c>
      <c r="H278">
        <v>40.086303141390793</v>
      </c>
      <c r="I278">
        <v>0.10889999996294746</v>
      </c>
      <c r="K278">
        <v>57.0189546915093</v>
      </c>
      <c r="L278">
        <v>0.20749999996293883</v>
      </c>
      <c r="N278">
        <v>42.626885955479608</v>
      </c>
      <c r="O278">
        <v>0.10409999996294732</v>
      </c>
      <c r="Q278">
        <v>41.59360773569982</v>
      </c>
      <c r="R278">
        <v>8.8099999962946859E-2</v>
      </c>
      <c r="T278">
        <v>6.6699999962946246E-2</v>
      </c>
      <c r="U278">
        <v>0.10159999996294725</v>
      </c>
      <c r="V278">
        <v>0.10889999996294746</v>
      </c>
      <c r="W278">
        <v>0.20749999996293883</v>
      </c>
      <c r="X278">
        <v>0.10409999996294732</v>
      </c>
      <c r="Y278">
        <v>8.8099999962946859E-2</v>
      </c>
    </row>
    <row r="279" spans="1:25" x14ac:dyDescent="0.55000000000000004">
      <c r="A279" t="s">
        <v>280</v>
      </c>
      <c r="B279">
        <v>41.285092830448882</v>
      </c>
      <c r="C279">
        <v>7.5700000000002959E-2</v>
      </c>
      <c r="E279">
        <v>37.661597158887403</v>
      </c>
      <c r="F279">
        <v>0.10230000000000372</v>
      </c>
      <c r="H279">
        <v>37.859961569364216</v>
      </c>
      <c r="I279">
        <v>0.1051000000000038</v>
      </c>
      <c r="K279">
        <v>70.587106773008045</v>
      </c>
      <c r="L279">
        <v>0.11030000000000395</v>
      </c>
      <c r="N279">
        <v>46.08196612201904</v>
      </c>
      <c r="O279">
        <v>9.4000000000003484E-2</v>
      </c>
      <c r="Q279">
        <v>48.094069995456401</v>
      </c>
      <c r="R279">
        <v>9.1900000000003423E-2</v>
      </c>
      <c r="T279">
        <v>7.5700000000002959E-2</v>
      </c>
      <c r="U279">
        <v>0.10230000000000372</v>
      </c>
      <c r="V279">
        <v>0.1051000000000038</v>
      </c>
      <c r="W279">
        <v>0.11030000000000395</v>
      </c>
      <c r="X279">
        <v>9.4000000000003484E-2</v>
      </c>
      <c r="Y279">
        <v>9.1900000000003423E-2</v>
      </c>
    </row>
    <row r="280" spans="1:25" x14ac:dyDescent="0.55000000000000004">
      <c r="A280" t="s">
        <v>281</v>
      </c>
      <c r="B280">
        <v>106.46199976286061</v>
      </c>
      <c r="C280">
        <v>7.2699999962946418E-2</v>
      </c>
      <c r="E280">
        <v>60.342098897566636</v>
      </c>
      <c r="F280">
        <v>0.11899999996294774</v>
      </c>
      <c r="H280">
        <v>46.370792576963588</v>
      </c>
      <c r="I280">
        <v>0.1103999999629475</v>
      </c>
      <c r="K280">
        <v>61.692015865912374</v>
      </c>
      <c r="L280">
        <v>0.11789999996294771</v>
      </c>
      <c r="N280">
        <v>42.149924013869665</v>
      </c>
      <c r="O280">
        <v>0.1033999999629473</v>
      </c>
      <c r="Q280">
        <v>44.99695581150776</v>
      </c>
      <c r="R280">
        <v>0.10199999996294726</v>
      </c>
      <c r="T280">
        <v>7.2699999962946418E-2</v>
      </c>
      <c r="U280">
        <v>0.11899999996294774</v>
      </c>
      <c r="V280">
        <v>0.1103999999629475</v>
      </c>
      <c r="W280">
        <v>0.11789999996294771</v>
      </c>
      <c r="X280">
        <v>0.1033999999629473</v>
      </c>
      <c r="Y280">
        <v>0.10199999996294726</v>
      </c>
    </row>
    <row r="281" spans="1:25" x14ac:dyDescent="0.55000000000000004">
      <c r="A281" t="s">
        <v>282</v>
      </c>
      <c r="B281">
        <v>50.473662857938351</v>
      </c>
      <c r="C281">
        <v>9.3300000000003463E-2</v>
      </c>
      <c r="E281">
        <v>53.411445868727725</v>
      </c>
      <c r="F281">
        <v>0.11430000000000407</v>
      </c>
      <c r="H281">
        <v>38.214875119440642</v>
      </c>
      <c r="I281">
        <v>0.1014000000000037</v>
      </c>
      <c r="K281">
        <v>79.36443471161148</v>
      </c>
      <c r="L281">
        <v>0.11400000000000406</v>
      </c>
      <c r="N281">
        <v>45.841772527650605</v>
      </c>
      <c r="O281">
        <v>8.2900000000003166E-2</v>
      </c>
      <c r="Q281">
        <v>59.193457052156077</v>
      </c>
      <c r="R281">
        <v>8.9900000000003366E-2</v>
      </c>
      <c r="T281">
        <v>9.3300000000003463E-2</v>
      </c>
      <c r="U281">
        <v>0.11430000000000407</v>
      </c>
      <c r="V281">
        <v>0.1014000000000037</v>
      </c>
      <c r="W281">
        <v>0.11400000000000406</v>
      </c>
      <c r="X281">
        <v>8.2900000000003166E-2</v>
      </c>
      <c r="Y281">
        <v>8.9900000000003366E-2</v>
      </c>
    </row>
    <row r="282" spans="1:25" x14ac:dyDescent="0.55000000000000004">
      <c r="A282" t="s">
        <v>283</v>
      </c>
      <c r="B282">
        <v>46.697529856819443</v>
      </c>
      <c r="C282">
        <v>7.780000000000302E-2</v>
      </c>
      <c r="E282">
        <v>47.260016395090958</v>
      </c>
      <c r="F282">
        <v>9.3300000000003463E-2</v>
      </c>
      <c r="H282">
        <v>40.735519378109842</v>
      </c>
      <c r="I282">
        <v>0.10920000000000392</v>
      </c>
      <c r="K282">
        <v>75.014126693740849</v>
      </c>
      <c r="L282">
        <v>0.1155000000000041</v>
      </c>
      <c r="N282">
        <v>46.406057096328723</v>
      </c>
      <c r="O282">
        <v>8.6800000000003277E-2</v>
      </c>
      <c r="Q282">
        <v>51.557905757461384</v>
      </c>
      <c r="R282">
        <v>8.2800000000003163E-2</v>
      </c>
      <c r="T282">
        <v>7.780000000000302E-2</v>
      </c>
      <c r="U282">
        <v>9.3300000000003463E-2</v>
      </c>
      <c r="V282">
        <v>0.10920000000000392</v>
      </c>
      <c r="W282">
        <v>0.1155000000000041</v>
      </c>
      <c r="X282">
        <v>8.6800000000003277E-2</v>
      </c>
      <c r="Y282">
        <v>8.2800000000003163E-2</v>
      </c>
    </row>
    <row r="283" spans="1:25" x14ac:dyDescent="0.55000000000000004">
      <c r="A283" t="s">
        <v>284</v>
      </c>
      <c r="B283">
        <v>45.602122877387345</v>
      </c>
      <c r="C283">
        <v>7.0000000000002796E-2</v>
      </c>
      <c r="E283">
        <v>45.334015651411576</v>
      </c>
      <c r="F283">
        <v>0.11090000000000397</v>
      </c>
      <c r="H283">
        <v>49.803835722864626</v>
      </c>
      <c r="I283">
        <v>0.10550000000000381</v>
      </c>
      <c r="K283">
        <v>55.364810439477488</v>
      </c>
      <c r="L283">
        <v>0.11530000000000409</v>
      </c>
      <c r="N283">
        <v>34.320271386515742</v>
      </c>
      <c r="O283">
        <v>0.10910000000000392</v>
      </c>
      <c r="Q283">
        <v>67.891071209508169</v>
      </c>
      <c r="R283">
        <v>9.4900000000003509E-2</v>
      </c>
      <c r="T283">
        <v>7.0000000000002796E-2</v>
      </c>
      <c r="U283">
        <v>0.11090000000000397</v>
      </c>
      <c r="V283">
        <v>0.10550000000000381</v>
      </c>
      <c r="W283">
        <v>0.11530000000000409</v>
      </c>
      <c r="X283">
        <v>0.10910000000000392</v>
      </c>
      <c r="Y283">
        <v>9.4900000000003509E-2</v>
      </c>
    </row>
    <row r="284" spans="1:25" x14ac:dyDescent="0.55000000000000004">
      <c r="A284" t="s">
        <v>285</v>
      </c>
      <c r="B284">
        <v>69.761114777828951</v>
      </c>
      <c r="C284">
        <v>5.4100000000002348E-2</v>
      </c>
      <c r="E284">
        <v>44.751540253174781</v>
      </c>
      <c r="F284">
        <v>9.8300000000003607E-2</v>
      </c>
      <c r="H284">
        <v>40.146996722579097</v>
      </c>
      <c r="I284">
        <v>0.1017000000000037</v>
      </c>
      <c r="K284">
        <v>105.02418280017605</v>
      </c>
      <c r="L284">
        <v>0.10730000000000386</v>
      </c>
      <c r="N284">
        <v>62.830810360528318</v>
      </c>
      <c r="O284">
        <v>8.6500000000003269E-2</v>
      </c>
      <c r="Q284">
        <v>69.628419513705467</v>
      </c>
      <c r="R284">
        <v>8.9800000000003363E-2</v>
      </c>
      <c r="T284">
        <v>5.4100000000002348E-2</v>
      </c>
      <c r="U284">
        <v>9.8300000000003607E-2</v>
      </c>
      <c r="V284">
        <v>0.1017000000000037</v>
      </c>
      <c r="W284">
        <v>0.10730000000000386</v>
      </c>
      <c r="X284">
        <v>8.6500000000003269E-2</v>
      </c>
      <c r="Y284">
        <v>8.9800000000003363E-2</v>
      </c>
    </row>
    <row r="285" spans="1:25" x14ac:dyDescent="0.55000000000000004">
      <c r="A285" t="s">
        <v>286</v>
      </c>
      <c r="B285">
        <v>92.048147374731656</v>
      </c>
      <c r="C285">
        <v>7.5400000000002951E-2</v>
      </c>
      <c r="E285">
        <v>60.858678353106647</v>
      </c>
      <c r="F285">
        <v>0.1014000000000037</v>
      </c>
      <c r="H285">
        <v>50.507259824259819</v>
      </c>
      <c r="I285">
        <v>0.1052000000000038</v>
      </c>
      <c r="K285">
        <v>82.617401883001122</v>
      </c>
      <c r="L285">
        <v>0.10330000000000375</v>
      </c>
      <c r="N285">
        <v>54.259146730188519</v>
      </c>
      <c r="O285">
        <v>9.0100000000003372E-2</v>
      </c>
      <c r="Q285">
        <v>64.169540585665672</v>
      </c>
      <c r="R285">
        <v>8.5100000000003229E-2</v>
      </c>
      <c r="T285">
        <v>7.5400000000002951E-2</v>
      </c>
      <c r="U285">
        <v>0.1014000000000037</v>
      </c>
      <c r="V285">
        <v>0.1052000000000038</v>
      </c>
      <c r="W285">
        <v>0.10330000000000375</v>
      </c>
      <c r="X285">
        <v>9.0100000000003372E-2</v>
      </c>
      <c r="Y285">
        <v>8.5100000000003229E-2</v>
      </c>
    </row>
    <row r="286" spans="1:25" x14ac:dyDescent="0.55000000000000004">
      <c r="A286" t="s">
        <v>287</v>
      </c>
      <c r="B286">
        <v>47.406119608900752</v>
      </c>
      <c r="C286">
        <v>5.4899999962945915E-2</v>
      </c>
      <c r="E286">
        <v>54.431894372840212</v>
      </c>
      <c r="F286">
        <v>8.7399999962946839E-2</v>
      </c>
      <c r="H286">
        <v>39.586092744338352</v>
      </c>
      <c r="I286">
        <v>0.11009999996294749</v>
      </c>
      <c r="K286">
        <v>124.63874892875917</v>
      </c>
      <c r="L286">
        <v>0.17039999996294292</v>
      </c>
      <c r="N286">
        <v>49.70405702586617</v>
      </c>
      <c r="O286">
        <v>9.8099999962947146E-2</v>
      </c>
      <c r="Q286">
        <v>52.065949636109416</v>
      </c>
      <c r="R286">
        <v>6.8199999962946289E-2</v>
      </c>
      <c r="T286">
        <v>5.4899999962945915E-2</v>
      </c>
      <c r="U286">
        <v>8.7399999962946839E-2</v>
      </c>
      <c r="V286">
        <v>0.11009999996294749</v>
      </c>
      <c r="W286">
        <v>0.17039999996294292</v>
      </c>
      <c r="X286">
        <v>9.8099999962947146E-2</v>
      </c>
      <c r="Y286">
        <v>6.8199999962946289E-2</v>
      </c>
    </row>
    <row r="287" spans="1:25" x14ac:dyDescent="0.55000000000000004">
      <c r="A287" t="s">
        <v>288</v>
      </c>
      <c r="B287">
        <v>64.150180452979725</v>
      </c>
      <c r="C287">
        <v>7.2199999962946404E-2</v>
      </c>
      <c r="E287">
        <v>35.940457316294378</v>
      </c>
      <c r="F287">
        <v>0.13109999996294724</v>
      </c>
      <c r="H287">
        <v>30.972986934109993</v>
      </c>
      <c r="I287">
        <v>9.1899999962946968E-2</v>
      </c>
      <c r="T287">
        <v>7.2199999962946404E-2</v>
      </c>
      <c r="U287">
        <v>0.13109999996294724</v>
      </c>
      <c r="V287">
        <v>9.1899999962946968E-2</v>
      </c>
    </row>
    <row r="288" spans="1:25" x14ac:dyDescent="0.55000000000000004">
      <c r="A288" t="s">
        <v>289</v>
      </c>
      <c r="B288">
        <v>46.120560004821229</v>
      </c>
      <c r="C288">
        <v>7.2400000000002865E-2</v>
      </c>
      <c r="E288">
        <v>52.924550500851005</v>
      </c>
      <c r="F288">
        <v>0.10480000000000379</v>
      </c>
      <c r="H288">
        <v>45.405957238722671</v>
      </c>
      <c r="I288">
        <v>0.10280000000000374</v>
      </c>
      <c r="K288">
        <v>72.870915603032316</v>
      </c>
      <c r="L288">
        <v>0.11500000000000409</v>
      </c>
      <c r="N288">
        <v>43.449092344929433</v>
      </c>
      <c r="O288">
        <v>8.3500000000003183E-2</v>
      </c>
      <c r="Q288">
        <v>56.320814990741795</v>
      </c>
      <c r="R288">
        <v>8.3300000000003177E-2</v>
      </c>
      <c r="T288">
        <v>7.2400000000002865E-2</v>
      </c>
      <c r="U288">
        <v>0.10480000000000379</v>
      </c>
      <c r="V288">
        <v>0.10280000000000374</v>
      </c>
      <c r="W288">
        <v>0.11500000000000409</v>
      </c>
      <c r="X288">
        <v>8.3500000000003183E-2</v>
      </c>
      <c r="Y288">
        <v>8.3300000000003177E-2</v>
      </c>
    </row>
    <row r="289" spans="1:25" x14ac:dyDescent="0.55000000000000004">
      <c r="A289" t="s">
        <v>290</v>
      </c>
      <c r="B289">
        <v>44.334891201643927</v>
      </c>
      <c r="C289">
        <v>8.340000000000318E-2</v>
      </c>
      <c r="E289">
        <v>46.222920298975012</v>
      </c>
      <c r="F289">
        <v>0.1050000000000038</v>
      </c>
      <c r="H289">
        <v>36.03407871582273</v>
      </c>
      <c r="I289">
        <v>0.12840000000000398</v>
      </c>
      <c r="K289">
        <v>86.650446651839388</v>
      </c>
      <c r="L289">
        <v>0.12630000000000421</v>
      </c>
      <c r="N289">
        <v>42.551962118240631</v>
      </c>
      <c r="O289">
        <v>0.12380000000000434</v>
      </c>
      <c r="Q289">
        <v>47.281149360886147</v>
      </c>
      <c r="R289">
        <v>9.5700000000003532E-2</v>
      </c>
      <c r="T289">
        <v>8.340000000000318E-2</v>
      </c>
      <c r="U289">
        <v>0.1050000000000038</v>
      </c>
      <c r="V289">
        <v>0.12840000000000398</v>
      </c>
      <c r="W289">
        <v>0.12630000000000421</v>
      </c>
      <c r="X289">
        <v>0.12380000000000434</v>
      </c>
      <c r="Y289">
        <v>9.5700000000003532E-2</v>
      </c>
    </row>
    <row r="290" spans="1:25" x14ac:dyDescent="0.55000000000000004">
      <c r="A290" t="s">
        <v>291</v>
      </c>
      <c r="B290">
        <v>70.168431116534236</v>
      </c>
      <c r="C290">
        <v>9.4800000000003506E-2</v>
      </c>
      <c r="E290">
        <v>40.163195190552401</v>
      </c>
      <c r="F290">
        <v>0.11450000000000407</v>
      </c>
      <c r="H290">
        <v>40.577219390643101</v>
      </c>
      <c r="I290">
        <v>0.11320000000000403</v>
      </c>
      <c r="K290">
        <v>65.50788802596071</v>
      </c>
      <c r="L290">
        <v>0.1292000000000039</v>
      </c>
      <c r="N290">
        <v>45.235724144063916</v>
      </c>
      <c r="O290">
        <v>0.10400000000000377</v>
      </c>
      <c r="Q290">
        <v>44.447791356673271</v>
      </c>
      <c r="R290">
        <v>0.1017000000000037</v>
      </c>
      <c r="T290">
        <v>9.4800000000003506E-2</v>
      </c>
      <c r="U290">
        <v>0.11450000000000407</v>
      </c>
      <c r="V290">
        <v>0.11320000000000403</v>
      </c>
      <c r="W290">
        <v>0.1292000000000039</v>
      </c>
      <c r="X290">
        <v>0.10400000000000377</v>
      </c>
      <c r="Y290">
        <v>0.1017000000000037</v>
      </c>
    </row>
    <row r="291" spans="1:25" x14ac:dyDescent="0.55000000000000004">
      <c r="A291" t="s">
        <v>292</v>
      </c>
      <c r="B291">
        <v>37.162876317209566</v>
      </c>
      <c r="C291">
        <v>6.560000000000267E-2</v>
      </c>
      <c r="E291">
        <v>44.984530760046347</v>
      </c>
      <c r="F291">
        <v>9.6900000000003567E-2</v>
      </c>
      <c r="H291">
        <v>33.206027499671563</v>
      </c>
      <c r="I291">
        <v>8.4200000000003203E-2</v>
      </c>
      <c r="K291">
        <v>63.282428948666478</v>
      </c>
      <c r="L291">
        <v>0.10780000000000388</v>
      </c>
      <c r="N291">
        <v>54.388473734346938</v>
      </c>
      <c r="O291">
        <v>9.11000000000034E-2</v>
      </c>
      <c r="Q291">
        <v>59.142172619617455</v>
      </c>
      <c r="R291">
        <v>8.8200000000003317E-2</v>
      </c>
      <c r="T291">
        <v>6.560000000000267E-2</v>
      </c>
      <c r="U291">
        <v>9.6900000000003567E-2</v>
      </c>
      <c r="V291">
        <v>8.4200000000003203E-2</v>
      </c>
      <c r="W291">
        <v>0.10780000000000388</v>
      </c>
      <c r="X291">
        <v>9.11000000000034E-2</v>
      </c>
      <c r="Y291">
        <v>8.8200000000003317E-2</v>
      </c>
    </row>
    <row r="292" spans="1:25" x14ac:dyDescent="0.55000000000000004">
      <c r="A292" t="s">
        <v>293</v>
      </c>
      <c r="B292">
        <v>39.438906295419542</v>
      </c>
      <c r="C292">
        <v>8.9100000000003343E-2</v>
      </c>
      <c r="E292">
        <v>39.586510549737277</v>
      </c>
      <c r="F292">
        <v>0.11260000000000402</v>
      </c>
      <c r="H292">
        <v>37.541280892421973</v>
      </c>
      <c r="I292">
        <v>0.1190000000000042</v>
      </c>
      <c r="K292">
        <v>81.281900483738426</v>
      </c>
      <c r="L292">
        <v>0.1156000000000041</v>
      </c>
      <c r="N292">
        <v>50.63641269676085</v>
      </c>
      <c r="O292">
        <v>0.12290000000000431</v>
      </c>
      <c r="Q292">
        <v>45.495251496050258</v>
      </c>
      <c r="R292">
        <v>9.770000000000359E-2</v>
      </c>
      <c r="T292">
        <v>8.9100000000003343E-2</v>
      </c>
      <c r="U292">
        <v>0.11260000000000402</v>
      </c>
      <c r="V292">
        <v>0.1190000000000042</v>
      </c>
      <c r="W292">
        <v>0.1156000000000041</v>
      </c>
      <c r="X292">
        <v>0.12290000000000431</v>
      </c>
      <c r="Y292">
        <v>9.770000000000359E-2</v>
      </c>
    </row>
    <row r="293" spans="1:25" x14ac:dyDescent="0.55000000000000004">
      <c r="A293" t="s">
        <v>294</v>
      </c>
      <c r="B293">
        <v>37.132476048270249</v>
      </c>
      <c r="C293">
        <v>8.7800000000003306E-2</v>
      </c>
      <c r="E293">
        <v>81.383396122683436</v>
      </c>
      <c r="F293">
        <v>0.13620000000000312</v>
      </c>
      <c r="H293">
        <v>40.675120791384856</v>
      </c>
      <c r="I293">
        <v>0.1156000000000041</v>
      </c>
      <c r="K293">
        <v>80.145277181572368</v>
      </c>
      <c r="L293">
        <v>0.11600000000000411</v>
      </c>
      <c r="N293">
        <v>47.601813524243546</v>
      </c>
      <c r="O293">
        <v>0.11570000000000411</v>
      </c>
      <c r="Q293">
        <v>50.521612633546098</v>
      </c>
      <c r="R293">
        <v>0.10220000000000372</v>
      </c>
      <c r="T293">
        <v>8.7800000000003306E-2</v>
      </c>
      <c r="U293">
        <v>0.13620000000000312</v>
      </c>
      <c r="V293">
        <v>0.1156000000000041</v>
      </c>
      <c r="W293">
        <v>0.11600000000000411</v>
      </c>
      <c r="X293">
        <v>0.11570000000000411</v>
      </c>
      <c r="Y293">
        <v>0.10220000000000372</v>
      </c>
    </row>
    <row r="294" spans="1:25" x14ac:dyDescent="0.55000000000000004">
      <c r="A294" t="s">
        <v>295</v>
      </c>
      <c r="B294">
        <v>37.389884087774924</v>
      </c>
      <c r="C294">
        <v>0.10760000000000387</v>
      </c>
      <c r="E294">
        <v>41.175070421626131</v>
      </c>
      <c r="F294">
        <v>0.10000000000000366</v>
      </c>
      <c r="H294">
        <v>33.930022033252989</v>
      </c>
      <c r="I294">
        <v>0.11710000000000415</v>
      </c>
      <c r="K294">
        <v>62.691191702233034</v>
      </c>
      <c r="L294">
        <v>0.12430000000000435</v>
      </c>
      <c r="N294">
        <v>36.921696137897776</v>
      </c>
      <c r="O294">
        <v>0.11750000000000416</v>
      </c>
      <c r="Q294">
        <v>43.593123451847077</v>
      </c>
      <c r="R294">
        <v>0.10280000000000374</v>
      </c>
      <c r="T294">
        <v>0.10760000000000387</v>
      </c>
      <c r="U294">
        <v>0.10000000000000366</v>
      </c>
      <c r="V294">
        <v>0.11710000000000415</v>
      </c>
      <c r="W294">
        <v>0.12430000000000435</v>
      </c>
      <c r="X294">
        <v>0.11750000000000416</v>
      </c>
      <c r="Y294">
        <v>0.10280000000000374</v>
      </c>
    </row>
    <row r="295" spans="1:25" x14ac:dyDescent="0.55000000000000004">
      <c r="A295" t="s">
        <v>296</v>
      </c>
      <c r="B295">
        <v>39.357817466518213</v>
      </c>
      <c r="C295">
        <v>7.7600000000003014E-2</v>
      </c>
      <c r="E295">
        <v>44.884391474407614</v>
      </c>
      <c r="F295">
        <v>0.10670000000000385</v>
      </c>
      <c r="H295">
        <v>42.159615566637527</v>
      </c>
      <c r="I295">
        <v>0.1084000000000039</v>
      </c>
      <c r="K295">
        <v>63.514384121952837</v>
      </c>
      <c r="L295">
        <v>0.12040000000000424</v>
      </c>
      <c r="N295">
        <v>39.6634425060357</v>
      </c>
      <c r="O295">
        <v>0.10120000000000369</v>
      </c>
      <c r="Q295">
        <v>67.786207217181385</v>
      </c>
      <c r="R295">
        <v>9.5500000000003527E-2</v>
      </c>
      <c r="T295">
        <v>7.7600000000003014E-2</v>
      </c>
      <c r="U295">
        <v>0.10670000000000385</v>
      </c>
      <c r="V295">
        <v>0.1084000000000039</v>
      </c>
      <c r="W295">
        <v>0.12040000000000424</v>
      </c>
      <c r="X295">
        <v>0.10120000000000369</v>
      </c>
      <c r="Y295">
        <v>9.5500000000003527E-2</v>
      </c>
    </row>
    <row r="296" spans="1:25" x14ac:dyDescent="0.55000000000000004">
      <c r="A296" t="s">
        <v>297</v>
      </c>
      <c r="B296">
        <v>36.070881261283752</v>
      </c>
      <c r="C296">
        <v>8.0200000000003088E-2</v>
      </c>
      <c r="E296">
        <v>39.02136773186232</v>
      </c>
      <c r="F296">
        <v>0.10220000000000372</v>
      </c>
      <c r="H296">
        <v>36.32206182367716</v>
      </c>
      <c r="I296">
        <v>0.10910000000000392</v>
      </c>
      <c r="K296">
        <v>85.335361884780255</v>
      </c>
      <c r="L296">
        <v>0.11730000000000415</v>
      </c>
      <c r="N296">
        <v>44.979362693047662</v>
      </c>
      <c r="O296">
        <v>0.11730000000000415</v>
      </c>
      <c r="Q296">
        <v>49.067979636569753</v>
      </c>
      <c r="R296">
        <v>0.10040000000000367</v>
      </c>
      <c r="T296">
        <v>8.0200000000003088E-2</v>
      </c>
      <c r="U296">
        <v>0.10220000000000372</v>
      </c>
      <c r="V296">
        <v>0.10910000000000392</v>
      </c>
      <c r="W296">
        <v>0.11730000000000415</v>
      </c>
      <c r="X296">
        <v>0.11730000000000415</v>
      </c>
      <c r="Y296">
        <v>0.10040000000000367</v>
      </c>
    </row>
    <row r="297" spans="1:25" x14ac:dyDescent="0.55000000000000004">
      <c r="A297" t="s">
        <v>298</v>
      </c>
      <c r="B297">
        <v>41.304911506728054</v>
      </c>
      <c r="C297">
        <v>9.1300000000003406E-2</v>
      </c>
      <c r="E297">
        <v>46.343918375749951</v>
      </c>
      <c r="F297">
        <v>0.10820000000000389</v>
      </c>
      <c r="H297">
        <v>34.984109940601456</v>
      </c>
      <c r="I297">
        <v>0.11070000000000396</v>
      </c>
      <c r="K297">
        <v>81.08094243496555</v>
      </c>
      <c r="L297">
        <v>0.12090000000000425</v>
      </c>
      <c r="N297">
        <v>42.107262222892729</v>
      </c>
      <c r="O297">
        <v>0.11650000000000413</v>
      </c>
      <c r="Q297">
        <v>39.602163055631252</v>
      </c>
      <c r="R297">
        <v>0.10020000000000366</v>
      </c>
      <c r="T297">
        <v>9.1300000000003406E-2</v>
      </c>
      <c r="U297">
        <v>0.10820000000000389</v>
      </c>
      <c r="V297">
        <v>0.11070000000000396</v>
      </c>
      <c r="W297">
        <v>0.12090000000000425</v>
      </c>
      <c r="X297">
        <v>0.11650000000000413</v>
      </c>
      <c r="Y297">
        <v>0.10020000000000366</v>
      </c>
    </row>
    <row r="298" spans="1:25" x14ac:dyDescent="0.55000000000000004">
      <c r="A298" t="s">
        <v>299</v>
      </c>
      <c r="B298">
        <v>26.075120006205619</v>
      </c>
      <c r="C298">
        <v>7.2300000000002862E-2</v>
      </c>
      <c r="E298">
        <v>38.086333979895706</v>
      </c>
      <c r="F298">
        <v>9.6300000000003549E-2</v>
      </c>
      <c r="H298">
        <v>28.64426263660399</v>
      </c>
      <c r="I298">
        <v>0.10890000000000391</v>
      </c>
      <c r="K298">
        <v>39.541350307714303</v>
      </c>
      <c r="L298">
        <v>0.10600000000000383</v>
      </c>
      <c r="N298">
        <v>28.858352000979178</v>
      </c>
      <c r="O298">
        <v>0.11310000000000403</v>
      </c>
      <c r="Q298">
        <v>36.484302141330822</v>
      </c>
      <c r="R298">
        <v>8.2800000000003163E-2</v>
      </c>
      <c r="T298">
        <v>7.2300000000002862E-2</v>
      </c>
      <c r="U298">
        <v>9.6300000000003549E-2</v>
      </c>
      <c r="V298">
        <v>0.10890000000000391</v>
      </c>
      <c r="W298">
        <v>0.10600000000000383</v>
      </c>
      <c r="X298">
        <v>0.11310000000000403</v>
      </c>
      <c r="Y298">
        <v>8.2800000000003163E-2</v>
      </c>
    </row>
    <row r="299" spans="1:25" x14ac:dyDescent="0.55000000000000004">
      <c r="A299" t="s">
        <v>300</v>
      </c>
      <c r="B299">
        <v>34.629887168432099</v>
      </c>
      <c r="C299">
        <v>7.8800000000003048E-2</v>
      </c>
      <c r="E299">
        <v>54.31184704811438</v>
      </c>
      <c r="F299">
        <v>9.7800000000003592E-2</v>
      </c>
      <c r="H299">
        <v>37.494774802079242</v>
      </c>
      <c r="I299">
        <v>0.1017000000000037</v>
      </c>
      <c r="K299">
        <v>94.985483117342753</v>
      </c>
      <c r="L299">
        <v>0.11240000000000401</v>
      </c>
      <c r="N299">
        <v>48.299922346835523</v>
      </c>
      <c r="O299">
        <v>9.6000000000003541E-2</v>
      </c>
      <c r="Q299">
        <v>63.863453206616612</v>
      </c>
      <c r="R299">
        <v>9.1200000000003403E-2</v>
      </c>
      <c r="T299">
        <v>7.8800000000003048E-2</v>
      </c>
      <c r="U299">
        <v>9.7800000000003592E-2</v>
      </c>
      <c r="V299">
        <v>0.1017000000000037</v>
      </c>
      <c r="W299">
        <v>0.11240000000000401</v>
      </c>
      <c r="X299">
        <v>9.6000000000003541E-2</v>
      </c>
      <c r="Y299">
        <v>9.1200000000003403E-2</v>
      </c>
    </row>
    <row r="300" spans="1:25" x14ac:dyDescent="0.55000000000000004">
      <c r="A300" t="s">
        <v>301</v>
      </c>
      <c r="B300">
        <v>41.698530807418891</v>
      </c>
      <c r="C300">
        <v>8.0500000000003097E-2</v>
      </c>
      <c r="E300">
        <v>46.385028590332631</v>
      </c>
      <c r="F300">
        <v>0.10450000000000378</v>
      </c>
      <c r="H300">
        <v>39.215405366256157</v>
      </c>
      <c r="I300">
        <v>0.10370000000000376</v>
      </c>
      <c r="K300">
        <v>75.89664285000822</v>
      </c>
      <c r="L300">
        <v>0.11310000000000403</v>
      </c>
      <c r="N300">
        <v>47.796145220283535</v>
      </c>
      <c r="O300">
        <v>9.1500000000003412E-2</v>
      </c>
      <c r="Q300">
        <v>53.98793490625296</v>
      </c>
      <c r="R300">
        <v>8.5100000000003229E-2</v>
      </c>
      <c r="T300">
        <v>8.0500000000003097E-2</v>
      </c>
      <c r="U300">
        <v>0.10450000000000378</v>
      </c>
      <c r="V300">
        <v>0.10370000000000376</v>
      </c>
      <c r="W300">
        <v>0.11310000000000403</v>
      </c>
      <c r="X300">
        <v>9.1500000000003412E-2</v>
      </c>
      <c r="Y300">
        <v>8.5100000000003229E-2</v>
      </c>
    </row>
    <row r="301" spans="1:25" x14ac:dyDescent="0.55000000000000004">
      <c r="A301" t="s">
        <v>302</v>
      </c>
      <c r="B301">
        <v>36.481235153772616</v>
      </c>
      <c r="C301">
        <v>8.8800000000003335E-2</v>
      </c>
      <c r="E301">
        <v>41.17252787841332</v>
      </c>
      <c r="F301">
        <v>0.10210000000000372</v>
      </c>
      <c r="H301">
        <v>39.811558742745454</v>
      </c>
      <c r="I301">
        <v>0.11480000000000408</v>
      </c>
      <c r="K301">
        <v>59.82708211142532</v>
      </c>
      <c r="L301">
        <v>0.12680000000000416</v>
      </c>
      <c r="N301">
        <v>47.741557919139701</v>
      </c>
      <c r="O301">
        <v>0.10960000000000393</v>
      </c>
      <c r="Q301">
        <v>56.484778705128058</v>
      </c>
      <c r="R301">
        <v>0.10820000000000389</v>
      </c>
      <c r="T301">
        <v>8.8800000000003335E-2</v>
      </c>
      <c r="U301">
        <v>0.10210000000000372</v>
      </c>
      <c r="V301">
        <v>0.11480000000000408</v>
      </c>
      <c r="W301">
        <v>0.12680000000000416</v>
      </c>
      <c r="X301">
        <v>0.10960000000000393</v>
      </c>
      <c r="Y301">
        <v>0.10820000000000389</v>
      </c>
    </row>
    <row r="302" spans="1:25" x14ac:dyDescent="0.55000000000000004">
      <c r="A302" t="s">
        <v>303</v>
      </c>
      <c r="B302">
        <v>36.669517631790349</v>
      </c>
      <c r="C302">
        <v>9.6100000000003544E-2</v>
      </c>
      <c r="E302">
        <v>60.193499154682776</v>
      </c>
      <c r="F302">
        <v>0.10830000000000389</v>
      </c>
      <c r="H302">
        <v>47.722543113688431</v>
      </c>
      <c r="I302">
        <v>0.12280000000000431</v>
      </c>
      <c r="K302">
        <v>62.420542810312575</v>
      </c>
      <c r="L302">
        <v>0.32129999999998277</v>
      </c>
      <c r="N302">
        <v>35.821695068699746</v>
      </c>
      <c r="O302">
        <v>0.12130000000000427</v>
      </c>
      <c r="Q302">
        <v>45.429047538059706</v>
      </c>
      <c r="R302">
        <v>7.9600000000003071E-2</v>
      </c>
      <c r="T302">
        <v>9.6100000000003544E-2</v>
      </c>
      <c r="U302">
        <v>0.10830000000000389</v>
      </c>
      <c r="V302">
        <v>0.12280000000000431</v>
      </c>
      <c r="W302">
        <v>0.32129999999998277</v>
      </c>
      <c r="X302">
        <v>0.12130000000000427</v>
      </c>
      <c r="Y302">
        <v>7.9600000000003071E-2</v>
      </c>
    </row>
    <row r="303" spans="1:25" x14ac:dyDescent="0.55000000000000004">
      <c r="A303" t="s">
        <v>304</v>
      </c>
      <c r="B303">
        <v>42.003914250243731</v>
      </c>
      <c r="C303">
        <v>0.10380000000000376</v>
      </c>
      <c r="E303">
        <v>44.802107429123282</v>
      </c>
      <c r="F303">
        <v>9.8900000000003624E-2</v>
      </c>
      <c r="H303">
        <v>36.593319895635425</v>
      </c>
      <c r="I303">
        <v>8.7900000000003309E-2</v>
      </c>
      <c r="K303">
        <v>67.855385634000584</v>
      </c>
      <c r="L303">
        <v>0.12010000000000423</v>
      </c>
      <c r="N303">
        <v>46.107538271601911</v>
      </c>
      <c r="O303">
        <v>7.920000000000306E-2</v>
      </c>
      <c r="Q303">
        <v>41.748779888217776</v>
      </c>
      <c r="R303">
        <v>7.850000000000304E-2</v>
      </c>
      <c r="T303">
        <v>0.10380000000000376</v>
      </c>
      <c r="U303">
        <v>9.8900000000003624E-2</v>
      </c>
      <c r="V303">
        <v>8.7900000000003309E-2</v>
      </c>
      <c r="W303">
        <v>0.12010000000000423</v>
      </c>
      <c r="X303">
        <v>7.920000000000306E-2</v>
      </c>
      <c r="Y303">
        <v>7.850000000000304E-2</v>
      </c>
    </row>
    <row r="304" spans="1:25" x14ac:dyDescent="0.55000000000000004">
      <c r="A304" t="s">
        <v>305</v>
      </c>
      <c r="B304">
        <v>40.024056942984558</v>
      </c>
      <c r="C304">
        <v>8.3200000000003174E-2</v>
      </c>
      <c r="E304">
        <v>70.458773227593682</v>
      </c>
      <c r="F304">
        <v>0.12520000000000434</v>
      </c>
      <c r="H304">
        <v>45.472713562206778</v>
      </c>
      <c r="I304">
        <v>0.11140000000000398</v>
      </c>
      <c r="K304">
        <v>102.62984538606656</v>
      </c>
      <c r="L304">
        <v>0.1155000000000041</v>
      </c>
      <c r="N304">
        <v>63.304871994727385</v>
      </c>
      <c r="O304">
        <v>9.3500000000003469E-2</v>
      </c>
      <c r="Q304">
        <v>69.907732123138317</v>
      </c>
      <c r="R304">
        <v>8.8400000000003323E-2</v>
      </c>
      <c r="T304">
        <v>8.3200000000003174E-2</v>
      </c>
      <c r="U304">
        <v>0.12520000000000434</v>
      </c>
      <c r="V304">
        <v>0.11140000000000398</v>
      </c>
      <c r="W304">
        <v>0.1155000000000041</v>
      </c>
      <c r="X304">
        <v>9.3500000000003469E-2</v>
      </c>
      <c r="Y304">
        <v>8.8400000000003323E-2</v>
      </c>
    </row>
    <row r="305" spans="1:25" x14ac:dyDescent="0.55000000000000004">
      <c r="A305" t="s">
        <v>306</v>
      </c>
      <c r="B305">
        <v>38.49879160139907</v>
      </c>
      <c r="C305">
        <v>7.9400000000003065E-2</v>
      </c>
      <c r="E305">
        <v>38.75927042846854</v>
      </c>
      <c r="F305">
        <v>0.11940000000000421</v>
      </c>
      <c r="H305">
        <v>38.550775930999265</v>
      </c>
      <c r="I305">
        <v>0.11830000000000418</v>
      </c>
      <c r="K305">
        <v>53.932025993482732</v>
      </c>
      <c r="L305">
        <v>0.12120000000000426</v>
      </c>
      <c r="N305">
        <v>39.362820289872026</v>
      </c>
      <c r="O305">
        <v>0.11050000000000396</v>
      </c>
      <c r="Q305">
        <v>48.94745679306579</v>
      </c>
      <c r="R305">
        <v>0.10030000000000366</v>
      </c>
      <c r="T305">
        <v>7.9400000000003065E-2</v>
      </c>
      <c r="U305">
        <v>0.11940000000000421</v>
      </c>
      <c r="V305">
        <v>0.11830000000000418</v>
      </c>
      <c r="W305">
        <v>0.12120000000000426</v>
      </c>
      <c r="X305">
        <v>0.11050000000000396</v>
      </c>
      <c r="Y305">
        <v>0.10030000000000366</v>
      </c>
    </row>
    <row r="306" spans="1:25" x14ac:dyDescent="0.55000000000000004">
      <c r="A306" t="s">
        <v>307</v>
      </c>
      <c r="B306">
        <v>24.330704007117632</v>
      </c>
      <c r="C306">
        <v>0.10819999996294744</v>
      </c>
      <c r="E306">
        <v>32.566557211378807</v>
      </c>
      <c r="F306">
        <v>0.11649999996294767</v>
      </c>
      <c r="H306">
        <v>27.792657290906391</v>
      </c>
      <c r="I306">
        <v>0.11779999996294771</v>
      </c>
      <c r="T306">
        <v>0.10819999996294744</v>
      </c>
      <c r="U306">
        <v>0.11649999996294767</v>
      </c>
      <c r="V306">
        <v>0.11779999996294771</v>
      </c>
    </row>
    <row r="307" spans="1:25" x14ac:dyDescent="0.55000000000000004">
      <c r="A307" t="s">
        <v>308</v>
      </c>
      <c r="B307">
        <v>31.412941607407177</v>
      </c>
      <c r="C307">
        <v>0.1035999999629473</v>
      </c>
      <c r="E307">
        <v>43.800542627524251</v>
      </c>
      <c r="F307">
        <v>0.1210999999629478</v>
      </c>
      <c r="H307">
        <v>35.143744464413523</v>
      </c>
      <c r="I307">
        <v>0.10749999996294742</v>
      </c>
      <c r="T307">
        <v>0.1035999999629473</v>
      </c>
      <c r="U307">
        <v>0.1210999999629478</v>
      </c>
      <c r="V307">
        <v>0.10749999996294742</v>
      </c>
    </row>
    <row r="308" spans="1:25" x14ac:dyDescent="0.55000000000000004">
      <c r="A308" t="s">
        <v>309</v>
      </c>
      <c r="B308">
        <v>54.607294112869567</v>
      </c>
      <c r="C308">
        <v>0.10419999996294732</v>
      </c>
      <c r="E308">
        <v>52.632609043525022</v>
      </c>
      <c r="F308">
        <v>9.8299999962947152E-2</v>
      </c>
      <c r="H308">
        <v>37.835214545256299</v>
      </c>
      <c r="I308">
        <v>9.8199999962947149E-2</v>
      </c>
      <c r="T308">
        <v>0.10419999996294732</v>
      </c>
      <c r="U308">
        <v>9.8299999962947152E-2</v>
      </c>
      <c r="V308">
        <v>9.8199999962947149E-2</v>
      </c>
    </row>
    <row r="309" spans="1:25" x14ac:dyDescent="0.55000000000000004">
      <c r="A309" t="s">
        <v>310</v>
      </c>
      <c r="B309">
        <v>29.503804908039722</v>
      </c>
      <c r="C309">
        <v>0.10940000000000392</v>
      </c>
      <c r="E309">
        <v>32.764067252634383</v>
      </c>
      <c r="F309">
        <v>0.12100000000000426</v>
      </c>
      <c r="H309">
        <v>28.771800123976707</v>
      </c>
      <c r="I309">
        <v>9.1300000000003406E-2</v>
      </c>
      <c r="K309">
        <v>38.261331644557025</v>
      </c>
      <c r="L309">
        <v>0.11170000000000399</v>
      </c>
      <c r="N309">
        <v>27.958583877358997</v>
      </c>
      <c r="O309">
        <v>0.12830000000000399</v>
      </c>
      <c r="Q309">
        <v>30.50919465908223</v>
      </c>
      <c r="R309">
        <v>0.10000000000000366</v>
      </c>
      <c r="T309">
        <v>0.10940000000000392</v>
      </c>
      <c r="U309">
        <v>0.12100000000000426</v>
      </c>
      <c r="V309">
        <v>9.1300000000003406E-2</v>
      </c>
      <c r="W309">
        <v>0.11170000000000399</v>
      </c>
      <c r="X309">
        <v>0.12830000000000399</v>
      </c>
      <c r="Y309">
        <v>0.10000000000000366</v>
      </c>
    </row>
    <row r="310" spans="1:25" x14ac:dyDescent="0.55000000000000004">
      <c r="A310" t="s">
        <v>311</v>
      </c>
      <c r="B310">
        <v>40.98610612535073</v>
      </c>
      <c r="C310">
        <v>9.64999999629471E-2</v>
      </c>
      <c r="E310">
        <v>45.9020549212362</v>
      </c>
      <c r="F310">
        <v>0.10779999996294742</v>
      </c>
      <c r="H310">
        <v>35.681225919893571</v>
      </c>
      <c r="I310">
        <v>0.10649999996294739</v>
      </c>
      <c r="T310">
        <v>9.64999999629471E-2</v>
      </c>
      <c r="U310">
        <v>0.10779999996294742</v>
      </c>
      <c r="V310">
        <v>0.10649999996294739</v>
      </c>
    </row>
    <row r="311" spans="1:25" x14ac:dyDescent="0.55000000000000004">
      <c r="A311" t="s">
        <v>312</v>
      </c>
      <c r="B311">
        <v>46.447242819009112</v>
      </c>
      <c r="C311">
        <v>8.200000000000314E-2</v>
      </c>
      <c r="E311">
        <v>65.844239348100871</v>
      </c>
      <c r="F311">
        <v>0.11820000000000418</v>
      </c>
      <c r="H311">
        <v>48.156013400081314</v>
      </c>
      <c r="I311">
        <v>0.11370000000000405</v>
      </c>
      <c r="K311">
        <v>60.66820390947111</v>
      </c>
      <c r="L311">
        <v>0.26749999999998869</v>
      </c>
      <c r="N311">
        <v>37.526736286113625</v>
      </c>
      <c r="O311">
        <v>0.11000000000000394</v>
      </c>
      <c r="Q311">
        <v>47.030583671979095</v>
      </c>
      <c r="R311">
        <v>0.11060000000000396</v>
      </c>
      <c r="T311">
        <v>8.200000000000314E-2</v>
      </c>
      <c r="U311">
        <v>0.11820000000000418</v>
      </c>
      <c r="V311">
        <v>0.11370000000000405</v>
      </c>
      <c r="W311">
        <v>0.26749999999998869</v>
      </c>
      <c r="X311">
        <v>0.11000000000000394</v>
      </c>
      <c r="Y311">
        <v>0.11060000000000396</v>
      </c>
    </row>
    <row r="312" spans="1:25" x14ac:dyDescent="0.55000000000000004">
      <c r="A312" t="s">
        <v>313</v>
      </c>
      <c r="B312">
        <v>53.273556394204952</v>
      </c>
      <c r="C312">
        <v>0.4589999999999676</v>
      </c>
      <c r="E312">
        <v>53.291926351940724</v>
      </c>
      <c r="F312">
        <v>0.1015000000000037</v>
      </c>
      <c r="H312">
        <v>42.898401254146748</v>
      </c>
      <c r="I312">
        <v>0.10720000000000386</v>
      </c>
      <c r="K312">
        <v>88.218692635561098</v>
      </c>
      <c r="L312">
        <v>0.10550000000000381</v>
      </c>
      <c r="N312">
        <v>48.066252482067078</v>
      </c>
      <c r="O312">
        <v>7.7100000000002999E-2</v>
      </c>
      <c r="Q312">
        <v>53.099692426108099</v>
      </c>
      <c r="R312">
        <v>8.1400000000003123E-2</v>
      </c>
      <c r="T312">
        <v>0.4589999999999676</v>
      </c>
      <c r="U312">
        <v>0.1015000000000037</v>
      </c>
      <c r="V312">
        <v>0.10720000000000386</v>
      </c>
      <c r="W312">
        <v>0.10550000000000381</v>
      </c>
      <c r="X312">
        <v>7.7100000000002999E-2</v>
      </c>
      <c r="Y312">
        <v>8.1400000000003123E-2</v>
      </c>
    </row>
    <row r="313" spans="1:25" x14ac:dyDescent="0.55000000000000004">
      <c r="A313" t="s">
        <v>314</v>
      </c>
      <c r="B313">
        <v>46.802268277669363</v>
      </c>
      <c r="C313">
        <v>7.6700000000002988E-2</v>
      </c>
      <c r="E313">
        <v>92.71655333352669</v>
      </c>
      <c r="F313">
        <v>0.12180000000000428</v>
      </c>
      <c r="H313">
        <v>37.730618534777534</v>
      </c>
      <c r="I313">
        <v>9.5600000000003529E-2</v>
      </c>
      <c r="K313">
        <v>78.128328792102948</v>
      </c>
      <c r="L313">
        <v>0.10420000000000378</v>
      </c>
      <c r="N313">
        <v>50.847317113123943</v>
      </c>
      <c r="O313">
        <v>0.10750000000000387</v>
      </c>
      <c r="Q313">
        <v>66.391827900365172</v>
      </c>
      <c r="R313">
        <v>9.9700000000003647E-2</v>
      </c>
      <c r="T313">
        <v>7.6700000000002988E-2</v>
      </c>
      <c r="U313">
        <v>0.12180000000000428</v>
      </c>
      <c r="V313">
        <v>9.5600000000003529E-2</v>
      </c>
      <c r="W313">
        <v>0.10420000000000378</v>
      </c>
      <c r="X313">
        <v>0.10750000000000387</v>
      </c>
      <c r="Y313">
        <v>9.9700000000003647E-2</v>
      </c>
    </row>
    <row r="314" spans="1:25" x14ac:dyDescent="0.55000000000000004">
      <c r="A314" t="s">
        <v>315</v>
      </c>
      <c r="B314">
        <v>42.412498459273891</v>
      </c>
      <c r="C314">
        <v>8.1600000000003128E-2</v>
      </c>
      <c r="E314">
        <v>47.869083396161024</v>
      </c>
      <c r="F314">
        <v>0.10090000000000368</v>
      </c>
      <c r="H314">
        <v>47.904727928635523</v>
      </c>
      <c r="I314">
        <v>0.1050000000000038</v>
      </c>
      <c r="K314">
        <v>79.902423108182404</v>
      </c>
      <c r="L314">
        <v>0.11080000000000396</v>
      </c>
      <c r="N314">
        <v>51.676039511059585</v>
      </c>
      <c r="O314">
        <v>8.7400000000003294E-2</v>
      </c>
      <c r="Q314">
        <v>55.370175153556943</v>
      </c>
      <c r="R314">
        <v>8.6600000000003272E-2</v>
      </c>
      <c r="T314">
        <v>8.1600000000003128E-2</v>
      </c>
      <c r="U314">
        <v>0.10090000000000368</v>
      </c>
      <c r="V314">
        <v>0.1050000000000038</v>
      </c>
      <c r="W314">
        <v>0.11080000000000396</v>
      </c>
      <c r="X314">
        <v>8.7400000000003294E-2</v>
      </c>
      <c r="Y314">
        <v>8.6600000000003272E-2</v>
      </c>
    </row>
    <row r="315" spans="1:25" x14ac:dyDescent="0.55000000000000004">
      <c r="A315" t="s">
        <v>316</v>
      </c>
      <c r="B315">
        <v>43.129192943572363</v>
      </c>
      <c r="C315">
        <v>9.6900000000003567E-2</v>
      </c>
      <c r="E315">
        <v>47.995904688525385</v>
      </c>
      <c r="F315">
        <v>0.10900000000000391</v>
      </c>
      <c r="H315">
        <v>45.064614643292593</v>
      </c>
      <c r="I315">
        <v>9.910000000000363E-2</v>
      </c>
      <c r="K315">
        <v>58.866056536048077</v>
      </c>
      <c r="L315">
        <v>0.11980000000000422</v>
      </c>
      <c r="N315">
        <v>42.04265483586525</v>
      </c>
      <c r="O315">
        <v>0.112200000000004</v>
      </c>
      <c r="Q315">
        <v>42.819930080939862</v>
      </c>
      <c r="R315">
        <v>9.8200000000003604E-2</v>
      </c>
      <c r="T315">
        <v>9.6900000000003567E-2</v>
      </c>
      <c r="U315">
        <v>0.10900000000000391</v>
      </c>
      <c r="V315">
        <v>9.910000000000363E-2</v>
      </c>
      <c r="W315">
        <v>0.11980000000000422</v>
      </c>
      <c r="X315">
        <v>0.112200000000004</v>
      </c>
      <c r="Y315">
        <v>9.8200000000003604E-2</v>
      </c>
    </row>
    <row r="316" spans="1:25" x14ac:dyDescent="0.55000000000000004">
      <c r="A316" t="s">
        <v>317</v>
      </c>
      <c r="B316">
        <v>45.9449518018085</v>
      </c>
      <c r="C316">
        <v>9.1900000000003423E-2</v>
      </c>
      <c r="E316">
        <v>51.055844163285109</v>
      </c>
      <c r="F316">
        <v>0.11880000000000419</v>
      </c>
      <c r="H316">
        <v>41.905613991965801</v>
      </c>
      <c r="I316">
        <v>0.10650000000000384</v>
      </c>
      <c r="K316">
        <v>55.851024226232774</v>
      </c>
      <c r="L316">
        <v>0.10890000000000391</v>
      </c>
      <c r="N316">
        <v>40.32321671601192</v>
      </c>
      <c r="O316">
        <v>9.840000000000361E-2</v>
      </c>
      <c r="Q316">
        <v>44.401526708481548</v>
      </c>
      <c r="R316">
        <v>8.7700000000003303E-2</v>
      </c>
      <c r="T316">
        <v>9.1900000000003423E-2</v>
      </c>
      <c r="U316">
        <v>0.11880000000000419</v>
      </c>
      <c r="V316">
        <v>0.10650000000000384</v>
      </c>
      <c r="W316">
        <v>0.10890000000000391</v>
      </c>
      <c r="X316">
        <v>9.840000000000361E-2</v>
      </c>
      <c r="Y316">
        <v>8.7700000000003303E-2</v>
      </c>
    </row>
    <row r="317" spans="1:25" x14ac:dyDescent="0.55000000000000004">
      <c r="A317" t="s">
        <v>318</v>
      </c>
      <c r="B317">
        <v>42.636968146421673</v>
      </c>
      <c r="C317">
        <v>7.9000000000003054E-2</v>
      </c>
      <c r="E317">
        <v>38.837417480279591</v>
      </c>
      <c r="F317">
        <v>0.13760000000000297</v>
      </c>
      <c r="H317">
        <v>35.092620171238067</v>
      </c>
      <c r="I317">
        <v>0.10760000000000387</v>
      </c>
      <c r="K317">
        <v>58.503727849304084</v>
      </c>
      <c r="L317">
        <v>0.11260000000000402</v>
      </c>
      <c r="N317">
        <v>33.114424665550388</v>
      </c>
      <c r="O317">
        <v>8.1200000000003117E-2</v>
      </c>
      <c r="Q317">
        <v>45.926954773409733</v>
      </c>
      <c r="R317">
        <v>7.9600000000003071E-2</v>
      </c>
      <c r="T317">
        <v>7.9000000000003054E-2</v>
      </c>
      <c r="U317">
        <v>0.13760000000000297</v>
      </c>
      <c r="V317">
        <v>0.10760000000000387</v>
      </c>
      <c r="W317">
        <v>0.11260000000000402</v>
      </c>
      <c r="X317">
        <v>8.1200000000003117E-2</v>
      </c>
      <c r="Y317">
        <v>7.9600000000003071E-2</v>
      </c>
    </row>
    <row r="318" spans="1:25" x14ac:dyDescent="0.55000000000000004">
      <c r="A318" t="s">
        <v>319</v>
      </c>
      <c r="B318">
        <v>50.374843659396923</v>
      </c>
      <c r="C318">
        <v>7.6500000000002982E-2</v>
      </c>
      <c r="E318">
        <v>47.062714757123118</v>
      </c>
      <c r="F318">
        <v>0.10050000000000367</v>
      </c>
      <c r="H318">
        <v>43.26384084453845</v>
      </c>
      <c r="I318">
        <v>0.10230000000000372</v>
      </c>
      <c r="K318">
        <v>53.940392697458115</v>
      </c>
      <c r="L318">
        <v>0.12010000000000423</v>
      </c>
      <c r="N318">
        <v>41.195092807441988</v>
      </c>
      <c r="O318">
        <v>8.3900000000003194E-2</v>
      </c>
      <c r="Q318">
        <v>45.03550073464546</v>
      </c>
      <c r="R318">
        <v>0.11840000000000418</v>
      </c>
      <c r="T318">
        <v>7.6500000000002982E-2</v>
      </c>
      <c r="U318">
        <v>0.10050000000000367</v>
      </c>
      <c r="V318">
        <v>0.10230000000000372</v>
      </c>
      <c r="W318">
        <v>0.12010000000000423</v>
      </c>
      <c r="X318">
        <v>8.3900000000003194E-2</v>
      </c>
      <c r="Y318">
        <v>0.11840000000000418</v>
      </c>
    </row>
    <row r="319" spans="1:25" x14ac:dyDescent="0.55000000000000004">
      <c r="A319" t="s">
        <v>320</v>
      </c>
      <c r="B319">
        <v>50.674731928673886</v>
      </c>
      <c r="C319">
        <v>4.2400000000002012E-2</v>
      </c>
      <c r="E319">
        <v>48.907716912250478</v>
      </c>
      <c r="F319">
        <v>0.10100000000000368</v>
      </c>
      <c r="H319">
        <v>42.492777131254464</v>
      </c>
      <c r="I319">
        <v>9.3300000000003463E-2</v>
      </c>
      <c r="K319">
        <v>98.874445439375535</v>
      </c>
      <c r="L319">
        <v>0.10290000000000374</v>
      </c>
      <c r="N319">
        <v>54.601524369311818</v>
      </c>
      <c r="O319">
        <v>9.1500000000003412E-2</v>
      </c>
      <c r="Q319">
        <v>77.632830899792808</v>
      </c>
      <c r="R319">
        <v>8.0400000000003094E-2</v>
      </c>
      <c r="T319">
        <v>4.2400000000002012E-2</v>
      </c>
      <c r="U319">
        <v>0.10100000000000368</v>
      </c>
      <c r="V319">
        <v>9.3300000000003463E-2</v>
      </c>
      <c r="W319">
        <v>0.10290000000000374</v>
      </c>
      <c r="X319">
        <v>9.1500000000003412E-2</v>
      </c>
      <c r="Y319">
        <v>8.0400000000003094E-2</v>
      </c>
    </row>
    <row r="320" spans="1:25" x14ac:dyDescent="0.55000000000000004">
      <c r="A320" t="s">
        <v>321</v>
      </c>
      <c r="B320">
        <v>34.876217456556184</v>
      </c>
      <c r="C320">
        <v>8.7900000000003309E-2</v>
      </c>
      <c r="E320">
        <v>51.735780562758855</v>
      </c>
      <c r="F320">
        <v>9.6100000000003544E-2</v>
      </c>
      <c r="H320">
        <v>43.89346213069841</v>
      </c>
      <c r="I320">
        <v>0.10070000000000368</v>
      </c>
      <c r="K320">
        <v>87.782558383550025</v>
      </c>
      <c r="L320">
        <v>0.10420000000000378</v>
      </c>
      <c r="N320">
        <v>48.833436596681643</v>
      </c>
      <c r="O320">
        <v>0.10820000000000389</v>
      </c>
      <c r="Q320">
        <v>43.786401960920458</v>
      </c>
      <c r="R320">
        <v>0.10560000000000382</v>
      </c>
      <c r="T320">
        <v>8.7900000000003309E-2</v>
      </c>
      <c r="U320">
        <v>9.6100000000003544E-2</v>
      </c>
      <c r="V320">
        <v>0.10070000000000368</v>
      </c>
      <c r="W320">
        <v>0.10420000000000378</v>
      </c>
      <c r="X320">
        <v>0.10820000000000389</v>
      </c>
      <c r="Y320">
        <v>0.10560000000000382</v>
      </c>
    </row>
    <row r="321" spans="1:25" x14ac:dyDescent="0.55000000000000004">
      <c r="A321" t="s">
        <v>322</v>
      </c>
      <c r="B321">
        <v>32.836837501601664</v>
      </c>
      <c r="C321">
        <v>8.6000000000003254E-2</v>
      </c>
      <c r="E321">
        <v>45.961563967796508</v>
      </c>
      <c r="F321">
        <v>9.3300000000003463E-2</v>
      </c>
      <c r="H321">
        <v>37.412107817572313</v>
      </c>
      <c r="I321">
        <v>0.10120000000000369</v>
      </c>
      <c r="K321">
        <v>86.642386811929143</v>
      </c>
      <c r="L321">
        <v>0.10620000000000383</v>
      </c>
      <c r="N321">
        <v>50.593895130025722</v>
      </c>
      <c r="O321">
        <v>0.10750000000000387</v>
      </c>
      <c r="Q321">
        <v>53.324144708270509</v>
      </c>
      <c r="R321">
        <v>0.10590000000000382</v>
      </c>
      <c r="T321">
        <v>8.6000000000003254E-2</v>
      </c>
      <c r="U321">
        <v>9.3300000000003463E-2</v>
      </c>
      <c r="V321">
        <v>0.10120000000000369</v>
      </c>
      <c r="W321">
        <v>0.10620000000000383</v>
      </c>
      <c r="X321">
        <v>0.10750000000000387</v>
      </c>
      <c r="Y321">
        <v>0.10590000000000382</v>
      </c>
    </row>
    <row r="322" spans="1:25" x14ac:dyDescent="0.55000000000000004">
      <c r="A322" t="s">
        <v>323</v>
      </c>
      <c r="B322">
        <v>52.122463050959993</v>
      </c>
      <c r="C322">
        <v>8.2500000000003154E-2</v>
      </c>
      <c r="E322">
        <v>36.541313586624227</v>
      </c>
      <c r="F322">
        <v>0.11410000000000406</v>
      </c>
      <c r="H322">
        <v>36.74830373515541</v>
      </c>
      <c r="I322">
        <v>0.12220000000000429</v>
      </c>
      <c r="K322">
        <v>47.797726667624687</v>
      </c>
      <c r="L322">
        <v>0.12710000000000413</v>
      </c>
      <c r="N322">
        <v>35.965754379891656</v>
      </c>
      <c r="O322">
        <v>0.11580000000000411</v>
      </c>
      <c r="Q322">
        <v>45.451199558702818</v>
      </c>
      <c r="R322">
        <v>0.10000000000000366</v>
      </c>
      <c r="T322">
        <v>8.2500000000003154E-2</v>
      </c>
      <c r="U322">
        <v>0.11410000000000406</v>
      </c>
      <c r="V322">
        <v>0.12220000000000429</v>
      </c>
      <c r="W322">
        <v>0.12710000000000413</v>
      </c>
      <c r="X322">
        <v>0.11580000000000411</v>
      </c>
      <c r="Y322">
        <v>0.10000000000000366</v>
      </c>
    </row>
    <row r="323" spans="1:25" x14ac:dyDescent="0.55000000000000004">
      <c r="A323" t="s">
        <v>324</v>
      </c>
      <c r="B323">
        <v>65.039212973558605</v>
      </c>
      <c r="C323">
        <v>6.1800000000002568E-2</v>
      </c>
      <c r="E323">
        <v>50.643818811775894</v>
      </c>
      <c r="F323">
        <v>0.10410000000000377</v>
      </c>
      <c r="H323">
        <v>34.47755477329045</v>
      </c>
      <c r="I323">
        <v>0.1052000000000038</v>
      </c>
      <c r="K323">
        <v>54.632686040567791</v>
      </c>
      <c r="L323">
        <v>0.12360000000000433</v>
      </c>
      <c r="N323">
        <v>34.348399407830271</v>
      </c>
      <c r="O323">
        <v>0.112100000000004</v>
      </c>
      <c r="Q323">
        <v>48.614802908337651</v>
      </c>
      <c r="R323">
        <v>0.11520000000000409</v>
      </c>
      <c r="T323">
        <v>6.1800000000002568E-2</v>
      </c>
      <c r="U323">
        <v>0.10410000000000377</v>
      </c>
      <c r="V323">
        <v>0.1052000000000038</v>
      </c>
      <c r="W323">
        <v>0.12360000000000433</v>
      </c>
      <c r="X323">
        <v>0.112100000000004</v>
      </c>
      <c r="Y323">
        <v>0.11520000000000409</v>
      </c>
    </row>
    <row r="324" spans="1:25" x14ac:dyDescent="0.55000000000000004">
      <c r="A324" t="s">
        <v>325</v>
      </c>
      <c r="B324">
        <v>29.934559438563454</v>
      </c>
      <c r="C324">
        <v>8.550000000000324E-2</v>
      </c>
      <c r="E324">
        <v>47.188799547207687</v>
      </c>
      <c r="F324">
        <v>0.10640000000000384</v>
      </c>
      <c r="H324">
        <v>37.371194836972272</v>
      </c>
      <c r="I324">
        <v>0.11150000000000398</v>
      </c>
      <c r="K324">
        <v>101.09277674843518</v>
      </c>
      <c r="L324">
        <v>0.20399999999999566</v>
      </c>
      <c r="N324">
        <v>42.270802265545768</v>
      </c>
      <c r="O324">
        <v>0.12270000000000431</v>
      </c>
      <c r="Q324">
        <v>42.426223504112144</v>
      </c>
      <c r="R324">
        <v>9.4200000000003489E-2</v>
      </c>
      <c r="T324">
        <v>8.550000000000324E-2</v>
      </c>
      <c r="U324">
        <v>0.10640000000000384</v>
      </c>
      <c r="V324">
        <v>0.11150000000000398</v>
      </c>
      <c r="W324">
        <v>0.20399999999999566</v>
      </c>
      <c r="X324">
        <v>0.12270000000000431</v>
      </c>
      <c r="Y324">
        <v>9.4200000000003489E-2</v>
      </c>
    </row>
    <row r="325" spans="1:25" x14ac:dyDescent="0.55000000000000004">
      <c r="A325" t="s">
        <v>326</v>
      </c>
      <c r="B325">
        <v>32.521814191008382</v>
      </c>
      <c r="C325">
        <v>7.7100000000002999E-2</v>
      </c>
      <c r="E325">
        <v>43.86622449604706</v>
      </c>
      <c r="F325">
        <v>0.10580000000000382</v>
      </c>
      <c r="H325">
        <v>45.343906369861614</v>
      </c>
      <c r="I325">
        <v>0.12510000000000435</v>
      </c>
      <c r="K325">
        <v>92.625706392874378</v>
      </c>
      <c r="L325">
        <v>0.12230000000000429</v>
      </c>
      <c r="N325">
        <v>51.07710656754027</v>
      </c>
      <c r="O325">
        <v>0.12120000000000426</v>
      </c>
      <c r="Q325">
        <v>42.814211370697301</v>
      </c>
      <c r="R325">
        <v>0.11720000000000415</v>
      </c>
      <c r="T325">
        <v>7.7100000000002999E-2</v>
      </c>
      <c r="U325">
        <v>0.10580000000000382</v>
      </c>
      <c r="V325">
        <v>0.12510000000000435</v>
      </c>
      <c r="W325">
        <v>0.12230000000000429</v>
      </c>
      <c r="X325">
        <v>0.12120000000000426</v>
      </c>
      <c r="Y325">
        <v>0.11720000000000415</v>
      </c>
    </row>
    <row r="326" spans="1:25" x14ac:dyDescent="0.55000000000000004">
      <c r="A326" t="s">
        <v>327</v>
      </c>
      <c r="B326">
        <v>68.79301063625195</v>
      </c>
      <c r="C326">
        <v>0.12010000000000423</v>
      </c>
      <c r="E326">
        <v>75.835480204085954</v>
      </c>
      <c r="F326">
        <v>0.14260000000000242</v>
      </c>
      <c r="H326">
        <v>32.875014269121294</v>
      </c>
      <c r="I326">
        <v>0.13310000000000347</v>
      </c>
      <c r="K326">
        <v>68.807455206372808</v>
      </c>
      <c r="L326">
        <v>0.12790000000000404</v>
      </c>
      <c r="N326">
        <v>46.897358279534082</v>
      </c>
      <c r="O326">
        <v>0.12400000000000434</v>
      </c>
      <c r="Q326">
        <v>36.02426326829459</v>
      </c>
      <c r="R326">
        <v>0.11000000000000394</v>
      </c>
      <c r="T326">
        <v>0.12010000000000423</v>
      </c>
      <c r="U326">
        <v>0.14260000000000242</v>
      </c>
      <c r="V326">
        <v>0.13310000000000347</v>
      </c>
      <c r="W326">
        <v>0.12790000000000404</v>
      </c>
      <c r="X326">
        <v>0.12400000000000434</v>
      </c>
      <c r="Y326">
        <v>0.11000000000000394</v>
      </c>
    </row>
    <row r="327" spans="1:25" x14ac:dyDescent="0.55000000000000004">
      <c r="A327" t="s">
        <v>328</v>
      </c>
      <c r="B327">
        <v>50.329497233460238</v>
      </c>
      <c r="C327">
        <v>0.10240000000000372</v>
      </c>
      <c r="E327">
        <v>41.857393558480112</v>
      </c>
      <c r="F327">
        <v>0.11590000000000411</v>
      </c>
      <c r="H327">
        <v>37.47534109778185</v>
      </c>
      <c r="I327">
        <v>0.12430000000000435</v>
      </c>
      <c r="K327">
        <v>61.226314123649118</v>
      </c>
      <c r="L327">
        <v>0.12380000000000434</v>
      </c>
      <c r="N327">
        <v>39.292928582314261</v>
      </c>
      <c r="O327">
        <v>0.12850000000000397</v>
      </c>
      <c r="Q327">
        <v>45.447802717093019</v>
      </c>
      <c r="R327">
        <v>0.13030000000000377</v>
      </c>
      <c r="T327">
        <v>0.10240000000000372</v>
      </c>
      <c r="U327">
        <v>0.11590000000000411</v>
      </c>
      <c r="V327">
        <v>0.12430000000000435</v>
      </c>
      <c r="W327">
        <v>0.12380000000000434</v>
      </c>
      <c r="X327">
        <v>0.12850000000000397</v>
      </c>
      <c r="Y327">
        <v>0.13030000000000377</v>
      </c>
    </row>
    <row r="328" spans="1:25" x14ac:dyDescent="0.55000000000000004">
      <c r="A328" t="s">
        <v>329</v>
      </c>
      <c r="B328">
        <v>34.608228120136289</v>
      </c>
      <c r="C328">
        <v>8.200000000000314E-2</v>
      </c>
      <c r="E328">
        <v>50.562261367596193</v>
      </c>
      <c r="F328">
        <v>0.12900000000000392</v>
      </c>
      <c r="H328">
        <v>43.808817596399081</v>
      </c>
      <c r="I328">
        <v>0.12390000000000434</v>
      </c>
      <c r="K328">
        <v>58.765530272985153</v>
      </c>
      <c r="L328">
        <v>0.20639999999999539</v>
      </c>
      <c r="N328">
        <v>41.852994029914278</v>
      </c>
      <c r="O328">
        <v>0.10680000000000385</v>
      </c>
      <c r="Q328">
        <v>56.859090665158035</v>
      </c>
      <c r="R328">
        <v>0.10480000000000379</v>
      </c>
      <c r="T328">
        <v>8.200000000000314E-2</v>
      </c>
      <c r="U328">
        <v>0.12900000000000392</v>
      </c>
      <c r="V328">
        <v>0.12390000000000434</v>
      </c>
      <c r="W328">
        <v>0.20639999999999539</v>
      </c>
      <c r="X328">
        <v>0.10680000000000385</v>
      </c>
      <c r="Y328">
        <v>0.10480000000000379</v>
      </c>
    </row>
    <row r="329" spans="1:25" x14ac:dyDescent="0.55000000000000004">
      <c r="A329" t="s">
        <v>330</v>
      </c>
      <c r="B329">
        <v>37.238739511963942</v>
      </c>
      <c r="C329">
        <v>7.7600000000003014E-2</v>
      </c>
      <c r="E329">
        <v>41.331733366315277</v>
      </c>
      <c r="F329">
        <v>9.4700000000003504E-2</v>
      </c>
      <c r="H329">
        <v>36.363562624268596</v>
      </c>
      <c r="I329">
        <v>0.10610000000000383</v>
      </c>
      <c r="K329">
        <v>66.756927443812842</v>
      </c>
      <c r="L329">
        <v>0.11230000000000401</v>
      </c>
      <c r="N329">
        <v>38.405313613926729</v>
      </c>
      <c r="O329">
        <v>0.12010000000000423</v>
      </c>
      <c r="Q329">
        <v>38.827553818836662</v>
      </c>
      <c r="R329">
        <v>8.4500000000003211E-2</v>
      </c>
      <c r="T329">
        <v>7.7600000000003014E-2</v>
      </c>
      <c r="U329">
        <v>9.4700000000003504E-2</v>
      </c>
      <c r="V329">
        <v>0.10610000000000383</v>
      </c>
      <c r="W329">
        <v>0.11230000000000401</v>
      </c>
      <c r="X329">
        <v>0.12010000000000423</v>
      </c>
      <c r="Y329">
        <v>8.4500000000003211E-2</v>
      </c>
    </row>
    <row r="330" spans="1:25" x14ac:dyDescent="0.55000000000000004">
      <c r="A330" t="s">
        <v>331</v>
      </c>
      <c r="B330">
        <v>63.510146013555193</v>
      </c>
      <c r="C330">
        <v>8.3700000000003189E-2</v>
      </c>
      <c r="E330">
        <v>42.392764520471097</v>
      </c>
      <c r="F330">
        <v>0.10270000000000373</v>
      </c>
      <c r="H330">
        <v>33.354469240128317</v>
      </c>
      <c r="I330">
        <v>9.5900000000003538E-2</v>
      </c>
      <c r="K330">
        <v>62.453220823858395</v>
      </c>
      <c r="L330">
        <v>0.12540000000000431</v>
      </c>
      <c r="N330">
        <v>37.837071608612206</v>
      </c>
      <c r="O330">
        <v>0.12880000000000394</v>
      </c>
      <c r="Q330">
        <v>45.207290236009662</v>
      </c>
      <c r="R330">
        <v>9.7900000000003595E-2</v>
      </c>
      <c r="T330">
        <v>8.3700000000003189E-2</v>
      </c>
      <c r="U330">
        <v>0.10270000000000373</v>
      </c>
      <c r="V330">
        <v>9.5900000000003538E-2</v>
      </c>
      <c r="W330">
        <v>0.12540000000000431</v>
      </c>
      <c r="X330">
        <v>0.12880000000000394</v>
      </c>
      <c r="Y330">
        <v>9.7900000000003595E-2</v>
      </c>
    </row>
    <row r="331" spans="1:25" x14ac:dyDescent="0.55000000000000004">
      <c r="A331" t="s">
        <v>332</v>
      </c>
      <c r="B331">
        <v>47.782504144581488</v>
      </c>
      <c r="C331">
        <v>7.5700000000002959E-2</v>
      </c>
      <c r="E331">
        <v>38.541640827116204</v>
      </c>
      <c r="F331">
        <v>0.10180000000000371</v>
      </c>
      <c r="H331">
        <v>33.237629267602991</v>
      </c>
      <c r="I331">
        <v>0.10090000000000368</v>
      </c>
      <c r="K331">
        <v>52.86233447200064</v>
      </c>
      <c r="L331">
        <v>0.12370000000000433</v>
      </c>
      <c r="N331">
        <v>38.229155693053606</v>
      </c>
      <c r="O331">
        <v>0.12600000000000425</v>
      </c>
      <c r="Q331">
        <v>39.160045303993009</v>
      </c>
      <c r="R331">
        <v>9.8200000000003604E-2</v>
      </c>
      <c r="T331">
        <v>7.5700000000002959E-2</v>
      </c>
      <c r="U331">
        <v>0.10180000000000371</v>
      </c>
      <c r="V331">
        <v>0.10090000000000368</v>
      </c>
      <c r="W331">
        <v>0.12370000000000433</v>
      </c>
      <c r="X331">
        <v>0.12600000000000425</v>
      </c>
      <c r="Y331">
        <v>9.8200000000003604E-2</v>
      </c>
    </row>
    <row r="332" spans="1:25" x14ac:dyDescent="0.55000000000000004">
      <c r="A332" t="s">
        <v>333</v>
      </c>
      <c r="B332">
        <v>44.025449895637863</v>
      </c>
      <c r="C332">
        <v>5.8500000000002474E-2</v>
      </c>
      <c r="E332">
        <v>48.258101707416898</v>
      </c>
      <c r="F332">
        <v>0.10890000000000391</v>
      </c>
      <c r="H332">
        <v>42.516604478052017</v>
      </c>
      <c r="I332">
        <v>0.10790000000000388</v>
      </c>
      <c r="K332">
        <v>62.471539193739353</v>
      </c>
      <c r="L332">
        <v>0.11610000000000412</v>
      </c>
      <c r="N332">
        <v>36.736208910938394</v>
      </c>
      <c r="O332">
        <v>0.11610000000000412</v>
      </c>
      <c r="Q332">
        <v>46.419618720579344</v>
      </c>
      <c r="R332">
        <v>8.6600000000003272E-2</v>
      </c>
      <c r="T332">
        <v>5.8500000000002474E-2</v>
      </c>
      <c r="U332">
        <v>0.10890000000000391</v>
      </c>
      <c r="V332">
        <v>0.10790000000000388</v>
      </c>
      <c r="W332">
        <v>0.11610000000000412</v>
      </c>
      <c r="X332">
        <v>0.11610000000000412</v>
      </c>
      <c r="Y332">
        <v>8.6600000000003272E-2</v>
      </c>
    </row>
    <row r="333" spans="1:25" x14ac:dyDescent="0.55000000000000004">
      <c r="A333" t="s">
        <v>334</v>
      </c>
      <c r="B333">
        <v>45.559720051042142</v>
      </c>
      <c r="C333">
        <v>8.4600000000003214E-2</v>
      </c>
      <c r="E333">
        <v>48.516745934485797</v>
      </c>
      <c r="F333">
        <v>0.10660000000000384</v>
      </c>
      <c r="H333">
        <v>36.582716312577006</v>
      </c>
      <c r="I333">
        <v>0.10360000000000376</v>
      </c>
      <c r="K333">
        <v>55.931908646824937</v>
      </c>
      <c r="L333">
        <v>0.2471999999999909</v>
      </c>
      <c r="N333">
        <v>31.771277493519065</v>
      </c>
      <c r="O333">
        <v>0.10480000000000379</v>
      </c>
      <c r="Q333">
        <v>41.410094056548928</v>
      </c>
      <c r="R333">
        <v>8.2300000000003148E-2</v>
      </c>
      <c r="T333">
        <v>8.4600000000003214E-2</v>
      </c>
      <c r="U333">
        <v>0.10660000000000384</v>
      </c>
      <c r="V333">
        <v>0.10360000000000376</v>
      </c>
      <c r="W333">
        <v>0.2471999999999909</v>
      </c>
      <c r="X333">
        <v>0.10480000000000379</v>
      </c>
      <c r="Y333">
        <v>8.2300000000003148E-2</v>
      </c>
    </row>
    <row r="334" spans="1:25" x14ac:dyDescent="0.55000000000000004">
      <c r="A334" t="s">
        <v>335</v>
      </c>
      <c r="B334">
        <v>32.758453261010054</v>
      </c>
      <c r="C334">
        <v>8.6800000000003277E-2</v>
      </c>
      <c r="E334">
        <v>48.440151811463586</v>
      </c>
      <c r="F334">
        <v>0.10630000000000384</v>
      </c>
      <c r="H334">
        <v>38.820111659269088</v>
      </c>
      <c r="I334">
        <v>0.10960000000000393</v>
      </c>
      <c r="K334">
        <v>83.075781219189864</v>
      </c>
      <c r="L334">
        <v>0.11590000000000411</v>
      </c>
      <c r="N334">
        <v>45.275436286977559</v>
      </c>
      <c r="O334">
        <v>9.8600000000003615E-2</v>
      </c>
      <c r="Q334">
        <v>46.321579895749927</v>
      </c>
      <c r="R334">
        <v>9.4800000000003506E-2</v>
      </c>
      <c r="T334">
        <v>8.6800000000003277E-2</v>
      </c>
      <c r="U334">
        <v>0.10630000000000384</v>
      </c>
      <c r="V334">
        <v>0.10960000000000393</v>
      </c>
      <c r="W334">
        <v>0.11590000000000411</v>
      </c>
      <c r="X334">
        <v>9.8600000000003615E-2</v>
      </c>
      <c r="Y334">
        <v>9.4800000000003506E-2</v>
      </c>
    </row>
    <row r="335" spans="1:25" x14ac:dyDescent="0.55000000000000004">
      <c r="A335" t="s">
        <v>336</v>
      </c>
      <c r="B335">
        <v>34.454249731033677</v>
      </c>
      <c r="C335">
        <v>9.4100000000003486E-2</v>
      </c>
      <c r="E335">
        <v>50.177302624950094</v>
      </c>
      <c r="F335">
        <v>0.13610000000000314</v>
      </c>
      <c r="H335">
        <v>33.363481275682659</v>
      </c>
      <c r="I335">
        <v>0.12980000000000383</v>
      </c>
      <c r="K335">
        <v>51.248088833319699</v>
      </c>
      <c r="L335">
        <v>0.12190000000000428</v>
      </c>
      <c r="N335">
        <v>34.629269914773765</v>
      </c>
      <c r="O335">
        <v>0.11300000000000403</v>
      </c>
      <c r="Q335">
        <v>43.830453263637388</v>
      </c>
      <c r="R335">
        <v>0.10080000000000368</v>
      </c>
      <c r="T335">
        <v>9.4100000000003486E-2</v>
      </c>
      <c r="U335">
        <v>0.13610000000000314</v>
      </c>
      <c r="V335">
        <v>0.12980000000000383</v>
      </c>
      <c r="W335">
        <v>0.12190000000000428</v>
      </c>
      <c r="X335">
        <v>0.11300000000000403</v>
      </c>
      <c r="Y335">
        <v>0.10080000000000368</v>
      </c>
    </row>
    <row r="336" spans="1:25" x14ac:dyDescent="0.55000000000000004">
      <c r="A336" t="s">
        <v>337</v>
      </c>
      <c r="B336">
        <v>39.039173436728746</v>
      </c>
      <c r="C336">
        <v>7.4900000000002936E-2</v>
      </c>
      <c r="E336">
        <v>46.480921307202443</v>
      </c>
      <c r="F336">
        <v>0.11250000000000401</v>
      </c>
      <c r="H336">
        <v>41.135214352063151</v>
      </c>
      <c r="I336">
        <v>0.112000000000004</v>
      </c>
      <c r="K336">
        <v>56.102864441692603</v>
      </c>
      <c r="L336">
        <v>0.11410000000000406</v>
      </c>
      <c r="N336">
        <v>34.214867971241418</v>
      </c>
      <c r="O336">
        <v>8.41000000000032E-2</v>
      </c>
      <c r="Q336">
        <v>63.783652032676962</v>
      </c>
      <c r="R336">
        <v>8.1800000000003134E-2</v>
      </c>
      <c r="T336">
        <v>7.4900000000002936E-2</v>
      </c>
      <c r="U336">
        <v>0.11250000000000401</v>
      </c>
      <c r="V336">
        <v>0.112000000000004</v>
      </c>
      <c r="W336">
        <v>0.11410000000000406</v>
      </c>
      <c r="X336">
        <v>8.41000000000032E-2</v>
      </c>
      <c r="Y336">
        <v>8.1800000000003134E-2</v>
      </c>
    </row>
    <row r="337" spans="1:25" x14ac:dyDescent="0.55000000000000004">
      <c r="A337" t="s">
        <v>338</v>
      </c>
      <c r="B337">
        <v>49.193533787974367</v>
      </c>
      <c r="C337">
        <v>9.0700000000003389E-2</v>
      </c>
      <c r="E337">
        <v>45.34909029781366</v>
      </c>
      <c r="F337">
        <v>0.13850000000000287</v>
      </c>
      <c r="H337">
        <v>41.557270800425471</v>
      </c>
      <c r="I337">
        <v>0.11300000000000403</v>
      </c>
      <c r="K337">
        <v>54.012750073258381</v>
      </c>
      <c r="L337">
        <v>0.12780000000000405</v>
      </c>
      <c r="N337">
        <v>40.413714917363755</v>
      </c>
      <c r="O337">
        <v>0.11700000000000414</v>
      </c>
      <c r="Q337">
        <v>52.351444097703876</v>
      </c>
      <c r="R337">
        <v>9.9900000000003653E-2</v>
      </c>
      <c r="T337">
        <v>9.0700000000003389E-2</v>
      </c>
      <c r="U337">
        <v>0.13850000000000287</v>
      </c>
      <c r="V337">
        <v>0.11300000000000403</v>
      </c>
      <c r="W337">
        <v>0.12780000000000405</v>
      </c>
      <c r="X337">
        <v>0.11700000000000414</v>
      </c>
      <c r="Y337">
        <v>9.9900000000003653E-2</v>
      </c>
    </row>
    <row r="338" spans="1:25" x14ac:dyDescent="0.55000000000000004">
      <c r="A338" t="s">
        <v>339</v>
      </c>
      <c r="B338">
        <v>31.414403817021022</v>
      </c>
      <c r="C338">
        <v>8.4500000000003211E-2</v>
      </c>
      <c r="E338">
        <v>38.825140430984007</v>
      </c>
      <c r="F338">
        <v>0.12180000000000428</v>
      </c>
      <c r="H338">
        <v>31.927849854376436</v>
      </c>
      <c r="I338">
        <v>0.12450000000000436</v>
      </c>
      <c r="K338">
        <v>81.269647572433129</v>
      </c>
      <c r="L338">
        <v>0.12540000000000431</v>
      </c>
      <c r="N338">
        <v>45.648383925301388</v>
      </c>
      <c r="O338">
        <v>0.11990000000000423</v>
      </c>
      <c r="Q338">
        <v>47.074398599618007</v>
      </c>
      <c r="R338">
        <v>0.12280000000000431</v>
      </c>
      <c r="T338">
        <v>8.4500000000003211E-2</v>
      </c>
      <c r="U338">
        <v>0.12180000000000428</v>
      </c>
      <c r="V338">
        <v>0.12450000000000436</v>
      </c>
      <c r="W338">
        <v>0.12540000000000431</v>
      </c>
      <c r="X338">
        <v>0.11990000000000423</v>
      </c>
      <c r="Y338">
        <v>0.12280000000000431</v>
      </c>
    </row>
    <row r="339" spans="1:25" x14ac:dyDescent="0.55000000000000004">
      <c r="A339" t="s">
        <v>340</v>
      </c>
      <c r="B339">
        <v>35.432507203586226</v>
      </c>
      <c r="C339">
        <v>9.8200000000003604E-2</v>
      </c>
      <c r="E339">
        <v>61.873189519986546</v>
      </c>
      <c r="F339">
        <v>0.10240000000000372</v>
      </c>
      <c r="H339">
        <v>37.197982755279241</v>
      </c>
      <c r="I339">
        <v>0.10400000000000377</v>
      </c>
      <c r="K339">
        <v>88.785370644246512</v>
      </c>
      <c r="L339">
        <v>0.10980000000000394</v>
      </c>
      <c r="N339">
        <v>47.030362918006119</v>
      </c>
      <c r="O339">
        <v>0.10980000000000394</v>
      </c>
      <c r="Q339">
        <v>47.049390550150051</v>
      </c>
      <c r="R339">
        <v>8.5400000000003237E-2</v>
      </c>
      <c r="T339">
        <v>9.8200000000003604E-2</v>
      </c>
      <c r="U339">
        <v>0.10240000000000372</v>
      </c>
      <c r="V339">
        <v>0.10400000000000377</v>
      </c>
      <c r="W339">
        <v>0.10980000000000394</v>
      </c>
      <c r="X339">
        <v>0.10980000000000394</v>
      </c>
      <c r="Y339">
        <v>8.5400000000003237E-2</v>
      </c>
    </row>
    <row r="340" spans="1:25" x14ac:dyDescent="0.55000000000000004">
      <c r="A340" t="s">
        <v>341</v>
      </c>
      <c r="B340">
        <v>35.766059525755189</v>
      </c>
      <c r="C340">
        <v>7.3500000000002896E-2</v>
      </c>
      <c r="E340">
        <v>41.083774832303874</v>
      </c>
      <c r="F340">
        <v>8.9200000000003346E-2</v>
      </c>
      <c r="H340">
        <v>33.633788819341248</v>
      </c>
      <c r="I340">
        <v>0.10730000000000386</v>
      </c>
      <c r="K340">
        <v>69.763516053854886</v>
      </c>
      <c r="L340">
        <v>0.22889999999999291</v>
      </c>
      <c r="N340">
        <v>39.207104032881325</v>
      </c>
      <c r="O340">
        <v>0.10310000000000374</v>
      </c>
      <c r="Q340">
        <v>45.99563078585853</v>
      </c>
      <c r="R340">
        <v>8.7300000000003292E-2</v>
      </c>
      <c r="T340">
        <v>7.3500000000002896E-2</v>
      </c>
      <c r="U340">
        <v>8.9200000000003346E-2</v>
      </c>
      <c r="V340">
        <v>0.10730000000000386</v>
      </c>
      <c r="W340">
        <v>0.22889999999999291</v>
      </c>
      <c r="X340">
        <v>0.10310000000000374</v>
      </c>
      <c r="Y340">
        <v>8.7300000000003292E-2</v>
      </c>
    </row>
    <row r="341" spans="1:25" x14ac:dyDescent="0.55000000000000004">
      <c r="A341" t="s">
        <v>342</v>
      </c>
      <c r="B341">
        <v>54.165433040132342</v>
      </c>
      <c r="C341">
        <v>9.2700000000003446E-2</v>
      </c>
      <c r="E341">
        <v>56.394988363449706</v>
      </c>
      <c r="F341">
        <v>0.11850000000000419</v>
      </c>
      <c r="H341">
        <v>41.045425709982744</v>
      </c>
      <c r="I341">
        <v>0.12270000000000431</v>
      </c>
      <c r="K341">
        <v>84.361551747339846</v>
      </c>
      <c r="L341">
        <v>0.11300000000000403</v>
      </c>
      <c r="N341">
        <v>44.415740646526544</v>
      </c>
      <c r="O341">
        <v>0.11330000000000404</v>
      </c>
      <c r="Q341">
        <v>44.084490604595295</v>
      </c>
      <c r="R341">
        <v>0.10250000000000373</v>
      </c>
      <c r="T341">
        <v>9.2700000000003446E-2</v>
      </c>
      <c r="U341">
        <v>0.11850000000000419</v>
      </c>
      <c r="V341">
        <v>0.12270000000000431</v>
      </c>
      <c r="W341">
        <v>0.11300000000000403</v>
      </c>
      <c r="X341">
        <v>0.11330000000000404</v>
      </c>
      <c r="Y341">
        <v>0.10250000000000373</v>
      </c>
    </row>
    <row r="342" spans="1:25" x14ac:dyDescent="0.55000000000000004">
      <c r="A342" t="s">
        <v>343</v>
      </c>
      <c r="B342">
        <v>40.097654134636308</v>
      </c>
      <c r="C342">
        <v>8.1800000000003134E-2</v>
      </c>
      <c r="E342">
        <v>47.766668402626145</v>
      </c>
      <c r="F342">
        <v>0.10930000000000392</v>
      </c>
      <c r="H342">
        <v>36.085092939465305</v>
      </c>
      <c r="I342">
        <v>0.10690000000000385</v>
      </c>
      <c r="K342">
        <v>46.971744444248131</v>
      </c>
      <c r="L342">
        <v>0.12480000000000437</v>
      </c>
      <c r="N342">
        <v>33.29685828178777</v>
      </c>
      <c r="O342">
        <v>0.12010000000000423</v>
      </c>
      <c r="Q342">
        <v>40.412906164984911</v>
      </c>
      <c r="R342">
        <v>9.4600000000003501E-2</v>
      </c>
      <c r="T342">
        <v>8.1800000000003134E-2</v>
      </c>
      <c r="U342">
        <v>0.10930000000000392</v>
      </c>
      <c r="V342">
        <v>0.10690000000000385</v>
      </c>
      <c r="W342">
        <v>0.12480000000000437</v>
      </c>
      <c r="X342">
        <v>0.12010000000000423</v>
      </c>
      <c r="Y342">
        <v>9.4600000000003501E-2</v>
      </c>
    </row>
    <row r="343" spans="1:25" x14ac:dyDescent="0.55000000000000004">
      <c r="A343" t="s">
        <v>344</v>
      </c>
      <c r="B343">
        <v>43.00060419383626</v>
      </c>
      <c r="C343">
        <v>9.3200000000003461E-2</v>
      </c>
      <c r="E343">
        <v>49.899412146300996</v>
      </c>
      <c r="F343">
        <v>0.11310000000000403</v>
      </c>
      <c r="H343">
        <v>45.502909223699753</v>
      </c>
      <c r="I343">
        <v>0.11230000000000401</v>
      </c>
      <c r="K343">
        <v>63.568229128461702</v>
      </c>
      <c r="L343">
        <v>0.12600000000000425</v>
      </c>
      <c r="N343">
        <v>41.578898647193299</v>
      </c>
      <c r="O343">
        <v>0.11480000000000408</v>
      </c>
      <c r="Q343">
        <v>55.293210759299221</v>
      </c>
      <c r="R343">
        <v>0.10400000000000377</v>
      </c>
      <c r="T343">
        <v>9.3200000000003461E-2</v>
      </c>
      <c r="U343">
        <v>0.11310000000000403</v>
      </c>
      <c r="V343">
        <v>0.11230000000000401</v>
      </c>
      <c r="W343">
        <v>0.12600000000000425</v>
      </c>
      <c r="X343">
        <v>0.11480000000000408</v>
      </c>
      <c r="Y343">
        <v>0.10400000000000377</v>
      </c>
    </row>
    <row r="344" spans="1:25" x14ac:dyDescent="0.55000000000000004">
      <c r="A344" t="s">
        <v>345</v>
      </c>
      <c r="B344">
        <v>44.358774099776866</v>
      </c>
      <c r="C344">
        <v>7.7200000000003002E-2</v>
      </c>
      <c r="E344">
        <v>49.256585420938741</v>
      </c>
      <c r="F344">
        <v>0.12070000000000425</v>
      </c>
      <c r="H344">
        <v>46.943709033429549</v>
      </c>
      <c r="I344">
        <v>0.10630000000000384</v>
      </c>
      <c r="K344">
        <v>54.486614949643915</v>
      </c>
      <c r="L344">
        <v>0.10060000000000367</v>
      </c>
      <c r="N344">
        <v>44.724235372542708</v>
      </c>
      <c r="O344">
        <v>0.11450000000000407</v>
      </c>
      <c r="Q344">
        <v>65.469036679880404</v>
      </c>
      <c r="R344">
        <v>0.11250000000000401</v>
      </c>
      <c r="T344">
        <v>7.7200000000003002E-2</v>
      </c>
      <c r="U344">
        <v>0.12070000000000425</v>
      </c>
      <c r="V344">
        <v>0.10630000000000384</v>
      </c>
      <c r="W344">
        <v>0.10060000000000367</v>
      </c>
      <c r="X344">
        <v>0.11450000000000407</v>
      </c>
      <c r="Y344">
        <v>0.11250000000000401</v>
      </c>
    </row>
    <row r="345" spans="1:25" x14ac:dyDescent="0.55000000000000004">
      <c r="A345" t="s">
        <v>346</v>
      </c>
      <c r="B345">
        <v>52.718932594649502</v>
      </c>
      <c r="C345">
        <v>7.5700000000002959E-2</v>
      </c>
      <c r="E345">
        <v>39.940209149326179</v>
      </c>
      <c r="F345">
        <v>0.11480000000000408</v>
      </c>
      <c r="H345">
        <v>39.371076592482943</v>
      </c>
      <c r="I345">
        <v>0.11130000000000398</v>
      </c>
      <c r="K345">
        <v>52.317939614646406</v>
      </c>
      <c r="L345">
        <v>0.11310000000000403</v>
      </c>
      <c r="N345">
        <v>42.474369379401985</v>
      </c>
      <c r="O345">
        <v>0.11780000000000417</v>
      </c>
      <c r="Q345">
        <v>52.700491330632168</v>
      </c>
      <c r="R345">
        <v>0.11330000000000404</v>
      </c>
      <c r="T345">
        <v>7.5700000000002959E-2</v>
      </c>
      <c r="U345">
        <v>0.11480000000000408</v>
      </c>
      <c r="V345">
        <v>0.11130000000000398</v>
      </c>
      <c r="W345">
        <v>0.11310000000000403</v>
      </c>
      <c r="X345">
        <v>0.11780000000000417</v>
      </c>
      <c r="Y345">
        <v>0.11330000000000404</v>
      </c>
    </row>
    <row r="346" spans="1:25" x14ac:dyDescent="0.55000000000000004">
      <c r="A346" t="s">
        <v>347</v>
      </c>
      <c r="B346">
        <v>70.518292167206027</v>
      </c>
      <c r="C346">
        <v>9.0100000000003372E-2</v>
      </c>
      <c r="E346">
        <v>38.40947548126379</v>
      </c>
      <c r="F346">
        <v>0.10760000000000387</v>
      </c>
      <c r="H346">
        <v>40.913010693996078</v>
      </c>
      <c r="I346">
        <v>0.1052000000000038</v>
      </c>
      <c r="K346">
        <v>58.920324905125369</v>
      </c>
      <c r="L346">
        <v>0.12670000000000417</v>
      </c>
      <c r="N346">
        <v>45.170199611078949</v>
      </c>
      <c r="O346">
        <v>0.10070000000000368</v>
      </c>
      <c r="Q346">
        <v>52.575730935411428</v>
      </c>
      <c r="R346">
        <v>9.9300000000003635E-2</v>
      </c>
      <c r="T346">
        <v>9.0100000000003372E-2</v>
      </c>
      <c r="U346">
        <v>0.10760000000000387</v>
      </c>
      <c r="V346">
        <v>0.1052000000000038</v>
      </c>
      <c r="W346">
        <v>0.12670000000000417</v>
      </c>
      <c r="X346">
        <v>0.10070000000000368</v>
      </c>
      <c r="Y346">
        <v>9.9300000000003635E-2</v>
      </c>
    </row>
    <row r="347" spans="1:25" x14ac:dyDescent="0.55000000000000004">
      <c r="A347" t="s">
        <v>348</v>
      </c>
      <c r="B347">
        <v>37.944602136650914</v>
      </c>
      <c r="C347">
        <v>9.2200000000003432E-2</v>
      </c>
      <c r="E347">
        <v>43.866311126770839</v>
      </c>
      <c r="F347">
        <v>0.12000000000000423</v>
      </c>
      <c r="H347">
        <v>39.477852274712099</v>
      </c>
      <c r="I347">
        <v>0.10610000000000383</v>
      </c>
      <c r="K347">
        <v>44.719295788989747</v>
      </c>
      <c r="L347">
        <v>0.26229999999998926</v>
      </c>
      <c r="N347">
        <v>36.309489026000811</v>
      </c>
      <c r="O347">
        <v>0.11600000000000411</v>
      </c>
      <c r="Q347">
        <v>41.330605269732843</v>
      </c>
      <c r="R347">
        <v>0.10410000000000377</v>
      </c>
      <c r="T347">
        <v>9.2200000000003432E-2</v>
      </c>
      <c r="U347">
        <v>0.12000000000000423</v>
      </c>
      <c r="V347">
        <v>0.10610000000000383</v>
      </c>
      <c r="W347">
        <v>0.26229999999998926</v>
      </c>
      <c r="X347">
        <v>0.11600000000000411</v>
      </c>
      <c r="Y347">
        <v>0.10410000000000377</v>
      </c>
    </row>
    <row r="348" spans="1:25" x14ac:dyDescent="0.55000000000000004">
      <c r="A348" t="s">
        <v>349</v>
      </c>
      <c r="B348">
        <v>51.955734343710681</v>
      </c>
      <c r="C348">
        <v>7.7700000000003017E-2</v>
      </c>
      <c r="E348">
        <v>37.109296468174215</v>
      </c>
      <c r="F348">
        <v>0.12200000000000429</v>
      </c>
      <c r="H348">
        <v>35.028779650986138</v>
      </c>
      <c r="I348">
        <v>0.10800000000000388</v>
      </c>
      <c r="K348">
        <v>55.10548646093887</v>
      </c>
      <c r="L348">
        <v>0.12430000000000435</v>
      </c>
      <c r="N348">
        <v>40.629381065136386</v>
      </c>
      <c r="O348">
        <v>0.1156000000000041</v>
      </c>
      <c r="Q348">
        <v>43.614219190451507</v>
      </c>
      <c r="R348">
        <v>0.11280000000000402</v>
      </c>
      <c r="T348">
        <v>7.7700000000003017E-2</v>
      </c>
      <c r="U348">
        <v>0.12200000000000429</v>
      </c>
      <c r="V348">
        <v>0.10800000000000388</v>
      </c>
      <c r="W348">
        <v>0.12430000000000435</v>
      </c>
      <c r="X348">
        <v>0.1156000000000041</v>
      </c>
      <c r="Y348">
        <v>0.11280000000000402</v>
      </c>
    </row>
    <row r="349" spans="1:25" x14ac:dyDescent="0.55000000000000004">
      <c r="A349" t="s">
        <v>350</v>
      </c>
      <c r="B349">
        <v>34.424123146004952</v>
      </c>
      <c r="C349">
        <v>9.4000000000003484E-2</v>
      </c>
      <c r="E349">
        <v>36.754617693560846</v>
      </c>
      <c r="F349">
        <v>0.10400000000000377</v>
      </c>
      <c r="H349">
        <v>39.88043562158898</v>
      </c>
      <c r="I349">
        <v>0.11360000000000404</v>
      </c>
      <c r="K349">
        <v>58.834657338431832</v>
      </c>
      <c r="L349">
        <v>0.12980000000000383</v>
      </c>
      <c r="N349">
        <v>42.100386328135038</v>
      </c>
      <c r="O349">
        <v>0.11680000000000414</v>
      </c>
      <c r="Q349">
        <v>48.698684015750445</v>
      </c>
      <c r="R349">
        <v>0.10750000000000387</v>
      </c>
      <c r="T349">
        <v>9.4000000000003484E-2</v>
      </c>
      <c r="U349">
        <v>0.10400000000000377</v>
      </c>
      <c r="V349">
        <v>0.11360000000000404</v>
      </c>
      <c r="W349">
        <v>0.12980000000000383</v>
      </c>
      <c r="X349">
        <v>0.11680000000000414</v>
      </c>
      <c r="Y349">
        <v>0.10750000000000387</v>
      </c>
    </row>
    <row r="350" spans="1:25" x14ac:dyDescent="0.55000000000000004">
      <c r="A350" t="s">
        <v>351</v>
      </c>
      <c r="B350">
        <v>68.783728841998496</v>
      </c>
      <c r="C350">
        <v>7.1700000000002845E-2</v>
      </c>
      <c r="E350">
        <v>49.290829161506466</v>
      </c>
      <c r="F350">
        <v>0.10960000000000393</v>
      </c>
      <c r="H350">
        <v>47.314390941570977</v>
      </c>
      <c r="I350">
        <v>0.11850000000000419</v>
      </c>
      <c r="K350">
        <v>51.150416628732877</v>
      </c>
      <c r="L350">
        <v>0.11630000000000412</v>
      </c>
      <c r="N350">
        <v>35.047452415368241</v>
      </c>
      <c r="O350">
        <v>0.10960000000000393</v>
      </c>
      <c r="Q350">
        <v>43.41712166931481</v>
      </c>
      <c r="R350">
        <v>9.3000000000003455E-2</v>
      </c>
      <c r="T350">
        <v>7.1700000000002845E-2</v>
      </c>
      <c r="U350">
        <v>0.10960000000000393</v>
      </c>
      <c r="V350">
        <v>0.11850000000000419</v>
      </c>
      <c r="W350">
        <v>0.11630000000000412</v>
      </c>
      <c r="X350">
        <v>0.10960000000000393</v>
      </c>
      <c r="Y350">
        <v>9.3000000000003455E-2</v>
      </c>
    </row>
    <row r="351" spans="1:25" x14ac:dyDescent="0.55000000000000004">
      <c r="A351" t="s">
        <v>352</v>
      </c>
      <c r="B351">
        <v>27.178638761019762</v>
      </c>
      <c r="C351">
        <v>9.5800000000003535E-2</v>
      </c>
      <c r="E351">
        <v>27.631444987059403</v>
      </c>
      <c r="F351">
        <v>0.13990000000000272</v>
      </c>
      <c r="H351">
        <v>27.080336457995138</v>
      </c>
      <c r="I351">
        <v>0.10750000000000387</v>
      </c>
      <c r="K351">
        <v>40.709287789248826</v>
      </c>
      <c r="L351">
        <v>0.12050000000000424</v>
      </c>
      <c r="N351">
        <v>29.691628851762886</v>
      </c>
      <c r="O351">
        <v>0.12080000000000425</v>
      </c>
      <c r="Q351">
        <v>35.3585855610797</v>
      </c>
      <c r="R351">
        <v>0.1051000000000038</v>
      </c>
      <c r="T351">
        <v>9.5800000000003535E-2</v>
      </c>
      <c r="U351">
        <v>0.13990000000000272</v>
      </c>
      <c r="V351">
        <v>0.10750000000000387</v>
      </c>
      <c r="W351">
        <v>0.12050000000000424</v>
      </c>
      <c r="X351">
        <v>0.12080000000000425</v>
      </c>
      <c r="Y351">
        <v>0.1051000000000038</v>
      </c>
    </row>
    <row r="352" spans="1:25" x14ac:dyDescent="0.55000000000000004">
      <c r="A352" t="s">
        <v>353</v>
      </c>
      <c r="B352">
        <v>49.719863234168535</v>
      </c>
      <c r="C352">
        <v>8.1800000000003134E-2</v>
      </c>
      <c r="E352">
        <v>51.923766835880429</v>
      </c>
      <c r="F352">
        <v>0.12720000000000412</v>
      </c>
      <c r="H352">
        <v>47.300436125855889</v>
      </c>
      <c r="I352">
        <v>0.12080000000000425</v>
      </c>
      <c r="K352">
        <v>59.292588834732804</v>
      </c>
      <c r="L352">
        <v>0.11710000000000415</v>
      </c>
      <c r="N352">
        <v>43.221077745716464</v>
      </c>
      <c r="O352">
        <v>0.10960000000000393</v>
      </c>
      <c r="Q352">
        <v>42.002630626972568</v>
      </c>
      <c r="R352">
        <v>0.1155000000000041</v>
      </c>
      <c r="T352">
        <v>8.1800000000003134E-2</v>
      </c>
      <c r="U352">
        <v>0.12720000000000412</v>
      </c>
      <c r="V352">
        <v>0.12080000000000425</v>
      </c>
      <c r="W352">
        <v>0.11710000000000415</v>
      </c>
      <c r="X352">
        <v>0.10960000000000393</v>
      </c>
      <c r="Y352">
        <v>0.1155000000000041</v>
      </c>
    </row>
    <row r="353" spans="1:25" x14ac:dyDescent="0.55000000000000004">
      <c r="A353" t="s">
        <v>354</v>
      </c>
      <c r="B353">
        <v>39.077687548099888</v>
      </c>
      <c r="C353">
        <v>8.270000000000316E-2</v>
      </c>
      <c r="E353">
        <v>50.066893356836395</v>
      </c>
      <c r="F353">
        <v>0.10320000000000375</v>
      </c>
      <c r="H353">
        <v>33.4664513112671</v>
      </c>
      <c r="I353">
        <v>0.10960000000000393</v>
      </c>
      <c r="K353">
        <v>49.032178467474047</v>
      </c>
      <c r="L353">
        <v>0.12950000000000386</v>
      </c>
      <c r="N353">
        <v>39.899395261407307</v>
      </c>
      <c r="O353">
        <v>0.11800000000000417</v>
      </c>
      <c r="Q353">
        <v>45.401621170459784</v>
      </c>
      <c r="R353">
        <v>0.10320000000000375</v>
      </c>
      <c r="T353">
        <v>8.270000000000316E-2</v>
      </c>
      <c r="U353">
        <v>0.10320000000000375</v>
      </c>
      <c r="V353">
        <v>0.10960000000000393</v>
      </c>
      <c r="W353">
        <v>0.12950000000000386</v>
      </c>
      <c r="X353">
        <v>0.11800000000000417</v>
      </c>
      <c r="Y353">
        <v>0.10320000000000375</v>
      </c>
    </row>
    <row r="354" spans="1:25" x14ac:dyDescent="0.55000000000000004">
      <c r="A354" t="s">
        <v>355</v>
      </c>
      <c r="B354">
        <v>40.412001488287721</v>
      </c>
      <c r="C354">
        <v>8.7100000000003286E-2</v>
      </c>
      <c r="E354">
        <v>53.592038846791979</v>
      </c>
      <c r="F354">
        <v>9.5700000000003532E-2</v>
      </c>
      <c r="H354">
        <v>43.932405673262345</v>
      </c>
      <c r="I354">
        <v>0.112100000000004</v>
      </c>
      <c r="K354">
        <v>159.58816249207737</v>
      </c>
      <c r="L354">
        <v>0.29479999999998568</v>
      </c>
      <c r="N354">
        <v>35.653187978592186</v>
      </c>
      <c r="O354">
        <v>0.11140000000000398</v>
      </c>
      <c r="Q354">
        <v>43.159513552801947</v>
      </c>
      <c r="R354">
        <v>9.1000000000003398E-2</v>
      </c>
      <c r="T354">
        <v>8.7100000000003286E-2</v>
      </c>
      <c r="U354">
        <v>9.5700000000003532E-2</v>
      </c>
      <c r="V354">
        <v>0.112100000000004</v>
      </c>
      <c r="W354">
        <v>0.29479999999998568</v>
      </c>
      <c r="X354">
        <v>0.11140000000000398</v>
      </c>
      <c r="Y354">
        <v>9.1000000000003398E-2</v>
      </c>
    </row>
    <row r="355" spans="1:25" x14ac:dyDescent="0.55000000000000004">
      <c r="A355" t="s">
        <v>356</v>
      </c>
      <c r="B355">
        <v>72.951682380244662</v>
      </c>
      <c r="C355">
        <v>7.9100000000003057E-2</v>
      </c>
      <c r="E355">
        <v>47.533937713581786</v>
      </c>
      <c r="F355">
        <v>9.6900000000003567E-2</v>
      </c>
      <c r="H355">
        <v>36.838468557022402</v>
      </c>
      <c r="I355">
        <v>0.1084000000000039</v>
      </c>
      <c r="K355">
        <v>44.145501210442191</v>
      </c>
      <c r="L355">
        <v>0.11090000000000397</v>
      </c>
      <c r="N355">
        <v>33.481335278434734</v>
      </c>
      <c r="O355">
        <v>8.2500000000003154E-2</v>
      </c>
      <c r="Q355">
        <v>43.174105512604648</v>
      </c>
      <c r="R355">
        <v>7.4900000000002936E-2</v>
      </c>
      <c r="T355">
        <v>7.9100000000003057E-2</v>
      </c>
      <c r="U355">
        <v>9.6900000000003567E-2</v>
      </c>
      <c r="V355">
        <v>0.1084000000000039</v>
      </c>
      <c r="W355">
        <v>0.11090000000000397</v>
      </c>
      <c r="X355">
        <v>8.2500000000003154E-2</v>
      </c>
      <c r="Y355">
        <v>7.4900000000002936E-2</v>
      </c>
    </row>
    <row r="356" spans="1:25" x14ac:dyDescent="0.55000000000000004">
      <c r="A356" t="s">
        <v>357</v>
      </c>
      <c r="B356">
        <v>30.145817779583911</v>
      </c>
      <c r="C356">
        <v>9.0600000000003386E-2</v>
      </c>
      <c r="E356">
        <v>42.1328782745531</v>
      </c>
      <c r="F356">
        <v>9.7200000000003575E-2</v>
      </c>
      <c r="H356">
        <v>35.344309114763057</v>
      </c>
      <c r="I356">
        <v>0.10010000000000366</v>
      </c>
      <c r="K356">
        <v>52.496927249841526</v>
      </c>
      <c r="L356">
        <v>0.23409999999999234</v>
      </c>
      <c r="N356">
        <v>35.046803969036944</v>
      </c>
      <c r="O356">
        <v>0.12100000000000426</v>
      </c>
      <c r="Q356">
        <v>38.925433902399519</v>
      </c>
      <c r="R356">
        <v>9.7900000000003595E-2</v>
      </c>
      <c r="T356">
        <v>9.0600000000003386E-2</v>
      </c>
      <c r="U356">
        <v>9.7200000000003575E-2</v>
      </c>
      <c r="V356">
        <v>0.10010000000000366</v>
      </c>
      <c r="W356">
        <v>0.23409999999999234</v>
      </c>
      <c r="X356">
        <v>0.12100000000000426</v>
      </c>
      <c r="Y356">
        <v>9.7900000000003595E-2</v>
      </c>
    </row>
    <row r="357" spans="1:25" x14ac:dyDescent="0.55000000000000004">
      <c r="A357" t="s">
        <v>358</v>
      </c>
      <c r="B357">
        <v>41.050601592276905</v>
      </c>
      <c r="C357">
        <v>6.8300000000002747E-2</v>
      </c>
      <c r="E357">
        <v>42.127531515059722</v>
      </c>
      <c r="F357">
        <v>0.11920000000000421</v>
      </c>
      <c r="H357">
        <v>39.860205172732201</v>
      </c>
      <c r="I357">
        <v>0.11810000000000417</v>
      </c>
      <c r="K357">
        <v>48.17966741047352</v>
      </c>
      <c r="L357">
        <v>0.12360000000000433</v>
      </c>
      <c r="N357">
        <v>34.509890804479603</v>
      </c>
      <c r="O357">
        <v>0.10730000000000386</v>
      </c>
      <c r="Q357">
        <v>53.217911674928594</v>
      </c>
      <c r="R357">
        <v>0.10210000000000372</v>
      </c>
      <c r="T357">
        <v>6.8300000000002747E-2</v>
      </c>
      <c r="U357">
        <v>0.11920000000000421</v>
      </c>
      <c r="V357">
        <v>0.11810000000000417</v>
      </c>
      <c r="W357">
        <v>0.12360000000000433</v>
      </c>
      <c r="X357">
        <v>0.10730000000000386</v>
      </c>
      <c r="Y357">
        <v>0.10210000000000372</v>
      </c>
    </row>
    <row r="358" spans="1:25" x14ac:dyDescent="0.55000000000000004">
      <c r="A358" t="s">
        <v>359</v>
      </c>
      <c r="B358">
        <v>39.498244994432788</v>
      </c>
      <c r="C358">
        <v>6.9200000000002773E-2</v>
      </c>
      <c r="E358">
        <v>43.399945846595394</v>
      </c>
      <c r="F358">
        <v>0.13510000000000325</v>
      </c>
      <c r="H358">
        <v>33.551157284152602</v>
      </c>
      <c r="I358">
        <v>8.5300000000003234E-2</v>
      </c>
      <c r="K358">
        <v>50.941917965556833</v>
      </c>
      <c r="L358">
        <v>0.11570000000000411</v>
      </c>
      <c r="N358">
        <v>36.043624419310028</v>
      </c>
      <c r="O358">
        <v>0.10880000000000391</v>
      </c>
      <c r="Q358">
        <v>43.205011010631054</v>
      </c>
      <c r="R358">
        <v>8.9200000000003346E-2</v>
      </c>
      <c r="T358">
        <v>6.9200000000002773E-2</v>
      </c>
      <c r="U358">
        <v>0.13510000000000325</v>
      </c>
      <c r="V358">
        <v>8.5300000000003234E-2</v>
      </c>
      <c r="W358">
        <v>0.11570000000000411</v>
      </c>
      <c r="X358">
        <v>0.10880000000000391</v>
      </c>
      <c r="Y358">
        <v>8.9200000000003346E-2</v>
      </c>
    </row>
    <row r="359" spans="1:25" x14ac:dyDescent="0.55000000000000004">
      <c r="A359" t="s">
        <v>360</v>
      </c>
      <c r="B359">
        <v>38.694587779940335</v>
      </c>
      <c r="C359">
        <v>6.6600000000002699E-2</v>
      </c>
      <c r="E359">
        <v>53.216534931085832</v>
      </c>
      <c r="F359">
        <v>0.11630000000000412</v>
      </c>
      <c r="H359">
        <v>36.604778939989977</v>
      </c>
      <c r="I359">
        <v>0.10360000000000376</v>
      </c>
      <c r="K359">
        <v>53.833574969972723</v>
      </c>
      <c r="L359">
        <v>0.11370000000000405</v>
      </c>
      <c r="N359">
        <v>34.910438498496923</v>
      </c>
      <c r="O359">
        <v>9.6100000000003544E-2</v>
      </c>
      <c r="Q359">
        <v>46.235166077512687</v>
      </c>
      <c r="R359">
        <v>9.0000000000003369E-2</v>
      </c>
      <c r="T359">
        <v>6.6600000000002699E-2</v>
      </c>
      <c r="U359">
        <v>0.11630000000000412</v>
      </c>
      <c r="V359">
        <v>0.10360000000000376</v>
      </c>
      <c r="W359">
        <v>0.11370000000000405</v>
      </c>
      <c r="X359">
        <v>9.6100000000003544E-2</v>
      </c>
      <c r="Y359">
        <v>9.0000000000003369E-2</v>
      </c>
    </row>
    <row r="360" spans="1:25" x14ac:dyDescent="0.55000000000000004">
      <c r="A360" t="s">
        <v>361</v>
      </c>
      <c r="B360">
        <v>46.790630004346845</v>
      </c>
      <c r="C360">
        <v>7.8800000000003048E-2</v>
      </c>
      <c r="E360">
        <v>42.506514739117648</v>
      </c>
      <c r="F360">
        <v>0.12440000000000435</v>
      </c>
      <c r="H360">
        <v>38.050572505717412</v>
      </c>
      <c r="I360">
        <v>0.10020000000000366</v>
      </c>
      <c r="K360">
        <v>62.357379065423224</v>
      </c>
      <c r="L360">
        <v>0.10780000000000388</v>
      </c>
      <c r="N360">
        <v>43.725433721815463</v>
      </c>
      <c r="O360">
        <v>0.10230000000000372</v>
      </c>
      <c r="Q360">
        <v>49.020199753366597</v>
      </c>
      <c r="R360">
        <v>0.10430000000000378</v>
      </c>
      <c r="T360">
        <v>7.8800000000003048E-2</v>
      </c>
      <c r="U360">
        <v>0.12440000000000435</v>
      </c>
      <c r="V360">
        <v>0.10020000000000366</v>
      </c>
      <c r="W360">
        <v>0.10780000000000388</v>
      </c>
      <c r="X360">
        <v>0.10230000000000372</v>
      </c>
      <c r="Y360">
        <v>0.10430000000000378</v>
      </c>
    </row>
    <row r="361" spans="1:25" x14ac:dyDescent="0.55000000000000004">
      <c r="A361" t="s">
        <v>362</v>
      </c>
      <c r="B361">
        <v>36.519531369619976</v>
      </c>
      <c r="C361">
        <v>7.5200000000002945E-2</v>
      </c>
      <c r="E361">
        <v>48.998041088499996</v>
      </c>
      <c r="F361">
        <v>0.11070000000000396</v>
      </c>
      <c r="H361">
        <v>42.733750159690736</v>
      </c>
      <c r="I361">
        <v>0.11000000000000394</v>
      </c>
      <c r="K361">
        <v>62.249470053783718</v>
      </c>
      <c r="L361">
        <v>0.12060000000000425</v>
      </c>
      <c r="N361">
        <v>38.676876607491359</v>
      </c>
      <c r="O361">
        <v>0.11090000000000397</v>
      </c>
      <c r="Q361">
        <v>51.525440488432011</v>
      </c>
      <c r="R361">
        <v>9.6900000000003567E-2</v>
      </c>
      <c r="T361">
        <v>7.5200000000002945E-2</v>
      </c>
      <c r="U361">
        <v>0.11070000000000396</v>
      </c>
      <c r="V361">
        <v>0.11000000000000394</v>
      </c>
      <c r="W361">
        <v>0.12060000000000425</v>
      </c>
      <c r="X361">
        <v>0.11090000000000397</v>
      </c>
      <c r="Y361">
        <v>9.6900000000003567E-2</v>
      </c>
    </row>
    <row r="362" spans="1:25" x14ac:dyDescent="0.55000000000000004">
      <c r="A362" t="s">
        <v>363</v>
      </c>
      <c r="B362">
        <v>38.857829509425947</v>
      </c>
      <c r="C362">
        <v>7.050000000000281E-2</v>
      </c>
      <c r="E362">
        <v>40.496142140348439</v>
      </c>
      <c r="F362">
        <v>8.690000000000328E-2</v>
      </c>
      <c r="H362">
        <v>45.168495070204656</v>
      </c>
      <c r="I362">
        <v>9.7600000000003587E-2</v>
      </c>
      <c r="K362">
        <v>63.265664286685769</v>
      </c>
      <c r="L362">
        <v>0.23699999999999202</v>
      </c>
      <c r="N362">
        <v>40.183967189786529</v>
      </c>
      <c r="O362">
        <v>0.10990000000000394</v>
      </c>
      <c r="Q362">
        <v>46.021300901822322</v>
      </c>
      <c r="R362">
        <v>0.10910000000000392</v>
      </c>
      <c r="T362">
        <v>7.050000000000281E-2</v>
      </c>
      <c r="U362">
        <v>8.690000000000328E-2</v>
      </c>
      <c r="V362">
        <v>9.7600000000003587E-2</v>
      </c>
      <c r="W362">
        <v>0.23699999999999202</v>
      </c>
      <c r="X362">
        <v>0.10990000000000394</v>
      </c>
      <c r="Y362">
        <v>0.10910000000000392</v>
      </c>
    </row>
    <row r="363" spans="1:25" x14ac:dyDescent="0.55000000000000004">
      <c r="A363" t="s">
        <v>364</v>
      </c>
      <c r="B363">
        <v>32.827087700681822</v>
      </c>
      <c r="C363">
        <v>0.11020000000000395</v>
      </c>
      <c r="E363">
        <v>72.223959381036536</v>
      </c>
      <c r="F363">
        <v>0.13330000000000344</v>
      </c>
      <c r="H363">
        <v>31.439627721350682</v>
      </c>
      <c r="I363">
        <v>0.1346000000000033</v>
      </c>
      <c r="K363">
        <v>61.343734234313111</v>
      </c>
      <c r="L363">
        <v>0.11170000000000399</v>
      </c>
      <c r="N363">
        <v>41.117270759490943</v>
      </c>
      <c r="O363">
        <v>0.10180000000000371</v>
      </c>
      <c r="Q363">
        <v>39.948160802732424</v>
      </c>
      <c r="R363">
        <v>0.11640000000000413</v>
      </c>
      <c r="T363">
        <v>0.11020000000000395</v>
      </c>
      <c r="U363">
        <v>0.13330000000000344</v>
      </c>
      <c r="V363">
        <v>0.1346000000000033</v>
      </c>
      <c r="W363">
        <v>0.11170000000000399</v>
      </c>
      <c r="X363">
        <v>0.10180000000000371</v>
      </c>
      <c r="Y363">
        <v>0.11640000000000413</v>
      </c>
    </row>
    <row r="364" spans="1:25" x14ac:dyDescent="0.55000000000000004">
      <c r="A364" t="s">
        <v>365</v>
      </c>
      <c r="B364">
        <v>48.776651331537401</v>
      </c>
      <c r="C364">
        <v>0.11710000000000415</v>
      </c>
      <c r="E364">
        <v>53.012991643099781</v>
      </c>
      <c r="F364">
        <v>0.12700000000000414</v>
      </c>
      <c r="H364">
        <v>36.66250479176027</v>
      </c>
      <c r="I364">
        <v>0.13700000000000304</v>
      </c>
      <c r="K364">
        <v>55.728924252686895</v>
      </c>
      <c r="L364">
        <v>0.12770000000000406</v>
      </c>
      <c r="N364">
        <v>44.805196567978101</v>
      </c>
      <c r="O364">
        <v>0.12760000000000407</v>
      </c>
      <c r="Q364">
        <v>37.5866005914299</v>
      </c>
      <c r="R364">
        <v>0.11630000000000412</v>
      </c>
      <c r="T364">
        <v>0.11710000000000415</v>
      </c>
      <c r="U364">
        <v>0.12700000000000414</v>
      </c>
      <c r="V364">
        <v>0.13700000000000304</v>
      </c>
      <c r="W364">
        <v>0.12770000000000406</v>
      </c>
      <c r="X364">
        <v>0.12760000000000407</v>
      </c>
      <c r="Y364">
        <v>0.11630000000000412</v>
      </c>
    </row>
    <row r="365" spans="1:25" x14ac:dyDescent="0.55000000000000004">
      <c r="A365" t="s">
        <v>366</v>
      </c>
      <c r="B365">
        <v>99.791237818914666</v>
      </c>
      <c r="C365">
        <v>7.6200000000002974E-2</v>
      </c>
      <c r="E365">
        <v>42.396503790956515</v>
      </c>
      <c r="F365">
        <v>0.10460000000000379</v>
      </c>
      <c r="H365">
        <v>30.989503562155775</v>
      </c>
      <c r="I365">
        <v>0.10650000000000384</v>
      </c>
      <c r="K365">
        <v>71.734848622223865</v>
      </c>
      <c r="L365">
        <v>0.12090000000000425</v>
      </c>
      <c r="N365">
        <v>45.241532660674025</v>
      </c>
      <c r="O365">
        <v>0.12700000000000414</v>
      </c>
      <c r="Q365">
        <v>42.285429227293378</v>
      </c>
      <c r="R365">
        <v>9.8100000000003601E-2</v>
      </c>
      <c r="T365">
        <v>7.6200000000002974E-2</v>
      </c>
      <c r="U365">
        <v>0.10460000000000379</v>
      </c>
      <c r="V365">
        <v>0.10650000000000384</v>
      </c>
      <c r="W365">
        <v>0.12090000000000425</v>
      </c>
      <c r="X365">
        <v>0.12700000000000414</v>
      </c>
      <c r="Y365">
        <v>9.8100000000003601E-2</v>
      </c>
    </row>
    <row r="366" spans="1:25" x14ac:dyDescent="0.55000000000000004">
      <c r="A366" t="s">
        <v>367</v>
      </c>
      <c r="B366">
        <v>38.670116032222523</v>
      </c>
      <c r="C366">
        <v>7.2900000000002879E-2</v>
      </c>
      <c r="E366">
        <v>43.135729091029113</v>
      </c>
      <c r="F366">
        <v>9.7600000000003587E-2</v>
      </c>
      <c r="H366">
        <v>39.373003902489117</v>
      </c>
      <c r="I366">
        <v>0.10570000000000382</v>
      </c>
      <c r="K366">
        <v>40.404650018022863</v>
      </c>
      <c r="L366">
        <v>0.11080000000000396</v>
      </c>
      <c r="N366">
        <v>35.629651500461179</v>
      </c>
      <c r="O366">
        <v>0.11780000000000417</v>
      </c>
      <c r="Q366">
        <v>42.930866490052935</v>
      </c>
      <c r="R366">
        <v>0.11700000000000414</v>
      </c>
      <c r="T366">
        <v>7.2900000000002879E-2</v>
      </c>
      <c r="U366">
        <v>9.7600000000003587E-2</v>
      </c>
      <c r="V366">
        <v>0.10570000000000382</v>
      </c>
      <c r="W366">
        <v>0.11080000000000396</v>
      </c>
      <c r="X366">
        <v>0.11780000000000417</v>
      </c>
      <c r="Y366">
        <v>0.11700000000000414</v>
      </c>
    </row>
    <row r="367" spans="1:25" x14ac:dyDescent="0.55000000000000004">
      <c r="A367" t="s">
        <v>368</v>
      </c>
      <c r="B367">
        <v>24.27665254098315</v>
      </c>
      <c r="C367">
        <v>9.2200000000003432E-2</v>
      </c>
      <c r="E367">
        <v>35.507461848514289</v>
      </c>
      <c r="F367">
        <v>0.10350000000000376</v>
      </c>
      <c r="H367">
        <v>30.095738913985265</v>
      </c>
      <c r="I367">
        <v>0.12120000000000426</v>
      </c>
      <c r="K367">
        <v>33.333869346858812</v>
      </c>
      <c r="L367">
        <v>0.10610000000000383</v>
      </c>
      <c r="N367">
        <v>27.542885690680247</v>
      </c>
      <c r="O367">
        <v>8.6600000000003272E-2</v>
      </c>
      <c r="Q367">
        <v>38.379248828058302</v>
      </c>
      <c r="R367">
        <v>8.2100000000003143E-2</v>
      </c>
      <c r="T367">
        <v>9.2200000000003432E-2</v>
      </c>
      <c r="U367">
        <v>0.10350000000000376</v>
      </c>
      <c r="V367">
        <v>0.12120000000000426</v>
      </c>
      <c r="W367">
        <v>0.10610000000000383</v>
      </c>
      <c r="X367">
        <v>8.6600000000003272E-2</v>
      </c>
      <c r="Y367">
        <v>8.2100000000003143E-2</v>
      </c>
    </row>
    <row r="368" spans="1:25" x14ac:dyDescent="0.55000000000000004">
      <c r="A368" t="s">
        <v>369</v>
      </c>
      <c r="B368">
        <v>47.772279888160064</v>
      </c>
      <c r="C368">
        <v>6.9900000000002793E-2</v>
      </c>
      <c r="E368">
        <v>56.645535849227493</v>
      </c>
      <c r="F368">
        <v>0.10960000000000393</v>
      </c>
      <c r="H368">
        <v>47.101036987515542</v>
      </c>
      <c r="I368">
        <v>0.10390000000000377</v>
      </c>
      <c r="K368">
        <v>42.595899188458709</v>
      </c>
      <c r="L368">
        <v>0.24009999999999168</v>
      </c>
      <c r="N368">
        <v>35.780064690519367</v>
      </c>
      <c r="O368">
        <v>9.9200000000003632E-2</v>
      </c>
      <c r="Q368">
        <v>41.141600682716856</v>
      </c>
      <c r="R368">
        <v>0.10540000000000381</v>
      </c>
      <c r="T368">
        <v>6.9900000000002793E-2</v>
      </c>
      <c r="U368">
        <v>0.10960000000000393</v>
      </c>
      <c r="V368">
        <v>0.10390000000000377</v>
      </c>
      <c r="W368">
        <v>0.24009999999999168</v>
      </c>
      <c r="X368">
        <v>9.9200000000003632E-2</v>
      </c>
      <c r="Y368">
        <v>0.10540000000000381</v>
      </c>
    </row>
    <row r="369" spans="1:25" x14ac:dyDescent="0.55000000000000004">
      <c r="A369" t="s">
        <v>370</v>
      </c>
      <c r="B369">
        <v>32.850071047337764</v>
      </c>
      <c r="C369">
        <v>6.7200000000002716E-2</v>
      </c>
      <c r="E369">
        <v>37.419414821649632</v>
      </c>
      <c r="F369">
        <v>9.3100000000003458E-2</v>
      </c>
      <c r="H369">
        <v>33.738252277008144</v>
      </c>
      <c r="I369">
        <v>9.6200000000003547E-2</v>
      </c>
      <c r="K369">
        <v>39.691757805287963</v>
      </c>
      <c r="L369">
        <v>0.13560000000000319</v>
      </c>
      <c r="N369">
        <v>31.535985249724867</v>
      </c>
      <c r="O369">
        <v>0.12510000000000435</v>
      </c>
      <c r="Q369">
        <v>40.369007837397739</v>
      </c>
      <c r="R369">
        <v>8.8800000000003335E-2</v>
      </c>
      <c r="T369">
        <v>6.7200000000002716E-2</v>
      </c>
      <c r="U369">
        <v>9.3100000000003458E-2</v>
      </c>
      <c r="V369">
        <v>9.6200000000003547E-2</v>
      </c>
      <c r="W369">
        <v>0.13560000000000319</v>
      </c>
      <c r="X369">
        <v>0.12510000000000435</v>
      </c>
      <c r="Y369">
        <v>8.8800000000003335E-2</v>
      </c>
    </row>
    <row r="370" spans="1:25" x14ac:dyDescent="0.55000000000000004">
      <c r="A370" t="s">
        <v>371</v>
      </c>
      <c r="B370">
        <v>38.032430151792113</v>
      </c>
      <c r="C370">
        <v>7.3500000000002896E-2</v>
      </c>
      <c r="E370">
        <v>41.239452277611385</v>
      </c>
      <c r="F370">
        <v>0.13650000000000309</v>
      </c>
      <c r="H370">
        <v>37.974119567396542</v>
      </c>
      <c r="I370">
        <v>0.12660000000000418</v>
      </c>
      <c r="K370">
        <v>53.387839119563807</v>
      </c>
      <c r="L370">
        <v>0.12720000000000412</v>
      </c>
      <c r="N370">
        <v>37.943012455941144</v>
      </c>
      <c r="O370">
        <v>9.4200000000003489E-2</v>
      </c>
      <c r="Q370">
        <v>54.103073332123287</v>
      </c>
      <c r="R370">
        <v>9.040000000000338E-2</v>
      </c>
      <c r="T370">
        <v>7.3500000000002896E-2</v>
      </c>
      <c r="U370">
        <v>0.13650000000000309</v>
      </c>
      <c r="V370">
        <v>0.12660000000000418</v>
      </c>
      <c r="W370">
        <v>0.12720000000000412</v>
      </c>
      <c r="X370">
        <v>9.4200000000003489E-2</v>
      </c>
      <c r="Y370">
        <v>9.040000000000338E-2</v>
      </c>
    </row>
    <row r="371" spans="1:25" x14ac:dyDescent="0.55000000000000004">
      <c r="A371" t="s">
        <v>372</v>
      </c>
      <c r="B371">
        <v>41.822718107249337</v>
      </c>
      <c r="C371">
        <v>0.11110000000000397</v>
      </c>
      <c r="E371">
        <v>43.339090883603994</v>
      </c>
      <c r="F371">
        <v>0.10600000000000383</v>
      </c>
      <c r="H371">
        <v>29.635662573558648</v>
      </c>
      <c r="I371">
        <v>0.11460000000000407</v>
      </c>
      <c r="K371">
        <v>39.197282152035662</v>
      </c>
      <c r="L371">
        <v>0.12200000000000429</v>
      </c>
      <c r="N371">
        <v>30.932754820528881</v>
      </c>
      <c r="O371">
        <v>0.13670000000000307</v>
      </c>
      <c r="Q371">
        <v>27.290404185036707</v>
      </c>
      <c r="R371">
        <v>0.10410000000000377</v>
      </c>
      <c r="T371">
        <v>0.11110000000000397</v>
      </c>
      <c r="U371">
        <v>0.10600000000000383</v>
      </c>
      <c r="V371">
        <v>0.11460000000000407</v>
      </c>
      <c r="W371">
        <v>0.12200000000000429</v>
      </c>
      <c r="X371">
        <v>0.13670000000000307</v>
      </c>
      <c r="Y371">
        <v>0.10410000000000377</v>
      </c>
    </row>
    <row r="372" spans="1:25" x14ac:dyDescent="0.55000000000000004">
      <c r="A372" t="s">
        <v>373</v>
      </c>
      <c r="B372">
        <v>37.426403669894036</v>
      </c>
      <c r="C372">
        <v>8.8400000000003323E-2</v>
      </c>
      <c r="E372">
        <v>46.00825665374559</v>
      </c>
      <c r="F372">
        <v>0.10270000000000373</v>
      </c>
      <c r="H372">
        <v>40.955720199482357</v>
      </c>
      <c r="I372">
        <v>0.10580000000000382</v>
      </c>
      <c r="K372">
        <v>80.846268921579366</v>
      </c>
      <c r="L372">
        <v>0.12510000000000435</v>
      </c>
      <c r="N372">
        <v>47.272675805969072</v>
      </c>
      <c r="O372">
        <v>0.11240000000000401</v>
      </c>
      <c r="Q372">
        <v>49.358864588318021</v>
      </c>
      <c r="R372">
        <v>0.1084000000000039</v>
      </c>
      <c r="T372">
        <v>8.8400000000003323E-2</v>
      </c>
      <c r="U372">
        <v>0.10270000000000373</v>
      </c>
      <c r="V372">
        <v>0.10580000000000382</v>
      </c>
      <c r="W372">
        <v>0.12510000000000435</v>
      </c>
      <c r="X372">
        <v>0.11240000000000401</v>
      </c>
      <c r="Y372">
        <v>0.1084000000000039</v>
      </c>
    </row>
    <row r="373" spans="1:25" x14ac:dyDescent="0.55000000000000004">
      <c r="A373" t="s">
        <v>374</v>
      </c>
      <c r="B373">
        <v>50.955420518900475</v>
      </c>
      <c r="C373">
        <v>6.9700000000002788E-2</v>
      </c>
      <c r="E373">
        <v>44.690870283809886</v>
      </c>
      <c r="F373">
        <v>0.14310000000000236</v>
      </c>
      <c r="H373">
        <v>37.702127723550241</v>
      </c>
      <c r="I373">
        <v>0.10210000000000372</v>
      </c>
      <c r="K373">
        <v>40.781700411609613</v>
      </c>
      <c r="L373">
        <v>0.11970000000000422</v>
      </c>
      <c r="N373">
        <v>47.692096242300615</v>
      </c>
      <c r="O373">
        <v>0.1017000000000037</v>
      </c>
      <c r="Q373">
        <v>45.996074806985938</v>
      </c>
      <c r="R373">
        <v>9.1500000000003412E-2</v>
      </c>
      <c r="T373">
        <v>6.9700000000002788E-2</v>
      </c>
      <c r="U373">
        <v>0.14310000000000236</v>
      </c>
      <c r="V373">
        <v>0.10210000000000372</v>
      </c>
      <c r="W373">
        <v>0.11970000000000422</v>
      </c>
      <c r="X373">
        <v>0.1017000000000037</v>
      </c>
      <c r="Y373">
        <v>9.1500000000003412E-2</v>
      </c>
    </row>
    <row r="374" spans="1:25" x14ac:dyDescent="0.55000000000000004">
      <c r="A374" t="s">
        <v>375</v>
      </c>
      <c r="B374">
        <v>46.449851612461273</v>
      </c>
      <c r="C374">
        <v>8.1700000000003131E-2</v>
      </c>
      <c r="E374">
        <v>62.519052607645925</v>
      </c>
      <c r="F374">
        <v>0.12500000000000436</v>
      </c>
      <c r="H374">
        <v>42.287254564002176</v>
      </c>
      <c r="I374">
        <v>0.11020000000000395</v>
      </c>
      <c r="K374">
        <v>45.098062069854244</v>
      </c>
      <c r="L374">
        <v>0.11080000000000396</v>
      </c>
      <c r="N374">
        <v>42.34224280808774</v>
      </c>
      <c r="O374">
        <v>9.5600000000003529E-2</v>
      </c>
      <c r="Q374">
        <v>53.056670237313284</v>
      </c>
      <c r="R374">
        <v>8.8100000000003315E-2</v>
      </c>
      <c r="T374">
        <v>8.1700000000003131E-2</v>
      </c>
      <c r="U374">
        <v>0.12500000000000436</v>
      </c>
      <c r="V374">
        <v>0.11020000000000395</v>
      </c>
      <c r="W374">
        <v>0.11080000000000396</v>
      </c>
      <c r="X374">
        <v>9.5600000000003529E-2</v>
      </c>
      <c r="Y374">
        <v>8.8100000000003315E-2</v>
      </c>
    </row>
    <row r="375" spans="1:25" x14ac:dyDescent="0.55000000000000004">
      <c r="A375" t="s">
        <v>376</v>
      </c>
      <c r="B375">
        <v>57.457627091954457</v>
      </c>
      <c r="C375">
        <v>9.0000000000003369E-2</v>
      </c>
      <c r="E375">
        <v>37.820777432614598</v>
      </c>
      <c r="F375">
        <v>0.1190000000000042</v>
      </c>
      <c r="H375">
        <v>41.087004386854851</v>
      </c>
      <c r="I375">
        <v>0.1225000000000043</v>
      </c>
      <c r="K375">
        <v>38.854680816953305</v>
      </c>
      <c r="L375">
        <v>0.12390000000000434</v>
      </c>
      <c r="N375">
        <v>32.041138890105977</v>
      </c>
      <c r="O375">
        <v>0.11090000000000397</v>
      </c>
      <c r="Q375">
        <v>46.682545683225101</v>
      </c>
      <c r="R375">
        <v>0.10940000000000392</v>
      </c>
      <c r="T375">
        <v>9.0000000000003369E-2</v>
      </c>
      <c r="U375">
        <v>0.1190000000000042</v>
      </c>
      <c r="V375">
        <v>0.1225000000000043</v>
      </c>
      <c r="W375">
        <v>0.12390000000000434</v>
      </c>
      <c r="X375">
        <v>0.11090000000000397</v>
      </c>
      <c r="Y375">
        <v>0.10940000000000392</v>
      </c>
    </row>
    <row r="376" spans="1:25" x14ac:dyDescent="0.55000000000000004">
      <c r="A376" t="s">
        <v>377</v>
      </c>
      <c r="B376">
        <v>43.812534228223193</v>
      </c>
      <c r="C376">
        <v>9.8300000000003607E-2</v>
      </c>
      <c r="E376">
        <v>37.170362856377309</v>
      </c>
      <c r="F376">
        <v>0.10660000000000384</v>
      </c>
      <c r="H376">
        <v>36.120865016360511</v>
      </c>
      <c r="I376">
        <v>0.10770000000000388</v>
      </c>
      <c r="K376">
        <v>56.283144884690735</v>
      </c>
      <c r="L376">
        <v>0.12810000000000402</v>
      </c>
      <c r="N376">
        <v>37.126320126565766</v>
      </c>
      <c r="O376">
        <v>9.7400000000003581E-2</v>
      </c>
      <c r="Q376">
        <v>54.462719466418889</v>
      </c>
      <c r="R376">
        <v>9.0100000000003372E-2</v>
      </c>
      <c r="T376">
        <v>9.8300000000003607E-2</v>
      </c>
      <c r="U376">
        <v>0.10660000000000384</v>
      </c>
      <c r="V376">
        <v>0.10770000000000388</v>
      </c>
      <c r="W376">
        <v>0.12810000000000402</v>
      </c>
      <c r="X376">
        <v>9.7400000000003581E-2</v>
      </c>
      <c r="Y376">
        <v>9.0100000000003372E-2</v>
      </c>
    </row>
    <row r="377" spans="1:25" x14ac:dyDescent="0.55000000000000004">
      <c r="A377" t="s">
        <v>378</v>
      </c>
      <c r="B377">
        <v>39.831890910904896</v>
      </c>
      <c r="C377">
        <v>8.3600000000003186E-2</v>
      </c>
      <c r="E377">
        <v>48.791891989186141</v>
      </c>
      <c r="F377">
        <v>0.10390000000000377</v>
      </c>
      <c r="H377">
        <v>41.853457303620338</v>
      </c>
      <c r="I377">
        <v>0.10230000000000372</v>
      </c>
      <c r="K377">
        <v>77.193155930773983</v>
      </c>
      <c r="L377">
        <v>5.0300000000002239E-2</v>
      </c>
      <c r="N377">
        <v>43.369466941818466</v>
      </c>
      <c r="O377">
        <v>9.9000000000003627E-2</v>
      </c>
      <c r="Q377">
        <v>69.068272931184865</v>
      </c>
      <c r="R377">
        <v>8.9500000000003355E-2</v>
      </c>
      <c r="T377">
        <v>8.3600000000003186E-2</v>
      </c>
      <c r="U377">
        <v>0.10390000000000377</v>
      </c>
      <c r="V377">
        <v>0.10230000000000372</v>
      </c>
      <c r="W377">
        <v>5.0300000000002239E-2</v>
      </c>
      <c r="X377">
        <v>9.9000000000003627E-2</v>
      </c>
      <c r="Y377">
        <v>8.9500000000003355E-2</v>
      </c>
    </row>
    <row r="378" spans="1:25" x14ac:dyDescent="0.55000000000000004">
      <c r="A378" t="s">
        <v>379</v>
      </c>
      <c r="B378">
        <v>112.63637360102864</v>
      </c>
      <c r="C378">
        <v>0.10250000000000373</v>
      </c>
      <c r="E378">
        <v>31.936775997687757</v>
      </c>
      <c r="F378">
        <v>0.14770000000000186</v>
      </c>
      <c r="H378">
        <v>26.65113920125566</v>
      </c>
      <c r="I378">
        <v>0.11660000000000413</v>
      </c>
      <c r="K378">
        <v>39.873021847940635</v>
      </c>
      <c r="L378">
        <v>0.13790000000000294</v>
      </c>
      <c r="N378">
        <v>32.570780652055049</v>
      </c>
      <c r="O378">
        <v>0.11980000000000422</v>
      </c>
      <c r="Q378">
        <v>32.367535799029902</v>
      </c>
      <c r="R378">
        <v>0.10310000000000374</v>
      </c>
      <c r="T378">
        <v>0.10250000000000373</v>
      </c>
      <c r="U378">
        <v>0.14770000000000186</v>
      </c>
      <c r="V378">
        <v>0.11660000000000413</v>
      </c>
      <c r="W378">
        <v>0.13790000000000294</v>
      </c>
      <c r="X378">
        <v>0.11980000000000422</v>
      </c>
      <c r="Y378">
        <v>0.10310000000000374</v>
      </c>
    </row>
    <row r="379" spans="1:25" x14ac:dyDescent="0.55000000000000004">
      <c r="A379" t="s">
        <v>380</v>
      </c>
      <c r="B379">
        <v>35.954511470399495</v>
      </c>
      <c r="C379">
        <v>8.6300000000003263E-2</v>
      </c>
      <c r="E379">
        <v>45.692295281970985</v>
      </c>
      <c r="F379">
        <v>0.10460000000000379</v>
      </c>
      <c r="H379">
        <v>33.254894324086926</v>
      </c>
      <c r="I379">
        <v>0.10680000000000385</v>
      </c>
      <c r="K379">
        <v>56.219928954542468</v>
      </c>
      <c r="L379">
        <v>0.12650000000000419</v>
      </c>
      <c r="N379">
        <v>42.353919989635692</v>
      </c>
      <c r="O379">
        <v>0.12130000000000427</v>
      </c>
      <c r="Q379">
        <v>40.365765782861679</v>
      </c>
      <c r="R379">
        <v>0.11280000000000402</v>
      </c>
      <c r="T379">
        <v>8.6300000000003263E-2</v>
      </c>
      <c r="U379">
        <v>0.10460000000000379</v>
      </c>
      <c r="V379">
        <v>0.10680000000000385</v>
      </c>
      <c r="W379">
        <v>0.12650000000000419</v>
      </c>
      <c r="X379">
        <v>0.12130000000000427</v>
      </c>
      <c r="Y379">
        <v>0.11280000000000402</v>
      </c>
    </row>
    <row r="380" spans="1:25" x14ac:dyDescent="0.55000000000000004">
      <c r="A380" t="s">
        <v>381</v>
      </c>
      <c r="B380">
        <v>64.790311055555904</v>
      </c>
      <c r="C380">
        <v>8.4500000000003211E-2</v>
      </c>
      <c r="E380">
        <v>47.703393222954162</v>
      </c>
      <c r="F380">
        <v>9.1300000000003406E-2</v>
      </c>
      <c r="H380">
        <v>41.51877850746736</v>
      </c>
      <c r="I380">
        <v>9.11000000000034E-2</v>
      </c>
      <c r="K380">
        <v>86.345374364885842</v>
      </c>
      <c r="L380">
        <v>0.10330000000000375</v>
      </c>
      <c r="N380">
        <v>52.563240367994062</v>
      </c>
      <c r="O380">
        <v>9.1900000000003423E-2</v>
      </c>
      <c r="Q380">
        <v>45.023977204085007</v>
      </c>
      <c r="R380">
        <v>8.8800000000003335E-2</v>
      </c>
      <c r="T380">
        <v>8.4500000000003211E-2</v>
      </c>
      <c r="U380">
        <v>9.1300000000003406E-2</v>
      </c>
      <c r="V380">
        <v>9.11000000000034E-2</v>
      </c>
      <c r="W380">
        <v>0.10330000000000375</v>
      </c>
      <c r="X380">
        <v>9.1900000000003423E-2</v>
      </c>
      <c r="Y380">
        <v>8.8800000000003335E-2</v>
      </c>
    </row>
    <row r="381" spans="1:25" x14ac:dyDescent="0.55000000000000004">
      <c r="A381" t="s">
        <v>382</v>
      </c>
      <c r="B381">
        <v>33.104479640216525</v>
      </c>
      <c r="C381">
        <v>8.0900000000003108E-2</v>
      </c>
      <c r="E381">
        <v>37.531280182501291</v>
      </c>
      <c r="F381">
        <v>9.7300000000003578E-2</v>
      </c>
      <c r="H381">
        <v>30.889336022956609</v>
      </c>
      <c r="I381">
        <v>0.10940000000000392</v>
      </c>
      <c r="K381">
        <v>51.540530519954991</v>
      </c>
      <c r="L381">
        <v>0.12770000000000406</v>
      </c>
      <c r="N381">
        <v>36.876195222744002</v>
      </c>
      <c r="O381">
        <v>0.12000000000000423</v>
      </c>
      <c r="Q381">
        <v>38.656774741298968</v>
      </c>
      <c r="R381">
        <v>9.8500000000003612E-2</v>
      </c>
      <c r="T381">
        <v>8.0900000000003108E-2</v>
      </c>
      <c r="U381">
        <v>9.7300000000003578E-2</v>
      </c>
      <c r="V381">
        <v>0.10940000000000392</v>
      </c>
      <c r="W381">
        <v>0.12770000000000406</v>
      </c>
      <c r="X381">
        <v>0.12000000000000423</v>
      </c>
      <c r="Y381">
        <v>9.8500000000003612E-2</v>
      </c>
    </row>
    <row r="382" spans="1:25" x14ac:dyDescent="0.55000000000000004">
      <c r="A382" t="s">
        <v>383</v>
      </c>
      <c r="B382">
        <v>38.13836941067153</v>
      </c>
      <c r="C382">
        <v>7.2500000000002868E-2</v>
      </c>
      <c r="E382">
        <v>42.564042294107523</v>
      </c>
      <c r="F382">
        <v>9.4800000000003506E-2</v>
      </c>
      <c r="H382">
        <v>40.590606143290536</v>
      </c>
      <c r="I382">
        <v>8.6800000000003277E-2</v>
      </c>
      <c r="K382">
        <v>88.190896611984371</v>
      </c>
      <c r="L382">
        <v>0.10530000000000381</v>
      </c>
      <c r="N382">
        <v>42.166103934227571</v>
      </c>
      <c r="O382">
        <v>0.11380000000000405</v>
      </c>
      <c r="Q382">
        <v>45.085241206011503</v>
      </c>
      <c r="R382">
        <v>8.6400000000003266E-2</v>
      </c>
      <c r="T382">
        <v>7.2500000000002868E-2</v>
      </c>
      <c r="U382">
        <v>9.4800000000003506E-2</v>
      </c>
      <c r="V382">
        <v>8.6800000000003277E-2</v>
      </c>
      <c r="W382">
        <v>0.10530000000000381</v>
      </c>
      <c r="X382">
        <v>0.11380000000000405</v>
      </c>
      <c r="Y382">
        <v>8.6400000000003266E-2</v>
      </c>
    </row>
    <row r="383" spans="1:25" x14ac:dyDescent="0.55000000000000004">
      <c r="A383" t="s">
        <v>384</v>
      </c>
      <c r="B383">
        <v>41.432594433365281</v>
      </c>
      <c r="C383">
        <v>9.1800000000003421E-2</v>
      </c>
      <c r="E383">
        <v>55.780543666980805</v>
      </c>
      <c r="F383">
        <v>0.10610000000000383</v>
      </c>
      <c r="H383">
        <v>38.056519183474634</v>
      </c>
      <c r="I383">
        <v>0.11160000000000399</v>
      </c>
      <c r="K383">
        <v>64.124555159757477</v>
      </c>
      <c r="L383">
        <v>0.11110000000000397</v>
      </c>
      <c r="N383">
        <v>42.676493830897165</v>
      </c>
      <c r="O383">
        <v>0.11300000000000403</v>
      </c>
      <c r="Q383">
        <v>43.650884368513729</v>
      </c>
      <c r="R383">
        <v>8.8700000000003332E-2</v>
      </c>
      <c r="T383">
        <v>9.1800000000003421E-2</v>
      </c>
      <c r="U383">
        <v>0.10610000000000383</v>
      </c>
      <c r="V383">
        <v>0.11160000000000399</v>
      </c>
      <c r="W383">
        <v>0.11110000000000397</v>
      </c>
      <c r="X383">
        <v>0.11300000000000403</v>
      </c>
      <c r="Y383">
        <v>8.8700000000003332E-2</v>
      </c>
    </row>
    <row r="384" spans="1:25" x14ac:dyDescent="0.55000000000000004">
      <c r="A384" t="s">
        <v>385</v>
      </c>
      <c r="B384">
        <v>43.849132291517229</v>
      </c>
      <c r="C384">
        <v>8.1000000000003111E-2</v>
      </c>
      <c r="E384">
        <v>53.623487360782349</v>
      </c>
      <c r="F384">
        <v>0.1189000000000042</v>
      </c>
      <c r="H384">
        <v>42.19248328441811</v>
      </c>
      <c r="I384">
        <v>9.8700000000003618E-2</v>
      </c>
      <c r="K384">
        <v>67.262119580745207</v>
      </c>
      <c r="L384">
        <v>0.11070000000000396</v>
      </c>
      <c r="N384">
        <v>46.318634846453158</v>
      </c>
      <c r="O384">
        <v>0.10040000000000367</v>
      </c>
      <c r="Q384">
        <v>42.615513553134804</v>
      </c>
      <c r="R384">
        <v>9.1200000000003403E-2</v>
      </c>
      <c r="T384">
        <v>8.1000000000003111E-2</v>
      </c>
      <c r="U384">
        <v>0.1189000000000042</v>
      </c>
      <c r="V384">
        <v>9.8700000000003618E-2</v>
      </c>
      <c r="W384">
        <v>0.11070000000000396</v>
      </c>
      <c r="X384">
        <v>0.10040000000000367</v>
      </c>
      <c r="Y384">
        <v>9.1200000000003403E-2</v>
      </c>
    </row>
    <row r="385" spans="1:25" x14ac:dyDescent="0.55000000000000004">
      <c r="A385" t="s">
        <v>386</v>
      </c>
      <c r="B385">
        <v>39.508473974235649</v>
      </c>
      <c r="C385">
        <v>7.0600000000002813E-2</v>
      </c>
      <c r="E385">
        <v>39.543820622459251</v>
      </c>
      <c r="F385">
        <v>0.12190000000000428</v>
      </c>
      <c r="H385">
        <v>37.414995636602484</v>
      </c>
      <c r="I385">
        <v>0.1015000000000037</v>
      </c>
      <c r="K385">
        <v>63.393891754563626</v>
      </c>
      <c r="L385">
        <v>0.112100000000004</v>
      </c>
      <c r="N385">
        <v>37.980373732357407</v>
      </c>
      <c r="O385">
        <v>9.5500000000003527E-2</v>
      </c>
      <c r="Q385">
        <v>56.135890375977617</v>
      </c>
      <c r="R385">
        <v>8.8000000000003312E-2</v>
      </c>
      <c r="T385">
        <v>7.0600000000002813E-2</v>
      </c>
      <c r="U385">
        <v>0.12190000000000428</v>
      </c>
      <c r="V385">
        <v>0.1015000000000037</v>
      </c>
      <c r="W385">
        <v>0.112100000000004</v>
      </c>
      <c r="X385">
        <v>9.5500000000003527E-2</v>
      </c>
      <c r="Y385">
        <v>8.8000000000003312E-2</v>
      </c>
    </row>
    <row r="386" spans="1:25" x14ac:dyDescent="0.55000000000000004">
      <c r="A386" t="s">
        <v>387</v>
      </c>
      <c r="B386">
        <v>42.079130259340992</v>
      </c>
      <c r="C386">
        <v>8.2100000000003143E-2</v>
      </c>
      <c r="E386">
        <v>44.263138903551337</v>
      </c>
      <c r="F386">
        <v>9.0700000000003389E-2</v>
      </c>
      <c r="H386">
        <v>39.498930884196021</v>
      </c>
      <c r="I386">
        <v>9.3000000000003455E-2</v>
      </c>
      <c r="K386">
        <v>66.687602558744601</v>
      </c>
      <c r="L386">
        <v>0.11040000000000395</v>
      </c>
      <c r="N386">
        <v>47.088276341701885</v>
      </c>
      <c r="O386">
        <v>8.8600000000003329E-2</v>
      </c>
      <c r="Q386">
        <v>54.308872036805951</v>
      </c>
      <c r="R386">
        <v>8.5000000000003226E-2</v>
      </c>
      <c r="T386">
        <v>8.2100000000003143E-2</v>
      </c>
      <c r="U386">
        <v>9.0700000000003389E-2</v>
      </c>
      <c r="V386">
        <v>9.3000000000003455E-2</v>
      </c>
      <c r="W386">
        <v>0.11040000000000395</v>
      </c>
      <c r="X386">
        <v>8.8600000000003329E-2</v>
      </c>
      <c r="Y386">
        <v>8.5000000000003226E-2</v>
      </c>
    </row>
    <row r="387" spans="1:25" x14ac:dyDescent="0.55000000000000004">
      <c r="A387" t="s">
        <v>388</v>
      </c>
      <c r="B387">
        <v>52.51098695740594</v>
      </c>
      <c r="C387">
        <v>8.1200000000003117E-2</v>
      </c>
      <c r="E387">
        <v>59.32566343392601</v>
      </c>
      <c r="F387">
        <v>0.13320000000000345</v>
      </c>
      <c r="H387">
        <v>38.186350766147115</v>
      </c>
      <c r="I387">
        <v>0.11050000000000396</v>
      </c>
      <c r="K387">
        <v>54.783433802536813</v>
      </c>
      <c r="L387">
        <v>0.12610000000000424</v>
      </c>
      <c r="N387">
        <v>35.742844624283592</v>
      </c>
      <c r="O387">
        <v>0.10810000000000389</v>
      </c>
      <c r="Q387">
        <v>53.790612692820034</v>
      </c>
      <c r="R387">
        <v>0.10540000000000381</v>
      </c>
      <c r="T387">
        <v>8.1200000000003117E-2</v>
      </c>
      <c r="U387">
        <v>0.13320000000000345</v>
      </c>
      <c r="V387">
        <v>0.11050000000000396</v>
      </c>
      <c r="W387">
        <v>0.12610000000000424</v>
      </c>
      <c r="X387">
        <v>0.10810000000000389</v>
      </c>
      <c r="Y387">
        <v>0.10540000000000381</v>
      </c>
    </row>
    <row r="388" spans="1:25" x14ac:dyDescent="0.55000000000000004">
      <c r="A388" t="s">
        <v>389</v>
      </c>
      <c r="B388">
        <v>31.218444820163306</v>
      </c>
      <c r="C388">
        <v>7.8200000000003031E-2</v>
      </c>
      <c r="E388">
        <v>59.638627238354694</v>
      </c>
      <c r="F388">
        <v>0.12040000000000424</v>
      </c>
      <c r="H388">
        <v>36.018508172041045</v>
      </c>
      <c r="I388">
        <v>0.10590000000000382</v>
      </c>
      <c r="K388">
        <v>42.598411751500194</v>
      </c>
      <c r="L388">
        <v>0.12690000000000415</v>
      </c>
      <c r="N388">
        <v>31.992652814829626</v>
      </c>
      <c r="O388">
        <v>0.12210000000000429</v>
      </c>
      <c r="Q388">
        <v>43.135649523766688</v>
      </c>
      <c r="R388">
        <v>8.690000000000328E-2</v>
      </c>
      <c r="T388">
        <v>7.8200000000003031E-2</v>
      </c>
      <c r="U388">
        <v>0.12040000000000424</v>
      </c>
      <c r="V388">
        <v>0.10590000000000382</v>
      </c>
      <c r="W388">
        <v>0.12690000000000415</v>
      </c>
      <c r="X388">
        <v>0.12210000000000429</v>
      </c>
      <c r="Y388">
        <v>8.690000000000328E-2</v>
      </c>
    </row>
    <row r="389" spans="1:25" x14ac:dyDescent="0.55000000000000004">
      <c r="A389" t="s">
        <v>390</v>
      </c>
      <c r="B389">
        <v>66.573415895968779</v>
      </c>
      <c r="C389">
        <v>7.9700000000003074E-2</v>
      </c>
      <c r="E389">
        <v>47.961269556341804</v>
      </c>
      <c r="F389">
        <v>0.13300000000000348</v>
      </c>
      <c r="H389">
        <v>40.72848443113962</v>
      </c>
      <c r="I389">
        <v>0.10090000000000368</v>
      </c>
      <c r="K389">
        <v>67.806224058806066</v>
      </c>
      <c r="L389">
        <v>0.11590000000000411</v>
      </c>
      <c r="N389">
        <v>44.079957549815376</v>
      </c>
      <c r="O389">
        <v>9.3200000000003461E-2</v>
      </c>
      <c r="Q389">
        <v>54.158323866429228</v>
      </c>
      <c r="R389">
        <v>9.8500000000003612E-2</v>
      </c>
      <c r="T389">
        <v>7.9700000000003074E-2</v>
      </c>
      <c r="U389">
        <v>0.13300000000000348</v>
      </c>
      <c r="V389">
        <v>0.10090000000000368</v>
      </c>
      <c r="W389">
        <v>0.11590000000000411</v>
      </c>
      <c r="X389">
        <v>9.3200000000003461E-2</v>
      </c>
      <c r="Y389">
        <v>9.8500000000003612E-2</v>
      </c>
    </row>
    <row r="390" spans="1:25" x14ac:dyDescent="0.55000000000000004">
      <c r="A390" t="s">
        <v>391</v>
      </c>
      <c r="B390">
        <v>45.46075747283416</v>
      </c>
      <c r="C390">
        <v>7.9800000000003077E-2</v>
      </c>
      <c r="E390">
        <v>41.016772083257877</v>
      </c>
      <c r="F390">
        <v>0.13120000000000367</v>
      </c>
      <c r="H390">
        <v>39.066445800456393</v>
      </c>
      <c r="I390">
        <v>9.910000000000363E-2</v>
      </c>
      <c r="K390">
        <v>65.365157763822097</v>
      </c>
      <c r="L390">
        <v>0.11480000000000408</v>
      </c>
      <c r="N390">
        <v>40.616187805808586</v>
      </c>
      <c r="O390">
        <v>9.3100000000003458E-2</v>
      </c>
      <c r="Q390">
        <v>49.617202219826574</v>
      </c>
      <c r="R390">
        <v>8.7100000000003286E-2</v>
      </c>
      <c r="T390">
        <v>7.9800000000003077E-2</v>
      </c>
      <c r="U390">
        <v>0.13120000000000367</v>
      </c>
      <c r="V390">
        <v>9.910000000000363E-2</v>
      </c>
      <c r="W390">
        <v>0.11480000000000408</v>
      </c>
      <c r="X390">
        <v>9.3100000000003458E-2</v>
      </c>
      <c r="Y390">
        <v>8.7100000000003286E-2</v>
      </c>
    </row>
    <row r="391" spans="1:25" x14ac:dyDescent="0.55000000000000004">
      <c r="A391" t="s">
        <v>392</v>
      </c>
      <c r="B391">
        <v>33.529734010635714</v>
      </c>
      <c r="C391">
        <v>0.10120000000000369</v>
      </c>
      <c r="E391">
        <v>41.112434524253196</v>
      </c>
      <c r="F391">
        <v>9.7400000000003581E-2</v>
      </c>
      <c r="H391">
        <v>37.917403142876573</v>
      </c>
      <c r="I391">
        <v>8.8500000000003326E-2</v>
      </c>
      <c r="K391">
        <v>56.796617977300635</v>
      </c>
      <c r="L391">
        <v>0.12180000000000428</v>
      </c>
      <c r="N391">
        <v>83.057643134813617</v>
      </c>
      <c r="O391">
        <v>0.12390000000000434</v>
      </c>
      <c r="Q391">
        <v>41.610712355427779</v>
      </c>
      <c r="R391">
        <v>9.1500000000003412E-2</v>
      </c>
      <c r="T391">
        <v>0.10120000000000369</v>
      </c>
      <c r="U391">
        <v>9.7400000000003581E-2</v>
      </c>
      <c r="V391">
        <v>8.8500000000003326E-2</v>
      </c>
      <c r="W391">
        <v>0.12180000000000428</v>
      </c>
      <c r="X391">
        <v>0.12390000000000434</v>
      </c>
      <c r="Y391">
        <v>9.1500000000003412E-2</v>
      </c>
    </row>
    <row r="392" spans="1:25" x14ac:dyDescent="0.55000000000000004">
      <c r="A392" t="s">
        <v>393</v>
      </c>
      <c r="B392">
        <v>54.715823275531868</v>
      </c>
      <c r="C392">
        <v>7.5400000000002951E-2</v>
      </c>
      <c r="E392">
        <v>40.499015920681224</v>
      </c>
      <c r="F392">
        <v>9.8700000000003618E-2</v>
      </c>
      <c r="H392">
        <v>39.689910759843045</v>
      </c>
      <c r="I392">
        <v>9.6500000000003555E-2</v>
      </c>
      <c r="K392">
        <v>60.517369694895429</v>
      </c>
      <c r="L392">
        <v>0.11130000000000398</v>
      </c>
      <c r="N392">
        <v>45.213039421875969</v>
      </c>
      <c r="O392">
        <v>0.10400000000000377</v>
      </c>
      <c r="Q392">
        <v>48.410286746414428</v>
      </c>
      <c r="R392">
        <v>8.4300000000003206E-2</v>
      </c>
      <c r="T392">
        <v>7.5400000000002951E-2</v>
      </c>
      <c r="U392">
        <v>9.8700000000003618E-2</v>
      </c>
      <c r="V392">
        <v>9.6500000000003555E-2</v>
      </c>
      <c r="W392">
        <v>0.11130000000000398</v>
      </c>
      <c r="X392">
        <v>0.10400000000000377</v>
      </c>
      <c r="Y392">
        <v>8.4300000000003206E-2</v>
      </c>
    </row>
    <row r="393" spans="1:25" x14ac:dyDescent="0.55000000000000004">
      <c r="A393" t="s">
        <v>394</v>
      </c>
      <c r="B393">
        <v>31.801326617828092</v>
      </c>
      <c r="C393">
        <v>8.970000000000336E-2</v>
      </c>
      <c r="E393">
        <v>40.46833252384404</v>
      </c>
      <c r="F393">
        <v>0.10080000000000368</v>
      </c>
      <c r="H393">
        <v>35.427314710497441</v>
      </c>
      <c r="I393">
        <v>0.10220000000000372</v>
      </c>
      <c r="K393">
        <v>49.421094443864568</v>
      </c>
      <c r="L393">
        <v>0.11860000000000419</v>
      </c>
      <c r="N393">
        <v>49.972237166746801</v>
      </c>
      <c r="O393">
        <v>0.12010000000000423</v>
      </c>
      <c r="Q393">
        <v>43.079449101164833</v>
      </c>
      <c r="R393">
        <v>8.7700000000003303E-2</v>
      </c>
      <c r="T393">
        <v>8.970000000000336E-2</v>
      </c>
      <c r="U393">
        <v>0.10080000000000368</v>
      </c>
      <c r="V393">
        <v>0.10220000000000372</v>
      </c>
      <c r="W393">
        <v>0.11860000000000419</v>
      </c>
      <c r="X393">
        <v>0.12010000000000423</v>
      </c>
      <c r="Y393">
        <v>8.7700000000003303E-2</v>
      </c>
    </row>
    <row r="394" spans="1:25" x14ac:dyDescent="0.55000000000000004">
      <c r="A394" t="s">
        <v>395</v>
      </c>
      <c r="B394">
        <v>27.947334849318423</v>
      </c>
      <c r="C394">
        <v>0.10630000000000384</v>
      </c>
      <c r="E394">
        <v>37.678345220209152</v>
      </c>
      <c r="F394">
        <v>0.10060000000000367</v>
      </c>
      <c r="H394">
        <v>39.003724924157567</v>
      </c>
      <c r="I394">
        <v>9.3000000000003455E-2</v>
      </c>
      <c r="K394">
        <v>48.632218323885418</v>
      </c>
      <c r="L394">
        <v>0.12320000000000432</v>
      </c>
      <c r="N394">
        <v>35.03829732781756</v>
      </c>
      <c r="O394">
        <v>0.12800000000000403</v>
      </c>
      <c r="Q394">
        <v>36.923588531638103</v>
      </c>
      <c r="R394">
        <v>9.910000000000363E-2</v>
      </c>
      <c r="T394">
        <v>0.10630000000000384</v>
      </c>
      <c r="U394">
        <v>0.10060000000000367</v>
      </c>
      <c r="V394">
        <v>9.3000000000003455E-2</v>
      </c>
      <c r="W394">
        <v>0.12320000000000432</v>
      </c>
      <c r="X394">
        <v>0.12800000000000403</v>
      </c>
      <c r="Y394">
        <v>9.910000000000363E-2</v>
      </c>
    </row>
    <row r="395" spans="1:25" x14ac:dyDescent="0.55000000000000004">
      <c r="A395" t="s">
        <v>396</v>
      </c>
      <c r="B395">
        <v>41.796280417697595</v>
      </c>
      <c r="C395">
        <v>7.6500000000002982E-2</v>
      </c>
      <c r="E395">
        <v>51.135842340468194</v>
      </c>
      <c r="F395">
        <v>0.13170000000000362</v>
      </c>
      <c r="H395">
        <v>38.730187921197626</v>
      </c>
      <c r="I395">
        <v>0.13130000000000366</v>
      </c>
      <c r="K395">
        <v>64.698507767402276</v>
      </c>
      <c r="L395">
        <v>0.12960000000000385</v>
      </c>
      <c r="N395">
        <v>56.457987926048297</v>
      </c>
      <c r="O395">
        <v>0.13090000000000371</v>
      </c>
      <c r="Q395">
        <v>60.85492934989454</v>
      </c>
      <c r="R395">
        <v>9.8300000000003607E-2</v>
      </c>
      <c r="T395">
        <v>7.6500000000002982E-2</v>
      </c>
      <c r="U395">
        <v>0.13170000000000362</v>
      </c>
      <c r="V395">
        <v>0.13130000000000366</v>
      </c>
      <c r="W395">
        <v>0.12960000000000385</v>
      </c>
      <c r="X395">
        <v>0.13090000000000371</v>
      </c>
      <c r="Y395">
        <v>9.8300000000003607E-2</v>
      </c>
    </row>
    <row r="396" spans="1:25" x14ac:dyDescent="0.55000000000000004">
      <c r="A396" t="s">
        <v>397</v>
      </c>
      <c r="B396">
        <v>40.70620694562912</v>
      </c>
      <c r="C396">
        <v>8.970000000000336E-2</v>
      </c>
      <c r="E396">
        <v>38.153497642386085</v>
      </c>
      <c r="F396">
        <v>0.13210000000000358</v>
      </c>
      <c r="H396">
        <v>32.779935453360878</v>
      </c>
      <c r="I396">
        <v>0.12390000000000434</v>
      </c>
      <c r="K396">
        <v>48.86988355477596</v>
      </c>
      <c r="L396">
        <v>0.10940000000000392</v>
      </c>
      <c r="N396">
        <v>69.650042673246844</v>
      </c>
      <c r="O396">
        <v>8.5000000000003226E-2</v>
      </c>
      <c r="Q396">
        <v>30.778242325220031</v>
      </c>
      <c r="R396">
        <v>8.270000000000316E-2</v>
      </c>
      <c r="T396">
        <v>8.970000000000336E-2</v>
      </c>
      <c r="U396">
        <v>0.13210000000000358</v>
      </c>
      <c r="V396">
        <v>0.12390000000000434</v>
      </c>
      <c r="W396">
        <v>0.10940000000000392</v>
      </c>
      <c r="X396">
        <v>8.5000000000003226E-2</v>
      </c>
      <c r="Y396">
        <v>8.270000000000316E-2</v>
      </c>
    </row>
    <row r="397" spans="1:25" x14ac:dyDescent="0.55000000000000004">
      <c r="A397" t="s">
        <v>398</v>
      </c>
      <c r="B397">
        <v>44.670370589782969</v>
      </c>
      <c r="C397">
        <v>7.1100000000002828E-2</v>
      </c>
      <c r="E397">
        <v>550.91612267245614</v>
      </c>
      <c r="F397">
        <v>0.12140000000000427</v>
      </c>
      <c r="H397">
        <v>35.647230900790809</v>
      </c>
      <c r="I397">
        <v>0.10590000000000382</v>
      </c>
      <c r="K397">
        <v>65.20390304578757</v>
      </c>
      <c r="L397">
        <v>0.11710000000000415</v>
      </c>
      <c r="N397">
        <v>42.623216442825886</v>
      </c>
      <c r="O397">
        <v>0.10460000000000379</v>
      </c>
      <c r="Q397">
        <v>49.106040304616378</v>
      </c>
      <c r="R397">
        <v>8.9800000000003363E-2</v>
      </c>
      <c r="T397">
        <v>7.1100000000002828E-2</v>
      </c>
      <c r="U397">
        <v>0.12140000000000427</v>
      </c>
      <c r="V397">
        <v>0.10590000000000382</v>
      </c>
      <c r="W397">
        <v>0.11710000000000415</v>
      </c>
      <c r="X397">
        <v>0.10460000000000379</v>
      </c>
      <c r="Y397">
        <v>8.9800000000003363E-2</v>
      </c>
    </row>
    <row r="398" spans="1:25" x14ac:dyDescent="0.55000000000000004">
      <c r="A398" t="s">
        <v>399</v>
      </c>
      <c r="B398">
        <v>47.397939333352632</v>
      </c>
      <c r="C398">
        <v>7.9100000000003057E-2</v>
      </c>
      <c r="E398">
        <v>43.797017346217608</v>
      </c>
      <c r="F398">
        <v>0.10000000000000366</v>
      </c>
      <c r="H398">
        <v>44.466934827952684</v>
      </c>
      <c r="I398">
        <v>9.9600000000003644E-2</v>
      </c>
      <c r="K398">
        <v>72.930971515042771</v>
      </c>
      <c r="L398">
        <v>0.10780000000000388</v>
      </c>
      <c r="N398">
        <v>70.635379284471526</v>
      </c>
      <c r="O398">
        <v>9.2400000000003438E-2</v>
      </c>
      <c r="Q398">
        <v>58.43533576666939</v>
      </c>
      <c r="R398">
        <v>8.550000000000324E-2</v>
      </c>
      <c r="T398">
        <v>7.9100000000003057E-2</v>
      </c>
      <c r="U398">
        <v>0.10000000000000366</v>
      </c>
      <c r="V398">
        <v>9.9600000000003644E-2</v>
      </c>
      <c r="W398">
        <v>0.10780000000000388</v>
      </c>
      <c r="X398">
        <v>9.2400000000003438E-2</v>
      </c>
      <c r="Y398">
        <v>8.550000000000324E-2</v>
      </c>
    </row>
    <row r="399" spans="1:25" x14ac:dyDescent="0.55000000000000004">
      <c r="A399" t="s">
        <v>400</v>
      </c>
      <c r="B399">
        <v>27.898498838890063</v>
      </c>
      <c r="C399">
        <v>8.9300000000003349E-2</v>
      </c>
      <c r="E399">
        <v>29.273602707204525</v>
      </c>
      <c r="F399">
        <v>0.13300000000000348</v>
      </c>
      <c r="H399">
        <v>29.467038978471098</v>
      </c>
      <c r="I399">
        <v>0.10020000000000366</v>
      </c>
      <c r="K399">
        <v>41.559647997909138</v>
      </c>
      <c r="L399">
        <v>0.12200000000000429</v>
      </c>
      <c r="N399">
        <v>33.706009574110809</v>
      </c>
      <c r="O399">
        <v>0.10890000000000391</v>
      </c>
      <c r="Q399">
        <v>32.607908749477211</v>
      </c>
      <c r="R399">
        <v>0.10190000000000371</v>
      </c>
      <c r="T399">
        <v>8.9300000000003349E-2</v>
      </c>
      <c r="U399">
        <v>0.13300000000000348</v>
      </c>
      <c r="V399">
        <v>0.10020000000000366</v>
      </c>
      <c r="W399">
        <v>0.12200000000000429</v>
      </c>
      <c r="X399">
        <v>0.10890000000000391</v>
      </c>
      <c r="Y399">
        <v>0.10190000000000371</v>
      </c>
    </row>
    <row r="400" spans="1:25" x14ac:dyDescent="0.55000000000000004">
      <c r="A400" t="s">
        <v>401</v>
      </c>
      <c r="B400">
        <v>31.241883533937447</v>
      </c>
      <c r="C400">
        <v>0.11240000000000401</v>
      </c>
      <c r="E400">
        <v>35.861086163732523</v>
      </c>
      <c r="F400">
        <v>0.13290000000000349</v>
      </c>
      <c r="H400">
        <v>30.163753417004568</v>
      </c>
      <c r="I400">
        <v>0.13420000000000334</v>
      </c>
      <c r="K400">
        <v>42.532851506457035</v>
      </c>
      <c r="L400">
        <v>0.14000000000000271</v>
      </c>
      <c r="N400">
        <v>32.292475212848409</v>
      </c>
      <c r="O400">
        <v>0.12680000000000416</v>
      </c>
      <c r="Q400">
        <v>36.940641258546229</v>
      </c>
      <c r="R400">
        <v>0.1050000000000038</v>
      </c>
      <c r="T400">
        <v>0.11240000000000401</v>
      </c>
      <c r="U400">
        <v>0.13290000000000349</v>
      </c>
      <c r="V400">
        <v>0.13420000000000334</v>
      </c>
      <c r="W400">
        <v>0.14000000000000271</v>
      </c>
      <c r="X400">
        <v>0.12680000000000416</v>
      </c>
      <c r="Y400">
        <v>0.1050000000000038</v>
      </c>
    </row>
    <row r="401" spans="1:25" x14ac:dyDescent="0.55000000000000004">
      <c r="A401" t="s">
        <v>402</v>
      </c>
      <c r="B401">
        <v>45.462536145804144</v>
      </c>
      <c r="C401">
        <v>0.10020000000000366</v>
      </c>
      <c r="E401">
        <v>43.502457831097225</v>
      </c>
      <c r="F401">
        <v>0.10750000000000387</v>
      </c>
      <c r="H401">
        <v>30.048836654323821</v>
      </c>
      <c r="I401">
        <v>0.12230000000000429</v>
      </c>
      <c r="K401">
        <v>42.702236326310612</v>
      </c>
      <c r="L401">
        <v>0.14220000000000246</v>
      </c>
      <c r="N401">
        <v>30.073672221347884</v>
      </c>
      <c r="O401">
        <v>0.14060000000000264</v>
      </c>
      <c r="Q401">
        <v>34.289940361510006</v>
      </c>
      <c r="R401">
        <v>0.10380000000000376</v>
      </c>
      <c r="T401">
        <v>0.10020000000000366</v>
      </c>
      <c r="U401">
        <v>0.10750000000000387</v>
      </c>
      <c r="V401">
        <v>0.12230000000000429</v>
      </c>
      <c r="W401">
        <v>0.14220000000000246</v>
      </c>
      <c r="X401">
        <v>0.14060000000000264</v>
      </c>
      <c r="Y401">
        <v>0.10380000000000376</v>
      </c>
    </row>
    <row r="402" spans="1:25" x14ac:dyDescent="0.55000000000000004">
      <c r="A402" t="s">
        <v>403</v>
      </c>
      <c r="B402">
        <v>56.049164985760065</v>
      </c>
      <c r="C402">
        <v>7.0200000000002802E-2</v>
      </c>
      <c r="E402">
        <v>40.669714065221626</v>
      </c>
      <c r="F402">
        <v>0.10630000000000384</v>
      </c>
      <c r="H402">
        <v>29.283912414237598</v>
      </c>
      <c r="I402">
        <v>0.12790000000000404</v>
      </c>
      <c r="K402">
        <v>46.198321116065685</v>
      </c>
      <c r="L402">
        <v>0.12090000000000425</v>
      </c>
      <c r="N402">
        <v>30.35627332031558</v>
      </c>
      <c r="O402">
        <v>0.13180000000000361</v>
      </c>
      <c r="Q402">
        <v>29.321384045169864</v>
      </c>
      <c r="R402">
        <v>9.9200000000003632E-2</v>
      </c>
      <c r="T402">
        <v>7.0200000000002802E-2</v>
      </c>
      <c r="U402">
        <v>0.10630000000000384</v>
      </c>
      <c r="V402">
        <v>0.12790000000000404</v>
      </c>
      <c r="W402">
        <v>0.12090000000000425</v>
      </c>
      <c r="X402">
        <v>0.13180000000000361</v>
      </c>
      <c r="Y402">
        <v>9.9200000000003632E-2</v>
      </c>
    </row>
    <row r="403" spans="1:25" x14ac:dyDescent="0.55000000000000004">
      <c r="A403" t="s">
        <v>404</v>
      </c>
      <c r="B403">
        <v>29.69762568570048</v>
      </c>
      <c r="C403">
        <v>8.0900000000003108E-2</v>
      </c>
      <c r="E403">
        <v>36.278179815082147</v>
      </c>
      <c r="F403">
        <v>0.12370000000000433</v>
      </c>
      <c r="H403">
        <v>35.105580879140909</v>
      </c>
      <c r="I403">
        <v>0.11570000000000411</v>
      </c>
      <c r="K403">
        <v>54.293814584098925</v>
      </c>
      <c r="L403">
        <v>0.11680000000000414</v>
      </c>
      <c r="N403">
        <v>35.345465536284969</v>
      </c>
      <c r="O403">
        <v>0.10890000000000391</v>
      </c>
      <c r="Q403">
        <v>43.886622266091273</v>
      </c>
      <c r="R403">
        <v>0.1050000000000038</v>
      </c>
      <c r="T403">
        <v>8.0900000000003108E-2</v>
      </c>
      <c r="U403">
        <v>0.12370000000000433</v>
      </c>
      <c r="V403">
        <v>0.11570000000000411</v>
      </c>
      <c r="W403">
        <v>0.11680000000000414</v>
      </c>
      <c r="X403">
        <v>0.10890000000000391</v>
      </c>
      <c r="Y403">
        <v>0.1050000000000038</v>
      </c>
    </row>
    <row r="404" spans="1:25" x14ac:dyDescent="0.55000000000000004">
      <c r="A404" t="s">
        <v>405</v>
      </c>
      <c r="B404">
        <v>43.862840277393168</v>
      </c>
      <c r="C404">
        <v>8.4300000000003206E-2</v>
      </c>
      <c r="E404">
        <v>45.473509049126278</v>
      </c>
      <c r="F404">
        <v>0.10410000000000377</v>
      </c>
      <c r="H404">
        <v>37.515647620069025</v>
      </c>
      <c r="I404">
        <v>0.11620000000000412</v>
      </c>
      <c r="K404">
        <v>66.890053152497941</v>
      </c>
      <c r="L404">
        <v>0.12510000000000435</v>
      </c>
      <c r="N404">
        <v>69.923189450112034</v>
      </c>
      <c r="O404">
        <v>0.10800000000000388</v>
      </c>
      <c r="Q404">
        <v>45.503204007484726</v>
      </c>
      <c r="R404">
        <v>9.4700000000003504E-2</v>
      </c>
      <c r="T404">
        <v>8.4300000000003206E-2</v>
      </c>
      <c r="U404">
        <v>0.10410000000000377</v>
      </c>
      <c r="V404">
        <v>0.11620000000000412</v>
      </c>
      <c r="W404">
        <v>0.12510000000000435</v>
      </c>
      <c r="X404">
        <v>0.10800000000000388</v>
      </c>
      <c r="Y404">
        <v>9.4700000000003504E-2</v>
      </c>
    </row>
    <row r="405" spans="1:25" x14ac:dyDescent="0.55000000000000004">
      <c r="A405" t="s">
        <v>406</v>
      </c>
      <c r="B405">
        <v>25.667824086943082</v>
      </c>
      <c r="C405">
        <v>0.10930000000000392</v>
      </c>
      <c r="E405">
        <v>40.982877333069737</v>
      </c>
      <c r="F405">
        <v>9.910000000000363E-2</v>
      </c>
      <c r="H405">
        <v>40.901811394659404</v>
      </c>
      <c r="I405">
        <v>9.0900000000003395E-2</v>
      </c>
      <c r="K405">
        <v>47.943328497649382</v>
      </c>
      <c r="L405">
        <v>0.11430000000000407</v>
      </c>
      <c r="N405">
        <v>32.972807136811831</v>
      </c>
      <c r="O405">
        <v>0.12380000000000434</v>
      </c>
      <c r="Q405">
        <v>34.758677026231176</v>
      </c>
      <c r="R405">
        <v>9.9400000000003638E-2</v>
      </c>
      <c r="T405">
        <v>0.10930000000000392</v>
      </c>
      <c r="U405">
        <v>9.910000000000363E-2</v>
      </c>
      <c r="V405">
        <v>9.0900000000003395E-2</v>
      </c>
      <c r="W405">
        <v>0.11430000000000407</v>
      </c>
      <c r="X405">
        <v>0.12380000000000434</v>
      </c>
      <c r="Y405">
        <v>9.9400000000003638E-2</v>
      </c>
    </row>
    <row r="406" spans="1:25" x14ac:dyDescent="0.55000000000000004">
      <c r="A406" t="s">
        <v>407</v>
      </c>
      <c r="B406">
        <v>58.373840281262851</v>
      </c>
      <c r="C406">
        <v>7.1400000000002836E-2</v>
      </c>
      <c r="E406">
        <v>38.797533609735886</v>
      </c>
      <c r="F406">
        <v>0.10440000000000378</v>
      </c>
      <c r="H406">
        <v>42.829707626436644</v>
      </c>
      <c r="I406">
        <v>0.10470000000000379</v>
      </c>
      <c r="K406">
        <v>49.688928149633192</v>
      </c>
      <c r="L406">
        <v>0.11920000000000421</v>
      </c>
      <c r="N406">
        <v>45.758664531825637</v>
      </c>
      <c r="O406">
        <v>9.840000000000361E-2</v>
      </c>
      <c r="Q406">
        <v>63.329829767890935</v>
      </c>
      <c r="R406">
        <v>9.4300000000003492E-2</v>
      </c>
      <c r="T406">
        <v>7.1400000000002836E-2</v>
      </c>
      <c r="U406">
        <v>0.10440000000000378</v>
      </c>
      <c r="V406">
        <v>0.10470000000000379</v>
      </c>
      <c r="W406">
        <v>0.11920000000000421</v>
      </c>
      <c r="X406">
        <v>9.840000000000361E-2</v>
      </c>
      <c r="Y406">
        <v>9.4300000000003492E-2</v>
      </c>
    </row>
    <row r="407" spans="1:25" x14ac:dyDescent="0.55000000000000004">
      <c r="A407" t="s">
        <v>408</v>
      </c>
      <c r="B407">
        <v>29.136684839707964</v>
      </c>
      <c r="C407">
        <v>7.3800000000002905E-2</v>
      </c>
      <c r="E407">
        <v>48.387863628146327</v>
      </c>
      <c r="F407">
        <v>0.12880000000000394</v>
      </c>
      <c r="H407">
        <v>31.816508940697418</v>
      </c>
      <c r="I407">
        <v>0.11020000000000395</v>
      </c>
      <c r="K407">
        <v>36.344889870671871</v>
      </c>
      <c r="L407">
        <v>0.1364000000000031</v>
      </c>
      <c r="N407">
        <v>49.831919703453032</v>
      </c>
      <c r="O407">
        <v>0.12090000000000425</v>
      </c>
      <c r="Q407">
        <v>40.709837683864926</v>
      </c>
      <c r="R407">
        <v>9.0900000000003395E-2</v>
      </c>
      <c r="T407">
        <v>7.3800000000002905E-2</v>
      </c>
      <c r="U407">
        <v>0.12880000000000394</v>
      </c>
      <c r="V407">
        <v>0.11020000000000395</v>
      </c>
      <c r="W407">
        <v>0.1364000000000031</v>
      </c>
      <c r="X407">
        <v>0.12090000000000425</v>
      </c>
      <c r="Y407">
        <v>9.0900000000003395E-2</v>
      </c>
    </row>
    <row r="408" spans="1:25" x14ac:dyDescent="0.55000000000000004">
      <c r="A408" t="s">
        <v>409</v>
      </c>
      <c r="B408">
        <v>33.672115275423607</v>
      </c>
      <c r="C408">
        <v>0.10100000000000368</v>
      </c>
      <c r="E408">
        <v>41.511729122056899</v>
      </c>
      <c r="F408">
        <v>0.11140000000000398</v>
      </c>
      <c r="H408">
        <v>34.963957209850989</v>
      </c>
      <c r="I408">
        <v>0.12310000000000432</v>
      </c>
      <c r="K408">
        <v>48.170749767040917</v>
      </c>
      <c r="L408">
        <v>0.13580000000000317</v>
      </c>
      <c r="N408">
        <v>37.372153632279883</v>
      </c>
      <c r="O408">
        <v>0.13130000000000366</v>
      </c>
      <c r="Q408">
        <v>41.378109546877468</v>
      </c>
      <c r="R408">
        <v>0.10900000000000391</v>
      </c>
      <c r="T408">
        <v>0.10100000000000368</v>
      </c>
      <c r="U408">
        <v>0.11140000000000398</v>
      </c>
      <c r="V408">
        <v>0.12310000000000432</v>
      </c>
      <c r="W408">
        <v>0.13580000000000317</v>
      </c>
      <c r="X408">
        <v>0.13130000000000366</v>
      </c>
      <c r="Y408">
        <v>0.10900000000000391</v>
      </c>
    </row>
    <row r="409" spans="1:25" x14ac:dyDescent="0.55000000000000004">
      <c r="A409" t="s">
        <v>410</v>
      </c>
      <c r="B409">
        <v>41.366238483356909</v>
      </c>
      <c r="C409">
        <v>7.2400000000002865E-2</v>
      </c>
      <c r="E409">
        <v>100.95371301445341</v>
      </c>
      <c r="F409">
        <v>0.14070000000000263</v>
      </c>
      <c r="H409">
        <v>42.430781267029779</v>
      </c>
      <c r="I409">
        <v>0.13890000000000283</v>
      </c>
      <c r="K409">
        <v>53.160030183020965</v>
      </c>
      <c r="L409">
        <v>0.13390000000000338</v>
      </c>
      <c r="N409">
        <v>54.731679359821605</v>
      </c>
      <c r="O409">
        <v>9.7000000000003569E-2</v>
      </c>
      <c r="Q409">
        <v>37.097229739468283</v>
      </c>
      <c r="R409">
        <v>0.11470000000000408</v>
      </c>
      <c r="T409">
        <v>7.2400000000002865E-2</v>
      </c>
      <c r="U409">
        <v>0.14070000000000263</v>
      </c>
      <c r="V409">
        <v>0.13890000000000283</v>
      </c>
      <c r="W409">
        <v>0.13390000000000338</v>
      </c>
      <c r="X409">
        <v>9.7000000000003569E-2</v>
      </c>
      <c r="Y409">
        <v>0.11470000000000408</v>
      </c>
    </row>
    <row r="410" spans="1:25" x14ac:dyDescent="0.55000000000000004">
      <c r="A410" t="s">
        <v>411</v>
      </c>
      <c r="B410">
        <v>32.186270025406259</v>
      </c>
      <c r="C410">
        <v>8.6300000000003263E-2</v>
      </c>
      <c r="E410">
        <v>44.541997395858871</v>
      </c>
      <c r="F410">
        <v>0.11010000000000394</v>
      </c>
      <c r="H410">
        <v>36.242196009938155</v>
      </c>
      <c r="I410">
        <v>0.12230000000000429</v>
      </c>
      <c r="K410">
        <v>54.498535708865752</v>
      </c>
      <c r="L410">
        <v>0.11730000000000415</v>
      </c>
      <c r="N410">
        <v>36.896604687792276</v>
      </c>
      <c r="O410">
        <v>0.1224000000000043</v>
      </c>
      <c r="Q410">
        <v>35.956681204889399</v>
      </c>
      <c r="R410">
        <v>0.10290000000000374</v>
      </c>
      <c r="T410">
        <v>8.6300000000003263E-2</v>
      </c>
      <c r="U410">
        <v>0.11010000000000394</v>
      </c>
      <c r="V410">
        <v>0.12230000000000429</v>
      </c>
      <c r="W410">
        <v>0.11730000000000415</v>
      </c>
      <c r="X410">
        <v>0.1224000000000043</v>
      </c>
      <c r="Y410">
        <v>0.10290000000000374</v>
      </c>
    </row>
    <row r="411" spans="1:25" x14ac:dyDescent="0.55000000000000004">
      <c r="A411" t="s">
        <v>412</v>
      </c>
      <c r="B411">
        <v>36.836054145225255</v>
      </c>
      <c r="C411">
        <v>6.6100000000002684E-2</v>
      </c>
      <c r="E411">
        <v>51.263250488663729</v>
      </c>
      <c r="F411">
        <v>9.7800000000003592E-2</v>
      </c>
      <c r="H411">
        <v>40.774750046467027</v>
      </c>
      <c r="I411">
        <v>0.11990000000000423</v>
      </c>
      <c r="K411">
        <v>66.002747359059299</v>
      </c>
      <c r="L411">
        <v>0.12540000000000431</v>
      </c>
      <c r="N411">
        <v>40.267210515399533</v>
      </c>
      <c r="O411">
        <v>0.1191000000000042</v>
      </c>
      <c r="Q411">
        <v>47.453044802298166</v>
      </c>
      <c r="R411">
        <v>0.10290000000000374</v>
      </c>
      <c r="T411">
        <v>6.6100000000002684E-2</v>
      </c>
      <c r="U411">
        <v>9.7800000000003592E-2</v>
      </c>
      <c r="V411">
        <v>0.11990000000000423</v>
      </c>
      <c r="W411">
        <v>0.12540000000000431</v>
      </c>
      <c r="X411">
        <v>0.1191000000000042</v>
      </c>
      <c r="Y411">
        <v>0.10290000000000374</v>
      </c>
    </row>
    <row r="412" spans="1:25" x14ac:dyDescent="0.55000000000000004">
      <c r="A412" t="s">
        <v>413</v>
      </c>
      <c r="B412">
        <v>33.045967939475446</v>
      </c>
      <c r="C412">
        <v>9.8800000000003621E-2</v>
      </c>
      <c r="E412">
        <v>47.673879107511247</v>
      </c>
      <c r="F412">
        <v>0.11620000000000412</v>
      </c>
      <c r="H412">
        <v>39.151185356241214</v>
      </c>
      <c r="I412">
        <v>0.11930000000000421</v>
      </c>
      <c r="K412">
        <v>49.640973974900582</v>
      </c>
      <c r="L412">
        <v>0.13070000000000373</v>
      </c>
      <c r="N412">
        <v>34.486756094413629</v>
      </c>
      <c r="O412">
        <v>0.11850000000000419</v>
      </c>
      <c r="Q412">
        <v>43.120284147594852</v>
      </c>
      <c r="R412">
        <v>0.10550000000000381</v>
      </c>
      <c r="T412">
        <v>9.8800000000003621E-2</v>
      </c>
      <c r="U412">
        <v>0.11620000000000412</v>
      </c>
      <c r="V412">
        <v>0.11930000000000421</v>
      </c>
      <c r="W412">
        <v>0.13070000000000373</v>
      </c>
      <c r="X412">
        <v>0.11850000000000419</v>
      </c>
      <c r="Y412">
        <v>0.10550000000000381</v>
      </c>
    </row>
    <row r="413" spans="1:25" x14ac:dyDescent="0.55000000000000004">
      <c r="A413" t="s">
        <v>414</v>
      </c>
      <c r="B413">
        <v>40.538982224944242</v>
      </c>
      <c r="C413">
        <v>7.8400000000003037E-2</v>
      </c>
      <c r="E413">
        <v>43.271854006970521</v>
      </c>
      <c r="F413">
        <v>0.10290000000000374</v>
      </c>
      <c r="H413">
        <v>36.750180650949225</v>
      </c>
      <c r="I413">
        <v>0.11960000000000422</v>
      </c>
      <c r="K413">
        <v>52.112838520463924</v>
      </c>
      <c r="L413">
        <v>0.12840000000000398</v>
      </c>
      <c r="N413">
        <v>41.014370166389661</v>
      </c>
      <c r="O413">
        <v>0.10280000000000374</v>
      </c>
      <c r="Q413">
        <v>51.718717561576256</v>
      </c>
      <c r="R413">
        <v>0.10640000000000384</v>
      </c>
      <c r="T413">
        <v>7.8400000000003037E-2</v>
      </c>
      <c r="U413">
        <v>0.10290000000000374</v>
      </c>
      <c r="V413">
        <v>0.11960000000000422</v>
      </c>
      <c r="W413">
        <v>0.12840000000000398</v>
      </c>
      <c r="X413">
        <v>0.10280000000000374</v>
      </c>
      <c r="Y413">
        <v>0.10640000000000384</v>
      </c>
    </row>
    <row r="414" spans="1:25" x14ac:dyDescent="0.55000000000000004">
      <c r="A414" t="s">
        <v>415</v>
      </c>
      <c r="B414">
        <v>38.475977708511422</v>
      </c>
      <c r="C414">
        <v>6.980000000000279E-2</v>
      </c>
      <c r="E414">
        <v>55.428286185728972</v>
      </c>
      <c r="F414">
        <v>0.12660000000000418</v>
      </c>
      <c r="H414">
        <v>38.173928017386956</v>
      </c>
      <c r="I414">
        <v>0.12580000000000427</v>
      </c>
      <c r="K414">
        <v>60.164395421009985</v>
      </c>
      <c r="L414">
        <v>0.12300000000000431</v>
      </c>
      <c r="N414">
        <v>39.855169207979074</v>
      </c>
      <c r="O414">
        <v>0.10080000000000368</v>
      </c>
      <c r="Q414">
        <v>67.170325838632323</v>
      </c>
      <c r="R414">
        <v>9.4000000000003484E-2</v>
      </c>
      <c r="T414">
        <v>6.980000000000279E-2</v>
      </c>
      <c r="U414">
        <v>0.12660000000000418</v>
      </c>
      <c r="V414">
        <v>0.12580000000000427</v>
      </c>
      <c r="W414">
        <v>0.12300000000000431</v>
      </c>
      <c r="X414">
        <v>0.10080000000000368</v>
      </c>
      <c r="Y414">
        <v>9.4000000000003484E-2</v>
      </c>
    </row>
    <row r="415" spans="1:25" x14ac:dyDescent="0.55000000000000004">
      <c r="A415" t="s">
        <v>416</v>
      </c>
      <c r="B415">
        <v>32.902736481040577</v>
      </c>
      <c r="C415">
        <v>6.350000000000261E-2</v>
      </c>
      <c r="E415">
        <v>39.95521858835631</v>
      </c>
      <c r="F415">
        <v>0.13530000000000322</v>
      </c>
      <c r="H415">
        <v>39.169541269761055</v>
      </c>
      <c r="I415">
        <v>0.11130000000000398</v>
      </c>
      <c r="K415">
        <v>57.938302420865874</v>
      </c>
      <c r="L415">
        <v>0.12120000000000426</v>
      </c>
      <c r="N415">
        <v>56.202650083940767</v>
      </c>
      <c r="O415">
        <v>0.12980000000000383</v>
      </c>
      <c r="Q415">
        <v>55.719075209813425</v>
      </c>
      <c r="R415">
        <v>9.6900000000003567E-2</v>
      </c>
      <c r="T415">
        <v>6.350000000000261E-2</v>
      </c>
      <c r="U415">
        <v>0.13530000000000322</v>
      </c>
      <c r="V415">
        <v>0.11130000000000398</v>
      </c>
      <c r="W415">
        <v>0.12120000000000426</v>
      </c>
      <c r="X415">
        <v>0.12980000000000383</v>
      </c>
      <c r="Y415">
        <v>9.6900000000003567E-2</v>
      </c>
    </row>
    <row r="416" spans="1:25" x14ac:dyDescent="0.55000000000000004">
      <c r="A416" t="s">
        <v>417</v>
      </c>
      <c r="B416">
        <v>36.832609716760572</v>
      </c>
      <c r="C416">
        <v>7.120000000000283E-2</v>
      </c>
      <c r="E416">
        <v>40.515841487451119</v>
      </c>
      <c r="F416">
        <v>0.1017000000000037</v>
      </c>
      <c r="H416">
        <v>44.517695124638934</v>
      </c>
      <c r="I416">
        <v>0.12190000000000428</v>
      </c>
      <c r="K416">
        <v>62.529892019581617</v>
      </c>
      <c r="L416">
        <v>0.1346000000000033</v>
      </c>
      <c r="N416">
        <v>68.484749038599873</v>
      </c>
      <c r="O416">
        <v>0.13740000000000299</v>
      </c>
      <c r="Q416">
        <v>55.561960190200033</v>
      </c>
      <c r="R416">
        <v>0.10340000000000375</v>
      </c>
      <c r="T416">
        <v>7.120000000000283E-2</v>
      </c>
      <c r="U416">
        <v>0.1017000000000037</v>
      </c>
      <c r="V416">
        <v>0.12190000000000428</v>
      </c>
      <c r="W416">
        <v>0.1346000000000033</v>
      </c>
      <c r="X416">
        <v>0.13740000000000299</v>
      </c>
      <c r="Y416">
        <v>0.10340000000000375</v>
      </c>
    </row>
    <row r="417" spans="1:25" x14ac:dyDescent="0.55000000000000004">
      <c r="A417" t="s">
        <v>418</v>
      </c>
      <c r="B417">
        <v>41.291217179430831</v>
      </c>
      <c r="C417">
        <v>7.1300000000002833E-2</v>
      </c>
      <c r="E417">
        <v>41.96091301964988</v>
      </c>
      <c r="F417">
        <v>0.12820000000000401</v>
      </c>
      <c r="H417">
        <v>37.362936715060137</v>
      </c>
      <c r="I417">
        <v>0.10580000000000382</v>
      </c>
      <c r="K417">
        <v>73.164017834429615</v>
      </c>
      <c r="L417">
        <v>0.12200000000000429</v>
      </c>
      <c r="N417">
        <v>89.823768966565595</v>
      </c>
      <c r="O417">
        <v>0.1225000000000043</v>
      </c>
      <c r="Q417">
        <v>46.635659550405975</v>
      </c>
      <c r="R417">
        <v>9.4200000000003489E-2</v>
      </c>
      <c r="T417">
        <v>7.1300000000002833E-2</v>
      </c>
      <c r="U417">
        <v>0.12820000000000401</v>
      </c>
      <c r="V417">
        <v>0.10580000000000382</v>
      </c>
      <c r="W417">
        <v>0.12200000000000429</v>
      </c>
      <c r="X417">
        <v>0.1225000000000043</v>
      </c>
      <c r="Y417">
        <v>9.4200000000003489E-2</v>
      </c>
    </row>
    <row r="418" spans="1:25" x14ac:dyDescent="0.55000000000000004">
      <c r="A418" t="s">
        <v>419</v>
      </c>
      <c r="B418">
        <v>34.478030418411031</v>
      </c>
      <c r="C418">
        <v>7.0300000000002805E-2</v>
      </c>
      <c r="E418">
        <v>40.256307219933632</v>
      </c>
      <c r="F418">
        <v>0.11990000000000423</v>
      </c>
      <c r="H418">
        <v>42.572861058725913</v>
      </c>
      <c r="I418">
        <v>0.1016000000000037</v>
      </c>
      <c r="K418">
        <v>59.564853038233586</v>
      </c>
      <c r="L418">
        <v>0.23649999999999208</v>
      </c>
      <c r="N418">
        <v>111.34990163484477</v>
      </c>
      <c r="O418">
        <v>7.8900000000003051E-2</v>
      </c>
      <c r="Q418">
        <v>48.354746067974524</v>
      </c>
      <c r="R418">
        <v>7.7100000000002999E-2</v>
      </c>
      <c r="T418">
        <v>7.0300000000002805E-2</v>
      </c>
      <c r="U418">
        <v>0.11990000000000423</v>
      </c>
      <c r="V418">
        <v>0.1016000000000037</v>
      </c>
      <c r="W418">
        <v>0.23649999999999208</v>
      </c>
      <c r="X418">
        <v>7.8900000000003051E-2</v>
      </c>
      <c r="Y418">
        <v>7.7100000000002999E-2</v>
      </c>
    </row>
    <row r="419" spans="1:25" x14ac:dyDescent="0.55000000000000004">
      <c r="A419" t="s">
        <v>420</v>
      </c>
      <c r="B419">
        <v>44.668795342756788</v>
      </c>
      <c r="C419">
        <v>6.9200000000002773E-2</v>
      </c>
      <c r="E419">
        <v>58.869576716171828</v>
      </c>
      <c r="F419">
        <v>0.12430000000000435</v>
      </c>
      <c r="H419">
        <v>46.212513751496537</v>
      </c>
      <c r="I419">
        <v>0.11630000000000412</v>
      </c>
      <c r="K419">
        <v>104.4704216378319</v>
      </c>
      <c r="L419">
        <v>0.30229999999998486</v>
      </c>
      <c r="N419">
        <v>70.37407476643321</v>
      </c>
      <c r="O419">
        <v>0.11820000000000418</v>
      </c>
      <c r="Q419">
        <v>45.401272742351672</v>
      </c>
      <c r="R419">
        <v>9.2100000000003429E-2</v>
      </c>
      <c r="T419">
        <v>6.9200000000002773E-2</v>
      </c>
      <c r="U419">
        <v>0.12430000000000435</v>
      </c>
      <c r="V419">
        <v>0.11630000000000412</v>
      </c>
      <c r="W419">
        <v>0.30229999999998486</v>
      </c>
      <c r="X419">
        <v>0.11820000000000418</v>
      </c>
      <c r="Y419">
        <v>9.2100000000003429E-2</v>
      </c>
    </row>
    <row r="420" spans="1:25" x14ac:dyDescent="0.55000000000000004">
      <c r="A420" t="s">
        <v>421</v>
      </c>
      <c r="B420">
        <v>56.733105055113846</v>
      </c>
      <c r="C420">
        <v>6.8900000000002765E-2</v>
      </c>
      <c r="E420">
        <v>63.498096920940561</v>
      </c>
      <c r="F420">
        <v>0.12000000000000423</v>
      </c>
      <c r="H420">
        <v>42.679599041102975</v>
      </c>
      <c r="I420">
        <v>0.11130000000000398</v>
      </c>
      <c r="K420">
        <v>71.642594689663611</v>
      </c>
      <c r="L420">
        <v>0.11710000000000415</v>
      </c>
      <c r="N420">
        <v>48.289142366589402</v>
      </c>
      <c r="O420">
        <v>9.980000000000365E-2</v>
      </c>
      <c r="Q420">
        <v>51.096723188928074</v>
      </c>
      <c r="R420">
        <v>7.6800000000002991E-2</v>
      </c>
      <c r="T420">
        <v>6.8900000000002765E-2</v>
      </c>
      <c r="U420">
        <v>0.12000000000000423</v>
      </c>
      <c r="V420">
        <v>0.11130000000000398</v>
      </c>
      <c r="W420">
        <v>0.11710000000000415</v>
      </c>
      <c r="X420">
        <v>9.980000000000365E-2</v>
      </c>
      <c r="Y420">
        <v>7.6800000000002991E-2</v>
      </c>
    </row>
    <row r="421" spans="1:25" x14ac:dyDescent="0.55000000000000004">
      <c r="A421" t="s">
        <v>422</v>
      </c>
      <c r="B421">
        <v>66.584728036936255</v>
      </c>
      <c r="C421">
        <v>6.4300000000002633E-2</v>
      </c>
      <c r="E421">
        <v>87.953057776308881</v>
      </c>
      <c r="F421">
        <v>0.1226000000000043</v>
      </c>
      <c r="H421">
        <v>35.645755092491704</v>
      </c>
      <c r="I421">
        <v>9.840000000000361E-2</v>
      </c>
      <c r="K421">
        <v>52.891247596169407</v>
      </c>
      <c r="L421">
        <v>0.23729999999999199</v>
      </c>
      <c r="N421">
        <v>47.246808303052468</v>
      </c>
      <c r="O421">
        <v>9.2300000000003435E-2</v>
      </c>
      <c r="Q421">
        <v>53.039718174716313</v>
      </c>
      <c r="R421">
        <v>8.8900000000003337E-2</v>
      </c>
      <c r="T421">
        <v>6.4300000000002633E-2</v>
      </c>
      <c r="U421">
        <v>0.1226000000000043</v>
      </c>
      <c r="V421">
        <v>9.840000000000361E-2</v>
      </c>
      <c r="W421">
        <v>0.23729999999999199</v>
      </c>
      <c r="X421">
        <v>9.2300000000003435E-2</v>
      </c>
      <c r="Y421">
        <v>8.8900000000003337E-2</v>
      </c>
    </row>
    <row r="422" spans="1:25" x14ac:dyDescent="0.55000000000000004">
      <c r="A422" t="s">
        <v>423</v>
      </c>
      <c r="B422">
        <v>36.117998925517831</v>
      </c>
      <c r="C422">
        <v>9.6500000000003555E-2</v>
      </c>
      <c r="E422">
        <v>43.41025071897662</v>
      </c>
      <c r="F422">
        <v>0.10100000000000368</v>
      </c>
      <c r="H422">
        <v>38.073104243206565</v>
      </c>
      <c r="I422">
        <v>0.11530000000000409</v>
      </c>
      <c r="K422">
        <v>53.705259918610921</v>
      </c>
      <c r="L422">
        <v>0.12410000000000435</v>
      </c>
      <c r="N422">
        <v>39.224383454424711</v>
      </c>
      <c r="O422">
        <v>0.11670000000000413</v>
      </c>
      <c r="Q422">
        <v>44.571667858470192</v>
      </c>
      <c r="R422">
        <v>9.840000000000361E-2</v>
      </c>
      <c r="T422">
        <v>9.6500000000003555E-2</v>
      </c>
      <c r="U422">
        <v>0.10100000000000368</v>
      </c>
      <c r="V422">
        <v>0.11530000000000409</v>
      </c>
      <c r="W422">
        <v>0.12410000000000435</v>
      </c>
      <c r="X422">
        <v>0.11670000000000413</v>
      </c>
      <c r="Y422">
        <v>9.840000000000361E-2</v>
      </c>
    </row>
    <row r="423" spans="1:25" x14ac:dyDescent="0.55000000000000004">
      <c r="A423" t="s">
        <v>424</v>
      </c>
      <c r="B423">
        <v>38.429763665896807</v>
      </c>
      <c r="C423">
        <v>9.7000000000003569E-2</v>
      </c>
      <c r="E423">
        <v>117.39780969013958</v>
      </c>
      <c r="F423">
        <v>0.4762999999999657</v>
      </c>
      <c r="H423">
        <v>35.669449436507755</v>
      </c>
      <c r="I423">
        <v>0.11410000000000406</v>
      </c>
      <c r="K423">
        <v>63.001820484004369</v>
      </c>
      <c r="L423">
        <v>0.1255000000000043</v>
      </c>
      <c r="N423">
        <v>46.616786783318119</v>
      </c>
      <c r="O423">
        <v>0.12110000000000426</v>
      </c>
      <c r="Q423">
        <v>35.824996129829216</v>
      </c>
      <c r="R423">
        <v>0.11480000000000408</v>
      </c>
      <c r="T423">
        <v>9.7000000000003569E-2</v>
      </c>
      <c r="U423">
        <v>0.4762999999999657</v>
      </c>
      <c r="V423">
        <v>0.11410000000000406</v>
      </c>
      <c r="W423">
        <v>0.1255000000000043</v>
      </c>
      <c r="X423">
        <v>0.12110000000000426</v>
      </c>
      <c r="Y423">
        <v>0.11480000000000408</v>
      </c>
    </row>
    <row r="424" spans="1:25" x14ac:dyDescent="0.55000000000000004">
      <c r="A424" t="s">
        <v>425</v>
      </c>
      <c r="B424">
        <v>46.101836057575944</v>
      </c>
      <c r="C424">
        <v>7.0300000000002805E-2</v>
      </c>
      <c r="E424">
        <v>62.495271990302719</v>
      </c>
      <c r="F424">
        <v>0.1224000000000043</v>
      </c>
      <c r="H424">
        <v>41.287823709756751</v>
      </c>
      <c r="I424">
        <v>0.11070000000000396</v>
      </c>
      <c r="K424">
        <v>73.708174654612151</v>
      </c>
      <c r="L424">
        <v>0.12010000000000423</v>
      </c>
      <c r="N424">
        <v>53.926035764604372</v>
      </c>
      <c r="O424">
        <v>0.11180000000000399</v>
      </c>
      <c r="Q424">
        <v>66.70817263337355</v>
      </c>
      <c r="R424">
        <v>8.3100000000003171E-2</v>
      </c>
      <c r="T424">
        <v>7.0300000000002805E-2</v>
      </c>
      <c r="U424">
        <v>0.1224000000000043</v>
      </c>
      <c r="V424">
        <v>0.11070000000000396</v>
      </c>
      <c r="W424">
        <v>0.12010000000000423</v>
      </c>
      <c r="X424">
        <v>0.11180000000000399</v>
      </c>
      <c r="Y424">
        <v>8.3100000000003171E-2</v>
      </c>
    </row>
    <row r="425" spans="1:25" x14ac:dyDescent="0.55000000000000004">
      <c r="A425" t="s">
        <v>426</v>
      </c>
      <c r="B425">
        <v>46.625768419500432</v>
      </c>
      <c r="C425">
        <v>8.3600000000003186E-2</v>
      </c>
      <c r="E425">
        <v>43.305618231351467</v>
      </c>
      <c r="F425">
        <v>0.11160000000000399</v>
      </c>
      <c r="H425">
        <v>39.019049262033739</v>
      </c>
      <c r="I425">
        <v>9.8900000000003624E-2</v>
      </c>
      <c r="K425">
        <v>74.407847726017565</v>
      </c>
      <c r="L425">
        <v>0.11520000000000409</v>
      </c>
      <c r="N425">
        <v>64.450074879571531</v>
      </c>
      <c r="O425">
        <v>9.5300000000003521E-2</v>
      </c>
      <c r="Q425">
        <v>43.964331344584259</v>
      </c>
      <c r="R425">
        <v>8.1000000000003111E-2</v>
      </c>
      <c r="T425">
        <v>8.3600000000003186E-2</v>
      </c>
      <c r="U425">
        <v>0.11160000000000399</v>
      </c>
      <c r="V425">
        <v>9.8900000000003624E-2</v>
      </c>
      <c r="W425">
        <v>0.11520000000000409</v>
      </c>
      <c r="X425">
        <v>9.5300000000003521E-2</v>
      </c>
      <c r="Y425">
        <v>8.1000000000003111E-2</v>
      </c>
    </row>
    <row r="426" spans="1:25" x14ac:dyDescent="0.55000000000000004">
      <c r="A426" t="s">
        <v>427</v>
      </c>
      <c r="B426">
        <v>52.872153647516562</v>
      </c>
      <c r="C426">
        <v>7.1300000000002833E-2</v>
      </c>
      <c r="E426">
        <v>39.66429657959057</v>
      </c>
      <c r="F426">
        <v>0.10210000000000372</v>
      </c>
      <c r="H426">
        <v>34.049603164442374</v>
      </c>
      <c r="I426">
        <v>0.10300000000000374</v>
      </c>
      <c r="K426">
        <v>63.020147296766652</v>
      </c>
      <c r="L426">
        <v>0.11160000000000399</v>
      </c>
      <c r="N426">
        <v>89.954331589663227</v>
      </c>
      <c r="O426">
        <v>9.7000000000003569E-2</v>
      </c>
      <c r="Q426">
        <v>48.491104319428302</v>
      </c>
      <c r="R426">
        <v>9.5800000000003535E-2</v>
      </c>
      <c r="T426">
        <v>7.1300000000002833E-2</v>
      </c>
      <c r="U426">
        <v>0.10210000000000372</v>
      </c>
      <c r="V426">
        <v>0.10300000000000374</v>
      </c>
      <c r="W426">
        <v>0.11160000000000399</v>
      </c>
      <c r="X426">
        <v>9.7000000000003569E-2</v>
      </c>
      <c r="Y426">
        <v>9.5800000000003535E-2</v>
      </c>
    </row>
    <row r="427" spans="1:25" x14ac:dyDescent="0.55000000000000004">
      <c r="A427" t="s">
        <v>428</v>
      </c>
      <c r="B427">
        <v>40.836426979319548</v>
      </c>
      <c r="C427">
        <v>0.10180000000000371</v>
      </c>
      <c r="E427">
        <v>46.170686476268237</v>
      </c>
      <c r="F427">
        <v>0.12960000000000385</v>
      </c>
      <c r="H427">
        <v>37.523090373355565</v>
      </c>
      <c r="I427">
        <v>0.12530000000000432</v>
      </c>
      <c r="K427">
        <v>59.952659997223314</v>
      </c>
      <c r="L427">
        <v>0.13490000000000327</v>
      </c>
      <c r="N427">
        <v>49.656533855884568</v>
      </c>
      <c r="O427">
        <v>0.14090000000000261</v>
      </c>
      <c r="Q427">
        <v>46.514453148957436</v>
      </c>
      <c r="R427">
        <v>0.11090000000000397</v>
      </c>
      <c r="T427">
        <v>0.10180000000000371</v>
      </c>
      <c r="U427">
        <v>0.12960000000000385</v>
      </c>
      <c r="V427">
        <v>0.12530000000000432</v>
      </c>
      <c r="W427">
        <v>0.13490000000000327</v>
      </c>
      <c r="X427">
        <v>0.14090000000000261</v>
      </c>
      <c r="Y427">
        <v>0.11090000000000397</v>
      </c>
    </row>
    <row r="428" spans="1:25" x14ac:dyDescent="0.55000000000000004">
      <c r="A428" t="s">
        <v>429</v>
      </c>
      <c r="B428">
        <v>38.530860128809579</v>
      </c>
      <c r="C428">
        <v>6.980000000000279E-2</v>
      </c>
      <c r="E428">
        <v>41.852390196557273</v>
      </c>
      <c r="F428">
        <v>0.11410000000000406</v>
      </c>
      <c r="H428">
        <v>42.894741216695365</v>
      </c>
      <c r="I428">
        <v>0.10300000000000374</v>
      </c>
      <c r="K428">
        <v>46.871041995352257</v>
      </c>
      <c r="L428">
        <v>0.26139999999998936</v>
      </c>
      <c r="N428">
        <v>92.367072891830347</v>
      </c>
      <c r="O428">
        <v>8.76000000000033E-2</v>
      </c>
      <c r="Q428">
        <v>56.958812721588053</v>
      </c>
      <c r="R428">
        <v>8.9900000000003366E-2</v>
      </c>
      <c r="T428">
        <v>6.980000000000279E-2</v>
      </c>
      <c r="U428">
        <v>0.11410000000000406</v>
      </c>
      <c r="V428">
        <v>0.10300000000000374</v>
      </c>
      <c r="W428">
        <v>0.26139999999998936</v>
      </c>
      <c r="X428">
        <v>8.76000000000033E-2</v>
      </c>
      <c r="Y428">
        <v>8.9900000000003366E-2</v>
      </c>
    </row>
    <row r="429" spans="1:25" x14ac:dyDescent="0.55000000000000004">
      <c r="A429" t="s">
        <v>430</v>
      </c>
      <c r="B429">
        <v>41.179991011468047</v>
      </c>
      <c r="C429">
        <v>7.2800000000002876E-2</v>
      </c>
      <c r="E429">
        <v>43.993660203723287</v>
      </c>
      <c r="F429">
        <v>0.11120000000000398</v>
      </c>
      <c r="H429">
        <v>46.52560579654866</v>
      </c>
      <c r="I429">
        <v>0.10660000000000384</v>
      </c>
      <c r="K429">
        <v>37.608273925338437</v>
      </c>
      <c r="L429">
        <v>0.11740000000000415</v>
      </c>
      <c r="N429">
        <v>33.80900819441802</v>
      </c>
      <c r="O429">
        <v>8.8600000000003329E-2</v>
      </c>
      <c r="Q429">
        <v>46.538220201179683</v>
      </c>
      <c r="R429">
        <v>9.0200000000003375E-2</v>
      </c>
      <c r="T429">
        <v>7.2800000000002876E-2</v>
      </c>
      <c r="U429">
        <v>0.11120000000000398</v>
      </c>
      <c r="V429">
        <v>0.10660000000000384</v>
      </c>
      <c r="W429">
        <v>0.11740000000000415</v>
      </c>
      <c r="X429">
        <v>8.8600000000003329E-2</v>
      </c>
      <c r="Y429">
        <v>9.0200000000003375E-2</v>
      </c>
    </row>
    <row r="430" spans="1:25" x14ac:dyDescent="0.55000000000000004">
      <c r="A430" t="s">
        <v>431</v>
      </c>
      <c r="B430">
        <v>61.662801684793777</v>
      </c>
      <c r="C430">
        <v>7.6900000000002994E-2</v>
      </c>
      <c r="E430">
        <v>38.720180513983067</v>
      </c>
      <c r="F430">
        <v>8.3500000000003183E-2</v>
      </c>
      <c r="H430">
        <v>38.692606067568036</v>
      </c>
      <c r="I430">
        <v>0.11350000000000404</v>
      </c>
      <c r="K430">
        <v>50.73076701387189</v>
      </c>
      <c r="L430">
        <v>0.12280000000000431</v>
      </c>
      <c r="N430">
        <v>34.764012410290867</v>
      </c>
      <c r="O430">
        <v>0.1154000000000041</v>
      </c>
      <c r="Q430">
        <v>41.888834627788285</v>
      </c>
      <c r="R430">
        <v>0.10200000000000371</v>
      </c>
      <c r="T430">
        <v>7.6900000000002994E-2</v>
      </c>
      <c r="U430">
        <v>8.3500000000003183E-2</v>
      </c>
      <c r="V430">
        <v>0.11350000000000404</v>
      </c>
      <c r="W430">
        <v>0.12280000000000431</v>
      </c>
      <c r="X430">
        <v>0.1154000000000041</v>
      </c>
      <c r="Y430">
        <v>0.10200000000000371</v>
      </c>
    </row>
    <row r="431" spans="1:25" x14ac:dyDescent="0.55000000000000004">
      <c r="A431" t="s">
        <v>432</v>
      </c>
      <c r="B431">
        <v>40.678628966989692</v>
      </c>
      <c r="C431">
        <v>7.050000000000281E-2</v>
      </c>
      <c r="E431">
        <v>49.723478343272774</v>
      </c>
      <c r="F431">
        <v>9.6700000000003561E-2</v>
      </c>
      <c r="H431">
        <v>35.922125954945152</v>
      </c>
      <c r="I431">
        <v>0.10820000000000389</v>
      </c>
      <c r="K431">
        <v>43.310007017405368</v>
      </c>
      <c r="L431">
        <v>0.10570000000000382</v>
      </c>
      <c r="N431">
        <v>30.866527807279798</v>
      </c>
      <c r="O431">
        <v>0.11450000000000407</v>
      </c>
      <c r="Q431">
        <v>35.51920758179876</v>
      </c>
      <c r="R431">
        <v>9.5200000000003518E-2</v>
      </c>
      <c r="T431">
        <v>7.050000000000281E-2</v>
      </c>
      <c r="U431">
        <v>9.6700000000003561E-2</v>
      </c>
      <c r="V431">
        <v>0.10820000000000389</v>
      </c>
      <c r="W431">
        <v>0.10570000000000382</v>
      </c>
      <c r="X431">
        <v>0.11450000000000407</v>
      </c>
      <c r="Y431">
        <v>9.5200000000003518E-2</v>
      </c>
    </row>
    <row r="432" spans="1:25" x14ac:dyDescent="0.55000000000000004">
      <c r="A432" t="s">
        <v>433</v>
      </c>
      <c r="B432">
        <v>59.780737276952081</v>
      </c>
      <c r="C432">
        <v>8.4400000000003209E-2</v>
      </c>
      <c r="E432">
        <v>50.381648977313048</v>
      </c>
      <c r="F432">
        <v>9.9000000000003627E-2</v>
      </c>
      <c r="H432">
        <v>39.414122711270309</v>
      </c>
      <c r="I432">
        <v>9.5900000000003538E-2</v>
      </c>
      <c r="K432">
        <v>56.011027174329577</v>
      </c>
      <c r="L432">
        <v>0.12000000000000423</v>
      </c>
      <c r="N432">
        <v>61.607632441372644</v>
      </c>
      <c r="O432">
        <v>8.7500000000003297E-2</v>
      </c>
      <c r="Q432">
        <v>52.25112917432962</v>
      </c>
      <c r="R432">
        <v>9.0800000000003392E-2</v>
      </c>
      <c r="T432">
        <v>8.4400000000003209E-2</v>
      </c>
      <c r="U432">
        <v>9.9000000000003627E-2</v>
      </c>
      <c r="V432">
        <v>9.5900000000003538E-2</v>
      </c>
      <c r="W432">
        <v>0.12000000000000423</v>
      </c>
      <c r="X432">
        <v>8.7500000000003297E-2</v>
      </c>
      <c r="Y432">
        <v>9.0800000000003392E-2</v>
      </c>
    </row>
    <row r="433" spans="1:25" x14ac:dyDescent="0.55000000000000004">
      <c r="A433" t="s">
        <v>434</v>
      </c>
      <c r="B433">
        <v>41.781155866992719</v>
      </c>
      <c r="C433">
        <v>7.9700000000003074E-2</v>
      </c>
      <c r="E433">
        <v>40.52492836278401</v>
      </c>
      <c r="F433">
        <v>0.10050000000000367</v>
      </c>
      <c r="H433">
        <v>32.434558179694449</v>
      </c>
      <c r="I433">
        <v>0.1014000000000037</v>
      </c>
      <c r="K433">
        <v>46.848194235280943</v>
      </c>
      <c r="L433">
        <v>0.12470000000000436</v>
      </c>
      <c r="N433">
        <v>56.002844901454239</v>
      </c>
      <c r="O433">
        <v>0.12800000000000403</v>
      </c>
      <c r="Q433">
        <v>44.889818342052514</v>
      </c>
      <c r="R433">
        <v>0.10070000000000368</v>
      </c>
      <c r="T433">
        <v>7.9700000000003074E-2</v>
      </c>
      <c r="U433">
        <v>0.10050000000000367</v>
      </c>
      <c r="V433">
        <v>0.1014000000000037</v>
      </c>
      <c r="W433">
        <v>0.12470000000000436</v>
      </c>
      <c r="X433">
        <v>0.12800000000000403</v>
      </c>
      <c r="Y433">
        <v>0.10070000000000368</v>
      </c>
    </row>
    <row r="434" spans="1:25" x14ac:dyDescent="0.55000000000000004">
      <c r="A434" t="s">
        <v>435</v>
      </c>
      <c r="B434">
        <v>41.631260305787102</v>
      </c>
      <c r="C434">
        <v>7.990000000000308E-2</v>
      </c>
      <c r="E434">
        <v>39.67352692422542</v>
      </c>
      <c r="F434">
        <v>9.1400000000003409E-2</v>
      </c>
      <c r="H434">
        <v>37.55330652094883</v>
      </c>
      <c r="I434">
        <v>0.112000000000004</v>
      </c>
      <c r="K434">
        <v>52.761634688852197</v>
      </c>
      <c r="L434">
        <v>0.12010000000000423</v>
      </c>
      <c r="N434">
        <v>50.686565977898752</v>
      </c>
      <c r="O434">
        <v>8.6300000000003263E-2</v>
      </c>
      <c r="Q434">
        <v>47.514864970921543</v>
      </c>
      <c r="R434">
        <v>7.780000000000302E-2</v>
      </c>
      <c r="T434">
        <v>7.990000000000308E-2</v>
      </c>
      <c r="U434">
        <v>9.1400000000003409E-2</v>
      </c>
      <c r="V434">
        <v>0.112000000000004</v>
      </c>
      <c r="W434">
        <v>0.12010000000000423</v>
      </c>
      <c r="X434">
        <v>8.6300000000003263E-2</v>
      </c>
      <c r="Y434">
        <v>7.780000000000302E-2</v>
      </c>
    </row>
    <row r="435" spans="1:25" x14ac:dyDescent="0.55000000000000004">
      <c r="A435" t="s">
        <v>436</v>
      </c>
      <c r="B435">
        <v>38.999314570637594</v>
      </c>
      <c r="C435">
        <v>9.840000000000361E-2</v>
      </c>
      <c r="E435">
        <v>38.363766644688702</v>
      </c>
      <c r="F435">
        <v>0.12820000000000401</v>
      </c>
      <c r="H435">
        <v>35.390440512678751</v>
      </c>
      <c r="I435">
        <v>0.12020000000000423</v>
      </c>
      <c r="K435">
        <v>51.316245010492409</v>
      </c>
      <c r="L435">
        <v>0.12710000000000413</v>
      </c>
      <c r="N435">
        <v>54.944323673002501</v>
      </c>
      <c r="O435">
        <v>9.5300000000003521E-2</v>
      </c>
      <c r="Q435">
        <v>45.704244206194488</v>
      </c>
      <c r="R435">
        <v>9.4700000000003504E-2</v>
      </c>
      <c r="T435">
        <v>9.840000000000361E-2</v>
      </c>
      <c r="U435">
        <v>0.12820000000000401</v>
      </c>
      <c r="V435">
        <v>0.12020000000000423</v>
      </c>
      <c r="W435">
        <v>0.12710000000000413</v>
      </c>
      <c r="X435">
        <v>9.5300000000003521E-2</v>
      </c>
      <c r="Y435">
        <v>9.4700000000003504E-2</v>
      </c>
    </row>
    <row r="436" spans="1:25" x14ac:dyDescent="0.55000000000000004">
      <c r="A436" t="s">
        <v>437</v>
      </c>
      <c r="B436">
        <v>30.940021585728431</v>
      </c>
      <c r="C436">
        <v>8.9200000000003346E-2</v>
      </c>
      <c r="E436">
        <v>49.608777436210502</v>
      </c>
      <c r="F436">
        <v>9.2900000000003452E-2</v>
      </c>
      <c r="H436">
        <v>37.387893090637476</v>
      </c>
      <c r="I436">
        <v>9.6000000000003541E-2</v>
      </c>
      <c r="K436">
        <v>52.091689533037901</v>
      </c>
      <c r="L436">
        <v>0.10770000000000388</v>
      </c>
      <c r="N436">
        <v>56.471171467389524</v>
      </c>
      <c r="O436">
        <v>0.11090000000000397</v>
      </c>
      <c r="Q436">
        <v>37.385151853814712</v>
      </c>
      <c r="R436">
        <v>8.0300000000003091E-2</v>
      </c>
      <c r="T436">
        <v>8.9200000000003346E-2</v>
      </c>
      <c r="U436">
        <v>9.2900000000003452E-2</v>
      </c>
      <c r="V436">
        <v>9.6000000000003541E-2</v>
      </c>
      <c r="W436">
        <v>0.10770000000000388</v>
      </c>
      <c r="X436">
        <v>0.11090000000000397</v>
      </c>
      <c r="Y436">
        <v>8.0300000000003091E-2</v>
      </c>
    </row>
    <row r="437" spans="1:25" x14ac:dyDescent="0.55000000000000004">
      <c r="A437" t="s">
        <v>438</v>
      </c>
      <c r="B437">
        <v>39.292124141685605</v>
      </c>
      <c r="C437">
        <v>6.6800000000002704E-2</v>
      </c>
      <c r="E437">
        <v>45.755778471211222</v>
      </c>
      <c r="F437">
        <v>9.7100000000003572E-2</v>
      </c>
      <c r="H437">
        <v>36.404535568829175</v>
      </c>
      <c r="I437">
        <v>0.10260000000000373</v>
      </c>
      <c r="K437">
        <v>65.280845686883225</v>
      </c>
      <c r="L437">
        <v>0.11070000000000396</v>
      </c>
      <c r="N437">
        <v>53.060037986644929</v>
      </c>
      <c r="O437">
        <v>0.11250000000000401</v>
      </c>
      <c r="Q437">
        <v>48.169436733405959</v>
      </c>
      <c r="R437">
        <v>9.4400000000003495E-2</v>
      </c>
      <c r="T437">
        <v>6.6800000000002704E-2</v>
      </c>
      <c r="U437">
        <v>9.7100000000003572E-2</v>
      </c>
      <c r="V437">
        <v>0.10260000000000373</v>
      </c>
      <c r="W437">
        <v>0.11070000000000396</v>
      </c>
      <c r="X437">
        <v>0.11250000000000401</v>
      </c>
      <c r="Y437">
        <v>9.4400000000003495E-2</v>
      </c>
    </row>
    <row r="438" spans="1:25" x14ac:dyDescent="0.55000000000000004">
      <c r="A438" t="s">
        <v>439</v>
      </c>
      <c r="B438">
        <v>44.935643621343409</v>
      </c>
      <c r="C438">
        <v>7.5500000000002954E-2</v>
      </c>
      <c r="E438">
        <v>55.360465014583617</v>
      </c>
      <c r="F438">
        <v>0.10460000000000379</v>
      </c>
      <c r="H438">
        <v>54.290008144759163</v>
      </c>
      <c r="I438">
        <v>0.11400000000000406</v>
      </c>
      <c r="K438">
        <v>39.737831546231305</v>
      </c>
      <c r="L438">
        <v>0.12160000000000427</v>
      </c>
      <c r="N438">
        <v>34.091216112105066</v>
      </c>
      <c r="O438">
        <v>9.2700000000003446E-2</v>
      </c>
      <c r="Q438">
        <v>41.11996891315335</v>
      </c>
      <c r="R438">
        <v>9.9200000000003632E-2</v>
      </c>
      <c r="T438">
        <v>7.5500000000002954E-2</v>
      </c>
      <c r="U438">
        <v>0.10460000000000379</v>
      </c>
      <c r="V438">
        <v>0.11400000000000406</v>
      </c>
      <c r="W438">
        <v>0.12160000000000427</v>
      </c>
      <c r="X438">
        <v>9.2700000000003446E-2</v>
      </c>
      <c r="Y438">
        <v>9.9200000000003632E-2</v>
      </c>
    </row>
    <row r="439" spans="1:25" x14ac:dyDescent="0.55000000000000004">
      <c r="A439" t="s">
        <v>440</v>
      </c>
      <c r="B439">
        <v>42.319036361050138</v>
      </c>
      <c r="C439">
        <v>8.2800000000003163E-2</v>
      </c>
      <c r="E439">
        <v>51.257114451460481</v>
      </c>
      <c r="F439">
        <v>0.10090000000000368</v>
      </c>
      <c r="H439">
        <v>30.801693338729685</v>
      </c>
      <c r="I439">
        <v>0.10600000000000383</v>
      </c>
      <c r="K439">
        <v>39.083132117202631</v>
      </c>
      <c r="L439">
        <v>0.12100000000000426</v>
      </c>
      <c r="N439">
        <v>33.232617409446839</v>
      </c>
      <c r="O439">
        <v>0.10950000000000393</v>
      </c>
      <c r="Q439">
        <v>37.913962601476278</v>
      </c>
      <c r="R439">
        <v>0.10570000000000382</v>
      </c>
      <c r="T439">
        <v>8.2800000000003163E-2</v>
      </c>
      <c r="U439">
        <v>0.10090000000000368</v>
      </c>
      <c r="V439">
        <v>0.10600000000000383</v>
      </c>
      <c r="W439">
        <v>0.12100000000000426</v>
      </c>
      <c r="X439">
        <v>0.10950000000000393</v>
      </c>
      <c r="Y439">
        <v>0.10570000000000382</v>
      </c>
    </row>
    <row r="440" spans="1:25" x14ac:dyDescent="0.55000000000000004">
      <c r="A440" t="s">
        <v>441</v>
      </c>
      <c r="B440">
        <v>31.136550222302997</v>
      </c>
      <c r="C440">
        <v>8.9600000000003358E-2</v>
      </c>
      <c r="E440">
        <v>38.489005254094778</v>
      </c>
      <c r="F440">
        <v>0.11990000000000423</v>
      </c>
      <c r="H440">
        <v>34.66458780474639</v>
      </c>
      <c r="I440">
        <v>9.8100000000003601E-2</v>
      </c>
      <c r="K440">
        <v>52.874725509165678</v>
      </c>
      <c r="L440">
        <v>0.11050000000000396</v>
      </c>
      <c r="N440">
        <v>34.899192148324268</v>
      </c>
      <c r="O440">
        <v>0.10180000000000371</v>
      </c>
      <c r="Q440">
        <v>54.509977669337182</v>
      </c>
      <c r="R440">
        <v>8.6000000000003254E-2</v>
      </c>
      <c r="T440">
        <v>8.9600000000003358E-2</v>
      </c>
      <c r="U440">
        <v>0.11990000000000423</v>
      </c>
      <c r="V440">
        <v>9.8100000000003601E-2</v>
      </c>
      <c r="W440">
        <v>0.11050000000000396</v>
      </c>
      <c r="X440">
        <v>0.10180000000000371</v>
      </c>
      <c r="Y440">
        <v>8.6000000000003254E-2</v>
      </c>
    </row>
    <row r="441" spans="1:25" x14ac:dyDescent="0.55000000000000004">
      <c r="A441" t="s">
        <v>442</v>
      </c>
      <c r="B441">
        <v>28.922686947988961</v>
      </c>
      <c r="C441">
        <v>8.900000000000334E-2</v>
      </c>
      <c r="E441">
        <v>39.981105023165064</v>
      </c>
      <c r="F441">
        <v>9.840000000000361E-2</v>
      </c>
      <c r="H441">
        <v>40.045139228525926</v>
      </c>
      <c r="I441">
        <v>0.10230000000000372</v>
      </c>
      <c r="K441">
        <v>49.652301791902339</v>
      </c>
      <c r="L441">
        <v>0.11240000000000401</v>
      </c>
      <c r="N441">
        <v>31.562891896079648</v>
      </c>
      <c r="O441">
        <v>0.11870000000000419</v>
      </c>
      <c r="Q441">
        <v>42.481031755194621</v>
      </c>
      <c r="R441">
        <v>8.5200000000003231E-2</v>
      </c>
      <c r="T441">
        <v>8.900000000000334E-2</v>
      </c>
      <c r="U441">
        <v>9.840000000000361E-2</v>
      </c>
      <c r="V441">
        <v>0.10230000000000372</v>
      </c>
      <c r="W441">
        <v>0.11240000000000401</v>
      </c>
      <c r="X441">
        <v>0.11870000000000419</v>
      </c>
      <c r="Y441">
        <v>8.5200000000003231E-2</v>
      </c>
    </row>
    <row r="442" spans="1:25" x14ac:dyDescent="0.55000000000000004">
      <c r="A442" t="s">
        <v>443</v>
      </c>
      <c r="B442">
        <v>30.320018069599698</v>
      </c>
      <c r="C442">
        <v>9.11000000000034E-2</v>
      </c>
      <c r="E442">
        <v>41.111310263914739</v>
      </c>
      <c r="F442">
        <v>0.10090000000000368</v>
      </c>
      <c r="H442">
        <v>31.650890275872548</v>
      </c>
      <c r="I442">
        <v>0.11140000000000398</v>
      </c>
      <c r="K442">
        <v>56.441953155417558</v>
      </c>
      <c r="L442">
        <v>0.11690000000000414</v>
      </c>
      <c r="N442">
        <v>46.520158479202159</v>
      </c>
      <c r="O442">
        <v>9.9000000000003627E-2</v>
      </c>
      <c r="Q442">
        <v>52.324407994967451</v>
      </c>
      <c r="R442">
        <v>8.8500000000003326E-2</v>
      </c>
      <c r="T442">
        <v>9.11000000000034E-2</v>
      </c>
      <c r="U442">
        <v>0.10090000000000368</v>
      </c>
      <c r="V442">
        <v>0.11140000000000398</v>
      </c>
      <c r="W442">
        <v>0.11690000000000414</v>
      </c>
      <c r="X442">
        <v>9.9000000000003627E-2</v>
      </c>
      <c r="Y442">
        <v>8.8500000000003326E-2</v>
      </c>
    </row>
    <row r="443" spans="1:25" x14ac:dyDescent="0.55000000000000004">
      <c r="A443" t="s">
        <v>444</v>
      </c>
      <c r="B443">
        <v>69.443511850940652</v>
      </c>
      <c r="C443">
        <v>0.10780000000000388</v>
      </c>
      <c r="E443">
        <v>71.372841429404801</v>
      </c>
      <c r="F443">
        <v>0.10240000000000372</v>
      </c>
      <c r="H443">
        <v>37.351061239593001</v>
      </c>
      <c r="I443">
        <v>0.11420000000000406</v>
      </c>
      <c r="K443">
        <v>51.927244513969491</v>
      </c>
      <c r="L443">
        <v>0.24049999999999164</v>
      </c>
      <c r="N443">
        <v>43.724327698334839</v>
      </c>
      <c r="O443">
        <v>8.550000000000324E-2</v>
      </c>
      <c r="Q443">
        <v>36.402509484797434</v>
      </c>
      <c r="R443">
        <v>9.5500000000003527E-2</v>
      </c>
      <c r="T443">
        <v>0.10780000000000388</v>
      </c>
      <c r="U443">
        <v>0.10240000000000372</v>
      </c>
      <c r="V443">
        <v>0.11420000000000406</v>
      </c>
      <c r="W443">
        <v>0.24049999999999164</v>
      </c>
      <c r="X443">
        <v>8.550000000000324E-2</v>
      </c>
      <c r="Y443">
        <v>9.5500000000003527E-2</v>
      </c>
    </row>
    <row r="444" spans="1:25" x14ac:dyDescent="0.55000000000000004">
      <c r="A444" t="s">
        <v>445</v>
      </c>
      <c r="B444">
        <v>32.809004481989177</v>
      </c>
      <c r="C444">
        <v>9.980000000000365E-2</v>
      </c>
      <c r="E444">
        <v>49.116545859608379</v>
      </c>
      <c r="F444">
        <v>9.3500000000003469E-2</v>
      </c>
      <c r="H444">
        <v>38.987619622809419</v>
      </c>
      <c r="I444">
        <v>9.0200000000003375E-2</v>
      </c>
      <c r="K444">
        <v>51.234322222351679</v>
      </c>
      <c r="L444">
        <v>0.12580000000000427</v>
      </c>
      <c r="N444">
        <v>55.361924771568965</v>
      </c>
      <c r="O444">
        <v>9.7500000000003584E-2</v>
      </c>
      <c r="Q444">
        <v>42.891502138301462</v>
      </c>
      <c r="R444">
        <v>0.10660000000000384</v>
      </c>
      <c r="T444">
        <v>9.980000000000365E-2</v>
      </c>
      <c r="U444">
        <v>9.3500000000003469E-2</v>
      </c>
      <c r="V444">
        <v>9.0200000000003375E-2</v>
      </c>
      <c r="W444">
        <v>0.12580000000000427</v>
      </c>
      <c r="X444">
        <v>9.7500000000003584E-2</v>
      </c>
      <c r="Y444">
        <v>0.10660000000000384</v>
      </c>
    </row>
    <row r="445" spans="1:25" x14ac:dyDescent="0.55000000000000004">
      <c r="A445" t="s">
        <v>446</v>
      </c>
      <c r="B445">
        <v>36.617210147771971</v>
      </c>
      <c r="C445">
        <v>5.8700000000002479E-2</v>
      </c>
      <c r="E445">
        <v>33.7128859004684</v>
      </c>
      <c r="F445">
        <v>0.11440000000000407</v>
      </c>
      <c r="H445">
        <v>36.429517928510194</v>
      </c>
      <c r="I445">
        <v>0.11960000000000422</v>
      </c>
      <c r="K445">
        <v>59.610886528332145</v>
      </c>
      <c r="L445">
        <v>0.11780000000000417</v>
      </c>
      <c r="N445">
        <v>50.275823727549991</v>
      </c>
      <c r="O445">
        <v>0.10930000000000392</v>
      </c>
      <c r="Q445">
        <v>44.840159400183836</v>
      </c>
      <c r="R445">
        <v>9.8700000000003618E-2</v>
      </c>
      <c r="T445">
        <v>5.8700000000002479E-2</v>
      </c>
      <c r="U445">
        <v>0.11440000000000407</v>
      </c>
      <c r="V445">
        <v>0.11960000000000422</v>
      </c>
      <c r="W445">
        <v>0.11780000000000417</v>
      </c>
      <c r="X445">
        <v>0.10930000000000392</v>
      </c>
      <c r="Y445">
        <v>9.8700000000003618E-2</v>
      </c>
    </row>
    <row r="446" spans="1:25" x14ac:dyDescent="0.55000000000000004">
      <c r="A446" t="s">
        <v>447</v>
      </c>
      <c r="B446">
        <v>45.312472424378562</v>
      </c>
      <c r="C446">
        <v>8.2600000000003157E-2</v>
      </c>
      <c r="E446">
        <v>64.327042397804362</v>
      </c>
      <c r="F446">
        <v>0.12270000000000431</v>
      </c>
      <c r="H446">
        <v>36.083991531800955</v>
      </c>
      <c r="I446">
        <v>0.11050000000000396</v>
      </c>
      <c r="K446">
        <v>48.421831046224789</v>
      </c>
      <c r="L446">
        <v>0.12150000000000427</v>
      </c>
      <c r="N446">
        <v>41.873455837765093</v>
      </c>
      <c r="O446">
        <v>0.12520000000000434</v>
      </c>
      <c r="Q446">
        <v>38.489275223546507</v>
      </c>
      <c r="R446">
        <v>0.10890000000000391</v>
      </c>
      <c r="T446">
        <v>8.2600000000003157E-2</v>
      </c>
      <c r="U446">
        <v>0.12270000000000431</v>
      </c>
      <c r="V446">
        <v>0.11050000000000396</v>
      </c>
      <c r="W446">
        <v>0.12150000000000427</v>
      </c>
      <c r="X446">
        <v>0.12520000000000434</v>
      </c>
      <c r="Y446">
        <v>0.10890000000000391</v>
      </c>
    </row>
    <row r="447" spans="1:25" x14ac:dyDescent="0.55000000000000004">
      <c r="A447" t="s">
        <v>448</v>
      </c>
      <c r="B447">
        <v>29.439757695264273</v>
      </c>
      <c r="C447">
        <v>9.8300000000003607E-2</v>
      </c>
      <c r="E447">
        <v>41.076974225700752</v>
      </c>
      <c r="F447">
        <v>0.1016000000000037</v>
      </c>
      <c r="H447">
        <v>37.566116130647124</v>
      </c>
      <c r="I447">
        <v>9.0200000000003375E-2</v>
      </c>
      <c r="K447">
        <v>59.196674559154786</v>
      </c>
      <c r="L447">
        <v>0.11950000000000421</v>
      </c>
      <c r="N447">
        <v>35.612632930550902</v>
      </c>
      <c r="O447">
        <v>0.12150000000000427</v>
      </c>
      <c r="Q447">
        <v>39.754545383134179</v>
      </c>
      <c r="R447">
        <v>8.900000000000334E-2</v>
      </c>
      <c r="T447">
        <v>9.8300000000003607E-2</v>
      </c>
      <c r="U447">
        <v>0.1016000000000037</v>
      </c>
      <c r="V447">
        <v>9.0200000000003375E-2</v>
      </c>
      <c r="W447">
        <v>0.11950000000000421</v>
      </c>
      <c r="X447">
        <v>0.12150000000000427</v>
      </c>
      <c r="Y447">
        <v>8.900000000000334E-2</v>
      </c>
    </row>
    <row r="448" spans="1:25" x14ac:dyDescent="0.55000000000000004">
      <c r="A448" t="s">
        <v>449</v>
      </c>
      <c r="B448">
        <v>37.758712464090628</v>
      </c>
      <c r="C448">
        <v>9.4400000000003495E-2</v>
      </c>
      <c r="E448">
        <v>52.183907304701265</v>
      </c>
      <c r="F448">
        <v>0.1016000000000037</v>
      </c>
      <c r="H448">
        <v>32.976903459492767</v>
      </c>
      <c r="I448">
        <v>0.11390000000000405</v>
      </c>
      <c r="K448">
        <v>68.06354288509246</v>
      </c>
      <c r="L448">
        <v>0.11010000000000394</v>
      </c>
      <c r="N448">
        <v>35.369612515207017</v>
      </c>
      <c r="O448">
        <v>9.3600000000003472E-2</v>
      </c>
      <c r="Q448">
        <v>42.519633242732212</v>
      </c>
      <c r="R448">
        <v>9.2400000000003438E-2</v>
      </c>
      <c r="T448">
        <v>9.4400000000003495E-2</v>
      </c>
      <c r="U448">
        <v>0.1016000000000037</v>
      </c>
      <c r="V448">
        <v>0.11390000000000405</v>
      </c>
      <c r="W448">
        <v>0.11010000000000394</v>
      </c>
      <c r="X448">
        <v>9.3600000000003472E-2</v>
      </c>
      <c r="Y448">
        <v>9.2400000000003438E-2</v>
      </c>
    </row>
    <row r="449" spans="1:25" x14ac:dyDescent="0.55000000000000004">
      <c r="A449" t="s">
        <v>450</v>
      </c>
      <c r="B449">
        <v>63.998376699626881</v>
      </c>
      <c r="C449">
        <v>8.4500000000003211E-2</v>
      </c>
      <c r="E449">
        <v>46.966364782583895</v>
      </c>
      <c r="F449">
        <v>0.12530000000000432</v>
      </c>
      <c r="H449">
        <v>43.389251873366305</v>
      </c>
      <c r="I449">
        <v>0.12620000000000423</v>
      </c>
      <c r="K449">
        <v>54.013881271657489</v>
      </c>
      <c r="L449">
        <v>0.13260000000000352</v>
      </c>
      <c r="N449">
        <v>35.096433898392789</v>
      </c>
      <c r="O449">
        <v>0.10350000000000376</v>
      </c>
      <c r="Q449">
        <v>46.589953078990618</v>
      </c>
      <c r="R449">
        <v>9.7300000000003578E-2</v>
      </c>
      <c r="T449">
        <v>8.4500000000003211E-2</v>
      </c>
      <c r="U449">
        <v>0.12530000000000432</v>
      </c>
      <c r="V449">
        <v>0.12620000000000423</v>
      </c>
      <c r="W449">
        <v>0.13260000000000352</v>
      </c>
      <c r="X449">
        <v>0.10350000000000376</v>
      </c>
      <c r="Y449">
        <v>9.7300000000003578E-2</v>
      </c>
    </row>
    <row r="450" spans="1:25" x14ac:dyDescent="0.55000000000000004">
      <c r="A450" t="s">
        <v>451</v>
      </c>
      <c r="B450">
        <v>26.744030486906784</v>
      </c>
      <c r="C450">
        <v>9.2100000000003429E-2</v>
      </c>
      <c r="E450">
        <v>42.177282594713283</v>
      </c>
      <c r="F450">
        <v>0.11690000000000414</v>
      </c>
      <c r="H450">
        <v>30.557079996453435</v>
      </c>
      <c r="I450">
        <v>0.11700000000000414</v>
      </c>
      <c r="K450">
        <v>45.663600269972235</v>
      </c>
      <c r="L450">
        <v>9.8600000000003615E-2</v>
      </c>
      <c r="N450">
        <v>32.441663258801405</v>
      </c>
      <c r="O450">
        <v>8.0000000000003083E-2</v>
      </c>
      <c r="Q450">
        <v>40.795530932067791</v>
      </c>
      <c r="R450">
        <v>9.9900000000003653E-2</v>
      </c>
      <c r="T450">
        <v>9.2100000000003429E-2</v>
      </c>
      <c r="U450">
        <v>0.11690000000000414</v>
      </c>
      <c r="V450">
        <v>0.11700000000000414</v>
      </c>
      <c r="W450">
        <v>9.8600000000003615E-2</v>
      </c>
      <c r="X450">
        <v>8.0000000000003083E-2</v>
      </c>
      <c r="Y450">
        <v>9.9900000000003653E-2</v>
      </c>
    </row>
    <row r="451" spans="1:25" x14ac:dyDescent="0.55000000000000004">
      <c r="A451" t="s">
        <v>452</v>
      </c>
      <c r="B451">
        <v>35.503440885030265</v>
      </c>
      <c r="C451">
        <v>8.5900000000003252E-2</v>
      </c>
      <c r="E451">
        <v>59.686429206983391</v>
      </c>
      <c r="F451">
        <v>0.11990000000000423</v>
      </c>
      <c r="H451">
        <v>41.789643629941502</v>
      </c>
      <c r="I451">
        <v>0.10330000000000375</v>
      </c>
      <c r="K451">
        <v>59.675802224982995</v>
      </c>
      <c r="L451">
        <v>0.11990000000000423</v>
      </c>
      <c r="N451">
        <v>42.403135820930864</v>
      </c>
      <c r="O451">
        <v>0.10590000000000382</v>
      </c>
      <c r="Q451">
        <v>41.879060905375177</v>
      </c>
      <c r="R451">
        <v>9.4300000000003492E-2</v>
      </c>
      <c r="T451">
        <v>8.5900000000003252E-2</v>
      </c>
      <c r="U451">
        <v>0.11990000000000423</v>
      </c>
      <c r="V451">
        <v>0.10330000000000375</v>
      </c>
      <c r="W451">
        <v>0.11990000000000423</v>
      </c>
      <c r="X451">
        <v>0.10590000000000382</v>
      </c>
      <c r="Y451">
        <v>9.4300000000003492E-2</v>
      </c>
    </row>
    <row r="452" spans="1:25" x14ac:dyDescent="0.55000000000000004">
      <c r="A452" t="s">
        <v>453</v>
      </c>
      <c r="B452">
        <v>33.872166842639395</v>
      </c>
      <c r="C452">
        <v>8.7400000000003294E-2</v>
      </c>
      <c r="E452">
        <v>41.720711852793642</v>
      </c>
      <c r="F452">
        <v>0.11980000000000422</v>
      </c>
      <c r="H452">
        <v>37.775416315837525</v>
      </c>
      <c r="I452">
        <v>9.5200000000003518E-2</v>
      </c>
      <c r="K452">
        <v>51.481957751245261</v>
      </c>
      <c r="L452">
        <v>0.11290000000000402</v>
      </c>
      <c r="N452">
        <v>33.576080639596583</v>
      </c>
      <c r="O452">
        <v>9.5100000000003515E-2</v>
      </c>
      <c r="Q452">
        <v>49.732065780969599</v>
      </c>
      <c r="R452">
        <v>9.3900000000003481E-2</v>
      </c>
      <c r="T452">
        <v>8.7400000000003294E-2</v>
      </c>
      <c r="U452">
        <v>0.11980000000000422</v>
      </c>
      <c r="V452">
        <v>9.5200000000003518E-2</v>
      </c>
      <c r="W452">
        <v>0.11290000000000402</v>
      </c>
      <c r="X452">
        <v>9.5100000000003515E-2</v>
      </c>
      <c r="Y452">
        <v>9.3900000000003481E-2</v>
      </c>
    </row>
    <row r="453" spans="1:25" x14ac:dyDescent="0.55000000000000004">
      <c r="A453" t="s">
        <v>454</v>
      </c>
      <c r="B453">
        <v>30.407394604217252</v>
      </c>
      <c r="C453">
        <v>9.4700000000003504E-2</v>
      </c>
      <c r="E453">
        <v>34.60363878088225</v>
      </c>
      <c r="F453">
        <v>0.10240000000000372</v>
      </c>
      <c r="H453">
        <v>38.271056177974877</v>
      </c>
      <c r="I453">
        <v>0.10360000000000376</v>
      </c>
      <c r="K453">
        <v>44.27248961034303</v>
      </c>
      <c r="L453">
        <v>0.21879999999999403</v>
      </c>
      <c r="N453">
        <v>32.020721005064537</v>
      </c>
      <c r="O453">
        <v>0.10220000000000372</v>
      </c>
      <c r="Q453">
        <v>38.315672523336787</v>
      </c>
      <c r="R453">
        <v>0.10030000000000366</v>
      </c>
      <c r="T453">
        <v>9.4700000000003504E-2</v>
      </c>
      <c r="U453">
        <v>0.10240000000000372</v>
      </c>
      <c r="V453">
        <v>0.10360000000000376</v>
      </c>
      <c r="W453">
        <v>0.21879999999999403</v>
      </c>
      <c r="X453">
        <v>0.10220000000000372</v>
      </c>
      <c r="Y453">
        <v>0.10030000000000366</v>
      </c>
    </row>
    <row r="454" spans="1:25" x14ac:dyDescent="0.55000000000000004">
      <c r="A454" t="s">
        <v>455</v>
      </c>
      <c r="B454">
        <v>41.648336597000061</v>
      </c>
      <c r="C454">
        <v>7.7300000000003005E-2</v>
      </c>
      <c r="E454">
        <v>39.883851642304926</v>
      </c>
      <c r="F454">
        <v>0.10570000000000382</v>
      </c>
      <c r="H454">
        <v>30.968532991216421</v>
      </c>
      <c r="I454">
        <v>0.10800000000000388</v>
      </c>
      <c r="K454">
        <v>57.397839909521991</v>
      </c>
      <c r="L454">
        <v>0.11240000000000401</v>
      </c>
      <c r="N454">
        <v>37.456396382966631</v>
      </c>
      <c r="O454">
        <v>9.2100000000003429E-2</v>
      </c>
      <c r="Q454">
        <v>60.895178480250458</v>
      </c>
      <c r="R454">
        <v>8.5000000000003226E-2</v>
      </c>
      <c r="T454">
        <v>7.7300000000003005E-2</v>
      </c>
      <c r="U454">
        <v>0.10570000000000382</v>
      </c>
      <c r="V454">
        <v>0.10800000000000388</v>
      </c>
      <c r="W454">
        <v>0.11240000000000401</v>
      </c>
      <c r="X454">
        <v>9.2100000000003429E-2</v>
      </c>
      <c r="Y454">
        <v>8.5000000000003226E-2</v>
      </c>
    </row>
    <row r="455" spans="1:25" x14ac:dyDescent="0.55000000000000004">
      <c r="A455" t="s">
        <v>456</v>
      </c>
      <c r="B455">
        <v>29.555322361719167</v>
      </c>
      <c r="C455">
        <v>9.910000000000363E-2</v>
      </c>
      <c r="E455">
        <v>49.045145603366237</v>
      </c>
      <c r="F455">
        <v>9.7300000000003578E-2</v>
      </c>
      <c r="H455">
        <v>35.573840791652664</v>
      </c>
      <c r="I455">
        <v>0.10800000000000388</v>
      </c>
      <c r="K455">
        <v>47.651322006724449</v>
      </c>
      <c r="L455">
        <v>0.111900000000004</v>
      </c>
      <c r="N455">
        <v>70.425120032799853</v>
      </c>
      <c r="O455">
        <v>0.10070000000000368</v>
      </c>
      <c r="Q455">
        <v>39.039162787201889</v>
      </c>
      <c r="R455">
        <v>9.6800000000003564E-2</v>
      </c>
      <c r="T455">
        <v>9.910000000000363E-2</v>
      </c>
      <c r="U455">
        <v>9.7300000000003578E-2</v>
      </c>
      <c r="V455">
        <v>0.10800000000000388</v>
      </c>
      <c r="W455">
        <v>0.111900000000004</v>
      </c>
      <c r="X455">
        <v>0.10070000000000368</v>
      </c>
      <c r="Y455">
        <v>9.6800000000003564E-2</v>
      </c>
    </row>
    <row r="456" spans="1:25" x14ac:dyDescent="0.55000000000000004">
      <c r="A456" t="s">
        <v>457</v>
      </c>
      <c r="B456">
        <v>34.834947852366675</v>
      </c>
      <c r="C456">
        <v>9.5200000000003518E-2</v>
      </c>
      <c r="E456">
        <v>43.736883858427319</v>
      </c>
      <c r="F456">
        <v>0.11740000000000415</v>
      </c>
      <c r="H456">
        <v>36.171306064204103</v>
      </c>
      <c r="I456">
        <v>0.12130000000000427</v>
      </c>
      <c r="K456">
        <v>39.349563854043154</v>
      </c>
      <c r="L456">
        <v>0.13830000000000289</v>
      </c>
      <c r="N456">
        <v>47.127469020717136</v>
      </c>
      <c r="O456">
        <v>0.12400000000000434</v>
      </c>
      <c r="Q456">
        <v>37.590880478238219</v>
      </c>
      <c r="R456">
        <v>0.10460000000000379</v>
      </c>
      <c r="T456">
        <v>9.5200000000003518E-2</v>
      </c>
      <c r="U456">
        <v>0.11740000000000415</v>
      </c>
      <c r="V456">
        <v>0.12130000000000427</v>
      </c>
      <c r="W456">
        <v>0.13830000000000289</v>
      </c>
      <c r="X456">
        <v>0.12400000000000434</v>
      </c>
      <c r="Y456">
        <v>0.10460000000000379</v>
      </c>
    </row>
    <row r="457" spans="1:25" x14ac:dyDescent="0.55000000000000004">
      <c r="A457" t="s">
        <v>458</v>
      </c>
      <c r="B457">
        <v>52.01949732670618</v>
      </c>
      <c r="C457">
        <v>8.2800000000003163E-2</v>
      </c>
      <c r="E457">
        <v>52.010963008449863</v>
      </c>
      <c r="F457">
        <v>0.10780000000000388</v>
      </c>
      <c r="H457">
        <v>44.894601659098335</v>
      </c>
      <c r="I457">
        <v>0.11320000000000403</v>
      </c>
      <c r="K457">
        <v>61.844565674457257</v>
      </c>
      <c r="L457">
        <v>0.11050000000000396</v>
      </c>
      <c r="N457">
        <v>86.766819647765701</v>
      </c>
      <c r="O457">
        <v>0.11500000000000409</v>
      </c>
      <c r="Q457">
        <v>50.00107505141591</v>
      </c>
      <c r="R457">
        <v>8.8700000000003332E-2</v>
      </c>
      <c r="T457">
        <v>8.2800000000003163E-2</v>
      </c>
      <c r="U457">
        <v>0.10780000000000388</v>
      </c>
      <c r="V457">
        <v>0.11320000000000403</v>
      </c>
      <c r="W457">
        <v>0.11050000000000396</v>
      </c>
      <c r="X457">
        <v>0.11500000000000409</v>
      </c>
      <c r="Y457">
        <v>8.8700000000003332E-2</v>
      </c>
    </row>
    <row r="458" spans="1:25" x14ac:dyDescent="0.55000000000000004">
      <c r="A458" t="s">
        <v>591</v>
      </c>
      <c r="B458">
        <v>36.89491453969142</v>
      </c>
      <c r="C458">
        <v>8.5000000000003226E-2</v>
      </c>
      <c r="E458">
        <v>43.315110492511941</v>
      </c>
      <c r="F458">
        <v>9.910000000000363E-2</v>
      </c>
      <c r="H458">
        <v>37.294362308116646</v>
      </c>
      <c r="I458">
        <v>0.11160000000000399</v>
      </c>
      <c r="K458">
        <v>54.110173759627131</v>
      </c>
      <c r="L458">
        <v>0.12430000000000435</v>
      </c>
      <c r="N458">
        <v>62.874791649424552</v>
      </c>
      <c r="O458">
        <v>0.12880000000000394</v>
      </c>
      <c r="Q458">
        <v>46.958120018263728</v>
      </c>
      <c r="R458">
        <v>9.4600000000003501E-2</v>
      </c>
      <c r="T458">
        <v>8.5000000000003226E-2</v>
      </c>
      <c r="U458">
        <v>9.910000000000363E-2</v>
      </c>
      <c r="V458">
        <v>0.11160000000000399</v>
      </c>
      <c r="W458">
        <v>0.12430000000000435</v>
      </c>
      <c r="X458">
        <v>0.12880000000000394</v>
      </c>
      <c r="Y458">
        <v>9.4600000000003501E-2</v>
      </c>
    </row>
    <row r="459" spans="1:25" x14ac:dyDescent="0.55000000000000004">
      <c r="A459" t="s">
        <v>592</v>
      </c>
      <c r="B459">
        <v>27.713120240888671</v>
      </c>
      <c r="C459">
        <v>9.8500000000003612E-2</v>
      </c>
      <c r="E459">
        <v>39.068044261919269</v>
      </c>
      <c r="F459">
        <v>0.10370000000000376</v>
      </c>
      <c r="H459">
        <v>31.412678376962159</v>
      </c>
      <c r="I459">
        <v>0.111900000000004</v>
      </c>
      <c r="K459">
        <v>44.192205418097359</v>
      </c>
      <c r="L459">
        <v>0.13140000000000365</v>
      </c>
      <c r="N459">
        <v>41.478065352546416</v>
      </c>
      <c r="O459">
        <v>0.12990000000000382</v>
      </c>
      <c r="Q459">
        <v>34.865778921913403</v>
      </c>
      <c r="R459">
        <v>0.10460000000000379</v>
      </c>
      <c r="T459">
        <v>9.8500000000003612E-2</v>
      </c>
      <c r="U459">
        <v>0.10370000000000376</v>
      </c>
      <c r="V459">
        <v>0.111900000000004</v>
      </c>
      <c r="W459">
        <v>0.13140000000000365</v>
      </c>
      <c r="X459">
        <v>0.12990000000000382</v>
      </c>
      <c r="Y459">
        <v>0.10460000000000379</v>
      </c>
    </row>
    <row r="460" spans="1:25" x14ac:dyDescent="0.55000000000000004">
      <c r="A460" t="s">
        <v>593</v>
      </c>
      <c r="B460">
        <v>65.716926650905236</v>
      </c>
      <c r="C460">
        <v>8.7700000000003303E-2</v>
      </c>
      <c r="E460">
        <v>48.758777977654425</v>
      </c>
      <c r="F460">
        <v>9.8200000000003604E-2</v>
      </c>
      <c r="H460">
        <v>42.247087871316765</v>
      </c>
      <c r="I460">
        <v>0.10250000000000373</v>
      </c>
      <c r="K460">
        <v>65.698597187506266</v>
      </c>
      <c r="L460">
        <v>0.12380000000000434</v>
      </c>
      <c r="N460">
        <v>87.379971323979447</v>
      </c>
      <c r="O460">
        <v>9.2400000000003438E-2</v>
      </c>
      <c r="Q460">
        <v>46.909393998022146</v>
      </c>
      <c r="R460">
        <v>9.9000000000003627E-2</v>
      </c>
      <c r="T460">
        <v>8.7700000000003303E-2</v>
      </c>
      <c r="U460">
        <v>9.8200000000003604E-2</v>
      </c>
      <c r="V460">
        <v>0.10250000000000373</v>
      </c>
      <c r="W460">
        <v>0.12380000000000434</v>
      </c>
      <c r="X460">
        <v>9.2400000000003438E-2</v>
      </c>
      <c r="Y460">
        <v>9.9000000000003627E-2</v>
      </c>
    </row>
    <row r="461" spans="1:25" x14ac:dyDescent="0.55000000000000004">
      <c r="A461" t="s">
        <v>594</v>
      </c>
      <c r="B461">
        <v>53.367140471304346</v>
      </c>
      <c r="C461">
        <v>7.7500000000003011E-2</v>
      </c>
      <c r="E461">
        <v>46.564678639192167</v>
      </c>
      <c r="F461">
        <v>0.10570000000000382</v>
      </c>
      <c r="H461">
        <v>41.837769720799237</v>
      </c>
      <c r="I461">
        <v>0.11600000000000411</v>
      </c>
      <c r="K461">
        <v>56.092376684633045</v>
      </c>
      <c r="L461">
        <v>0.12330000000000432</v>
      </c>
      <c r="N461">
        <v>60.740696378189099</v>
      </c>
      <c r="O461">
        <v>0.11060000000000396</v>
      </c>
      <c r="Q461">
        <v>42.434497911146821</v>
      </c>
      <c r="R461">
        <v>8.6800000000003277E-2</v>
      </c>
      <c r="T461">
        <v>7.7500000000003011E-2</v>
      </c>
      <c r="U461">
        <v>0.10570000000000382</v>
      </c>
      <c r="V461">
        <v>0.11600000000000411</v>
      </c>
      <c r="W461">
        <v>0.12330000000000432</v>
      </c>
      <c r="X461">
        <v>0.11060000000000396</v>
      </c>
      <c r="Y461">
        <v>8.6800000000003277E-2</v>
      </c>
    </row>
    <row r="462" spans="1:25" x14ac:dyDescent="0.55000000000000004">
      <c r="A462" t="s">
        <v>595</v>
      </c>
      <c r="B462">
        <v>33.855094050363292</v>
      </c>
      <c r="C462">
        <v>9.7900000000003595E-2</v>
      </c>
      <c r="E462">
        <v>60.831234909519964</v>
      </c>
      <c r="F462">
        <v>9.5500000000003527E-2</v>
      </c>
      <c r="H462">
        <v>36.729566016447336</v>
      </c>
      <c r="I462">
        <v>9.2600000000003443E-2</v>
      </c>
      <c r="K462">
        <v>42.437015800331224</v>
      </c>
      <c r="L462">
        <v>0.13090000000000371</v>
      </c>
      <c r="N462">
        <v>40.174997026876504</v>
      </c>
      <c r="O462">
        <v>0.12130000000000427</v>
      </c>
      <c r="Q462">
        <v>38.245082591899312</v>
      </c>
      <c r="R462">
        <v>0.11490000000000408</v>
      </c>
      <c r="T462">
        <v>9.7900000000003595E-2</v>
      </c>
      <c r="U462">
        <v>9.5500000000003527E-2</v>
      </c>
      <c r="V462">
        <v>9.2600000000003443E-2</v>
      </c>
      <c r="W462">
        <v>0.13090000000000371</v>
      </c>
      <c r="X462">
        <v>0.12130000000000427</v>
      </c>
      <c r="Y462">
        <v>0.11490000000000408</v>
      </c>
    </row>
    <row r="463" spans="1:25" x14ac:dyDescent="0.55000000000000004">
      <c r="A463" t="s">
        <v>596</v>
      </c>
      <c r="B463">
        <v>40.203468200295617</v>
      </c>
      <c r="C463">
        <v>8.0400000000003094E-2</v>
      </c>
      <c r="E463">
        <v>42.394810239793372</v>
      </c>
      <c r="F463">
        <v>0.10740000000000387</v>
      </c>
      <c r="H463">
        <v>32.322142002423689</v>
      </c>
      <c r="I463">
        <v>0.13110000000000369</v>
      </c>
      <c r="K463">
        <v>61.167016463792088</v>
      </c>
      <c r="L463">
        <v>0.22929999999999287</v>
      </c>
      <c r="N463">
        <v>40.416525521415693</v>
      </c>
      <c r="O463">
        <v>0.12500000000000436</v>
      </c>
      <c r="Q463">
        <v>52.710851327812868</v>
      </c>
      <c r="R463">
        <v>0.11820000000000418</v>
      </c>
      <c r="T463">
        <v>8.0400000000003094E-2</v>
      </c>
      <c r="U463">
        <v>0.10740000000000387</v>
      </c>
      <c r="V463">
        <v>0.13110000000000369</v>
      </c>
      <c r="W463">
        <v>0.22929999999999287</v>
      </c>
      <c r="X463">
        <v>0.12500000000000436</v>
      </c>
      <c r="Y463">
        <v>0.11820000000000418</v>
      </c>
    </row>
    <row r="464" spans="1:25" x14ac:dyDescent="0.55000000000000004">
      <c r="A464" t="s">
        <v>597</v>
      </c>
      <c r="B464">
        <v>41.886308199166294</v>
      </c>
      <c r="C464">
        <v>7.6900000000002994E-2</v>
      </c>
      <c r="E464">
        <v>44.068550186713011</v>
      </c>
      <c r="F464">
        <v>0.10240000000000372</v>
      </c>
      <c r="H464">
        <v>36.464303403988431</v>
      </c>
      <c r="I464">
        <v>0.10670000000000385</v>
      </c>
      <c r="K464">
        <v>37.965270506599268</v>
      </c>
      <c r="L464">
        <v>0.11010000000000394</v>
      </c>
      <c r="N464">
        <v>31.155309793253821</v>
      </c>
      <c r="O464">
        <v>9.5500000000003527E-2</v>
      </c>
      <c r="Q464">
        <v>39.067131884743688</v>
      </c>
      <c r="R464">
        <v>9.0700000000003389E-2</v>
      </c>
      <c r="T464">
        <v>7.6900000000002994E-2</v>
      </c>
      <c r="U464">
        <v>0.10240000000000372</v>
      </c>
      <c r="V464">
        <v>0.10670000000000385</v>
      </c>
      <c r="W464">
        <v>0.11010000000000394</v>
      </c>
      <c r="X464">
        <v>9.5500000000003527E-2</v>
      </c>
      <c r="Y464">
        <v>9.0700000000003389E-2</v>
      </c>
    </row>
    <row r="465" spans="1:25" x14ac:dyDescent="0.55000000000000004">
      <c r="A465" t="s">
        <v>598</v>
      </c>
      <c r="B465">
        <v>43.790985385935713</v>
      </c>
      <c r="C465">
        <v>9.5700000000003532E-2</v>
      </c>
      <c r="E465">
        <v>42.30318604692296</v>
      </c>
      <c r="F465">
        <v>9.7000000000003569E-2</v>
      </c>
      <c r="H465">
        <v>36.731521798688284</v>
      </c>
      <c r="I465">
        <v>0.10400000000000377</v>
      </c>
      <c r="K465">
        <v>56.118039778421462</v>
      </c>
      <c r="L465">
        <v>0.12560000000000429</v>
      </c>
      <c r="N465">
        <v>39.557856172913141</v>
      </c>
      <c r="O465">
        <v>0.11180000000000399</v>
      </c>
      <c r="Q465">
        <v>45.215315221398122</v>
      </c>
      <c r="R465">
        <v>9.770000000000359E-2</v>
      </c>
      <c r="T465">
        <v>9.5700000000003532E-2</v>
      </c>
      <c r="U465">
        <v>9.7000000000003569E-2</v>
      </c>
      <c r="V465">
        <v>0.10400000000000377</v>
      </c>
      <c r="W465">
        <v>0.12560000000000429</v>
      </c>
      <c r="X465">
        <v>0.11180000000000399</v>
      </c>
      <c r="Y465">
        <v>9.770000000000359E-2</v>
      </c>
    </row>
    <row r="466" spans="1:25" x14ac:dyDescent="0.55000000000000004">
      <c r="A466" t="s">
        <v>599</v>
      </c>
      <c r="B466">
        <v>49.354982621403494</v>
      </c>
      <c r="C466">
        <v>7.8100000000003028E-2</v>
      </c>
      <c r="E466">
        <v>56.314034130234646</v>
      </c>
      <c r="F466">
        <v>0.13380000000000339</v>
      </c>
      <c r="H466">
        <v>39.958120268447054</v>
      </c>
      <c r="I466">
        <v>9.9000000000003627E-2</v>
      </c>
      <c r="K466">
        <v>48.447370706431983</v>
      </c>
      <c r="L466">
        <v>0.11830000000000418</v>
      </c>
      <c r="N466">
        <v>40.330748540132312</v>
      </c>
      <c r="O466">
        <v>0.10060000000000367</v>
      </c>
      <c r="Q466">
        <v>56.828297181936904</v>
      </c>
      <c r="R466">
        <v>9.0600000000003386E-2</v>
      </c>
      <c r="T466">
        <v>7.8100000000003028E-2</v>
      </c>
      <c r="U466">
        <v>0.13380000000000339</v>
      </c>
      <c r="V466">
        <v>9.9000000000003627E-2</v>
      </c>
      <c r="W466">
        <v>0.11830000000000418</v>
      </c>
      <c r="X466">
        <v>0.10060000000000367</v>
      </c>
      <c r="Y466">
        <v>9.0600000000003386E-2</v>
      </c>
    </row>
    <row r="467" spans="1:25" x14ac:dyDescent="0.55000000000000004">
      <c r="A467" t="s">
        <v>600</v>
      </c>
      <c r="B467">
        <v>51.552791766821414</v>
      </c>
      <c r="C467">
        <v>8.6300000000003263E-2</v>
      </c>
      <c r="E467">
        <v>53.654985813352738</v>
      </c>
      <c r="F467">
        <v>0.10790000000000388</v>
      </c>
      <c r="H467">
        <v>38.897328877534513</v>
      </c>
      <c r="I467">
        <v>0.10700000000000386</v>
      </c>
      <c r="K467">
        <v>44.425865926463402</v>
      </c>
      <c r="L467">
        <v>0.13310000000000347</v>
      </c>
      <c r="N467">
        <v>45.319471870334823</v>
      </c>
      <c r="O467">
        <v>0.11280000000000402</v>
      </c>
      <c r="Q467">
        <v>50.615637175233992</v>
      </c>
      <c r="R467">
        <v>0.11030000000000395</v>
      </c>
      <c r="T467">
        <v>8.6300000000003263E-2</v>
      </c>
      <c r="U467">
        <v>0.10790000000000388</v>
      </c>
      <c r="V467">
        <v>0.10700000000000386</v>
      </c>
      <c r="W467">
        <v>0.13310000000000347</v>
      </c>
      <c r="X467">
        <v>0.11280000000000402</v>
      </c>
      <c r="Y467">
        <v>0.11030000000000395</v>
      </c>
    </row>
    <row r="468" spans="1:25" x14ac:dyDescent="0.55000000000000004">
      <c r="A468" t="s">
        <v>601</v>
      </c>
      <c r="B468">
        <v>50.252175375462677</v>
      </c>
      <c r="C468">
        <v>8.9600000000003358E-2</v>
      </c>
      <c r="E468">
        <v>49.200096997740751</v>
      </c>
      <c r="F468">
        <v>0.10830000000000389</v>
      </c>
      <c r="H468">
        <v>38.891454625783673</v>
      </c>
      <c r="I468">
        <v>0.1084000000000039</v>
      </c>
      <c r="K468">
        <v>43.969197403976679</v>
      </c>
      <c r="L468">
        <v>0.13210000000000358</v>
      </c>
      <c r="N468">
        <v>43.093669654269767</v>
      </c>
      <c r="O468">
        <v>0.14310000000000236</v>
      </c>
      <c r="Q468">
        <v>54.481288160261442</v>
      </c>
      <c r="R468">
        <v>0.11330000000000404</v>
      </c>
      <c r="T468">
        <v>8.9600000000003358E-2</v>
      </c>
      <c r="U468">
        <v>0.10830000000000389</v>
      </c>
      <c r="V468">
        <v>0.1084000000000039</v>
      </c>
      <c r="W468">
        <v>0.13210000000000358</v>
      </c>
      <c r="X468">
        <v>0.14310000000000236</v>
      </c>
      <c r="Y468">
        <v>0.11330000000000404</v>
      </c>
    </row>
    <row r="469" spans="1:25" x14ac:dyDescent="0.55000000000000004">
      <c r="A469" t="s">
        <v>602</v>
      </c>
      <c r="B469">
        <v>43.300810255888997</v>
      </c>
      <c r="C469">
        <v>8.41000000000032E-2</v>
      </c>
      <c r="E469">
        <v>39.322818272194141</v>
      </c>
      <c r="F469">
        <v>0.10100000000000368</v>
      </c>
      <c r="H469">
        <v>42.972862686419489</v>
      </c>
      <c r="I469">
        <v>0.10590000000000382</v>
      </c>
      <c r="K469">
        <v>64.685306704323963</v>
      </c>
      <c r="L469">
        <v>0.11250000000000401</v>
      </c>
      <c r="N469">
        <v>44.634236887721102</v>
      </c>
      <c r="O469">
        <v>8.9100000000003343E-2</v>
      </c>
      <c r="Q469">
        <v>61.151933670136621</v>
      </c>
      <c r="R469">
        <v>8.76000000000033E-2</v>
      </c>
      <c r="T469">
        <v>8.41000000000032E-2</v>
      </c>
      <c r="U469">
        <v>0.10100000000000368</v>
      </c>
      <c r="V469">
        <v>0.10590000000000382</v>
      </c>
      <c r="W469">
        <v>0.11250000000000401</v>
      </c>
      <c r="X469">
        <v>8.9100000000003343E-2</v>
      </c>
      <c r="Y469">
        <v>8.76000000000033E-2</v>
      </c>
    </row>
    <row r="470" spans="1:25" x14ac:dyDescent="0.55000000000000004">
      <c r="A470" t="s">
        <v>603</v>
      </c>
      <c r="B470">
        <v>50.853435906052432</v>
      </c>
      <c r="C470">
        <v>7.3700000000002902E-2</v>
      </c>
      <c r="E470">
        <v>46.463242715816399</v>
      </c>
      <c r="F470">
        <v>0.12980000000000383</v>
      </c>
      <c r="H470">
        <v>49.394309057748451</v>
      </c>
      <c r="I470">
        <v>0.12310000000000432</v>
      </c>
      <c r="K470">
        <v>49.532887592732763</v>
      </c>
      <c r="L470">
        <v>0.12610000000000424</v>
      </c>
      <c r="N470">
        <v>38.020647686173739</v>
      </c>
      <c r="O470">
        <v>0.10010000000000366</v>
      </c>
      <c r="Q470">
        <v>54.983620098118863</v>
      </c>
      <c r="R470">
        <v>9.4800000000003506E-2</v>
      </c>
      <c r="T470">
        <v>7.3700000000002902E-2</v>
      </c>
      <c r="U470">
        <v>0.12980000000000383</v>
      </c>
      <c r="V470">
        <v>0.12310000000000432</v>
      </c>
      <c r="W470">
        <v>0.12610000000000424</v>
      </c>
      <c r="X470">
        <v>0.10010000000000366</v>
      </c>
      <c r="Y470">
        <v>9.4800000000003506E-2</v>
      </c>
    </row>
    <row r="471" spans="1:25" x14ac:dyDescent="0.55000000000000004">
      <c r="A471" t="s">
        <v>604</v>
      </c>
      <c r="B471">
        <v>42.127065432617833</v>
      </c>
      <c r="C471">
        <v>7.3000000000002882E-2</v>
      </c>
      <c r="E471">
        <v>54.315845942779156</v>
      </c>
      <c r="F471">
        <v>0.12850000000000397</v>
      </c>
      <c r="H471">
        <v>49.051532696879875</v>
      </c>
      <c r="I471">
        <v>0.11740000000000415</v>
      </c>
      <c r="K471">
        <v>60.322236104846127</v>
      </c>
      <c r="L471">
        <v>0.11000000000000394</v>
      </c>
      <c r="N471">
        <v>51.702017761357894</v>
      </c>
      <c r="O471">
        <v>9.910000000000363E-2</v>
      </c>
      <c r="Q471">
        <v>77.591132625337039</v>
      </c>
      <c r="R471">
        <v>5.9400000000002499E-2</v>
      </c>
      <c r="T471">
        <v>7.3000000000002882E-2</v>
      </c>
      <c r="U471">
        <v>0.12850000000000397</v>
      </c>
      <c r="V471">
        <v>0.11740000000000415</v>
      </c>
      <c r="W471">
        <v>0.11000000000000394</v>
      </c>
      <c r="X471">
        <v>9.910000000000363E-2</v>
      </c>
      <c r="Y471">
        <v>5.9400000000002499E-2</v>
      </c>
    </row>
    <row r="472" spans="1:25" x14ac:dyDescent="0.55000000000000004">
      <c r="A472" t="s">
        <v>605</v>
      </c>
      <c r="B472">
        <v>42.856420782227445</v>
      </c>
      <c r="C472">
        <v>0.1017000000000037</v>
      </c>
      <c r="E472">
        <v>46.626190089885888</v>
      </c>
      <c r="F472">
        <v>0.13260000000000352</v>
      </c>
      <c r="H472">
        <v>33.687502717790892</v>
      </c>
      <c r="I472">
        <v>0.11160000000000399</v>
      </c>
      <c r="K472">
        <v>81.175951638895924</v>
      </c>
      <c r="L472">
        <v>0.12450000000000436</v>
      </c>
      <c r="N472">
        <v>46.100641981350712</v>
      </c>
      <c r="O472">
        <v>0.11850000000000419</v>
      </c>
      <c r="Q472">
        <v>55.900933055263998</v>
      </c>
      <c r="R472">
        <v>9.1500000000003412E-2</v>
      </c>
      <c r="T472">
        <v>0.1017000000000037</v>
      </c>
      <c r="U472">
        <v>0.13260000000000352</v>
      </c>
      <c r="V472">
        <v>0.11160000000000399</v>
      </c>
      <c r="W472">
        <v>0.12450000000000436</v>
      </c>
      <c r="X472">
        <v>0.11850000000000419</v>
      </c>
      <c r="Y472">
        <v>9.1500000000003412E-2</v>
      </c>
    </row>
    <row r="473" spans="1:25" x14ac:dyDescent="0.55000000000000004">
      <c r="A473" t="s">
        <v>606</v>
      </c>
      <c r="B473">
        <v>65.277926579630048</v>
      </c>
      <c r="C473">
        <v>8.200000000000314E-2</v>
      </c>
      <c r="E473">
        <v>47.830816753923258</v>
      </c>
      <c r="F473">
        <v>9.9900000000003653E-2</v>
      </c>
      <c r="H473">
        <v>38.199322121065293</v>
      </c>
      <c r="I473">
        <v>9.8700000000003618E-2</v>
      </c>
      <c r="K473">
        <v>60.300313405233922</v>
      </c>
      <c r="L473">
        <v>0.11700000000000414</v>
      </c>
      <c r="N473">
        <v>37.518293329698928</v>
      </c>
      <c r="O473">
        <v>0.10040000000000367</v>
      </c>
      <c r="Q473">
        <v>51.58092997193063</v>
      </c>
      <c r="R473">
        <v>9.1300000000003406E-2</v>
      </c>
      <c r="T473">
        <v>8.200000000000314E-2</v>
      </c>
      <c r="U473">
        <v>9.9900000000003653E-2</v>
      </c>
      <c r="V473">
        <v>9.8700000000003618E-2</v>
      </c>
      <c r="W473">
        <v>0.11700000000000414</v>
      </c>
      <c r="X473">
        <v>0.10040000000000367</v>
      </c>
      <c r="Y473">
        <v>9.1300000000003406E-2</v>
      </c>
    </row>
    <row r="474" spans="1:25" x14ac:dyDescent="0.55000000000000004">
      <c r="A474" t="s">
        <v>607</v>
      </c>
      <c r="B474">
        <v>34.252345264379663</v>
      </c>
      <c r="C474">
        <v>0.10710000000000386</v>
      </c>
      <c r="E474">
        <v>47.479641849099544</v>
      </c>
      <c r="F474">
        <v>0.10790000000000388</v>
      </c>
      <c r="H474">
        <v>31.798583494432421</v>
      </c>
      <c r="I474">
        <v>0.11700000000000414</v>
      </c>
      <c r="K474">
        <v>46.779363369537187</v>
      </c>
      <c r="L474">
        <v>0.13290000000000349</v>
      </c>
      <c r="N474">
        <v>56.659995842334453</v>
      </c>
      <c r="O474">
        <v>0.13590000000000316</v>
      </c>
      <c r="Q474">
        <v>38.794025152474482</v>
      </c>
      <c r="R474">
        <v>0.10220000000000372</v>
      </c>
      <c r="T474">
        <v>0.10710000000000386</v>
      </c>
      <c r="U474">
        <v>0.10790000000000388</v>
      </c>
      <c r="V474">
        <v>0.11700000000000414</v>
      </c>
      <c r="W474">
        <v>0.13290000000000349</v>
      </c>
      <c r="X474">
        <v>0.13590000000000316</v>
      </c>
      <c r="Y474">
        <v>0.10220000000000372</v>
      </c>
    </row>
    <row r="475" spans="1:25" x14ac:dyDescent="0.55000000000000004">
      <c r="A475" t="s">
        <v>608</v>
      </c>
      <c r="B475">
        <v>50.730526778337051</v>
      </c>
      <c r="C475">
        <v>7.050000000000281E-2</v>
      </c>
      <c r="E475">
        <v>40.154675837943174</v>
      </c>
      <c r="F475">
        <v>0.10690000000000385</v>
      </c>
      <c r="H475">
        <v>39.326182409448997</v>
      </c>
      <c r="I475">
        <v>0.10980000000000394</v>
      </c>
      <c r="K475">
        <v>58.921579762150365</v>
      </c>
      <c r="L475">
        <v>0.11680000000000414</v>
      </c>
      <c r="N475">
        <v>39.594599486362604</v>
      </c>
      <c r="O475">
        <v>9.4100000000003486E-2</v>
      </c>
      <c r="Q475">
        <v>65.66942185802462</v>
      </c>
      <c r="R475">
        <v>9.0800000000003392E-2</v>
      </c>
      <c r="T475">
        <v>7.050000000000281E-2</v>
      </c>
      <c r="U475">
        <v>0.10690000000000385</v>
      </c>
      <c r="V475">
        <v>0.10980000000000394</v>
      </c>
      <c r="W475">
        <v>0.11680000000000414</v>
      </c>
      <c r="X475">
        <v>9.4100000000003486E-2</v>
      </c>
      <c r="Y475">
        <v>9.0800000000003392E-2</v>
      </c>
    </row>
    <row r="476" spans="1:25" x14ac:dyDescent="0.55000000000000004">
      <c r="A476" t="s">
        <v>609</v>
      </c>
      <c r="B476">
        <v>46.989525982955172</v>
      </c>
      <c r="C476">
        <v>8.2900000000003166E-2</v>
      </c>
      <c r="E476">
        <v>37.978961296039017</v>
      </c>
      <c r="F476">
        <v>0.10050000000000367</v>
      </c>
      <c r="H476">
        <v>52.48128192826028</v>
      </c>
      <c r="I476">
        <v>0.12200000000000429</v>
      </c>
      <c r="K476">
        <v>52.458475413301713</v>
      </c>
      <c r="L476">
        <v>0.12600000000000425</v>
      </c>
      <c r="N476">
        <v>37.046418688848426</v>
      </c>
      <c r="O476">
        <v>9.8900000000003624E-2</v>
      </c>
      <c r="Q476">
        <v>53.440746053359057</v>
      </c>
      <c r="R476">
        <v>9.4100000000003486E-2</v>
      </c>
      <c r="T476">
        <v>8.2900000000003166E-2</v>
      </c>
      <c r="U476">
        <v>0.10050000000000367</v>
      </c>
      <c r="V476">
        <v>0.12200000000000429</v>
      </c>
      <c r="W476">
        <v>0.12600000000000425</v>
      </c>
      <c r="X476">
        <v>9.8900000000003624E-2</v>
      </c>
      <c r="Y476">
        <v>9.4100000000003486E-2</v>
      </c>
    </row>
    <row r="477" spans="1:25" x14ac:dyDescent="0.55000000000000004">
      <c r="A477" t="s">
        <v>610</v>
      </c>
      <c r="B477">
        <v>43.52012256773704</v>
      </c>
      <c r="C477">
        <v>0.11350000000000404</v>
      </c>
      <c r="E477">
        <v>49.205782053779608</v>
      </c>
      <c r="F477">
        <v>0.11480000000000408</v>
      </c>
      <c r="H477">
        <v>39.241551951679575</v>
      </c>
      <c r="I477">
        <v>0.1086000000000039</v>
      </c>
      <c r="K477">
        <v>62.621267298305206</v>
      </c>
      <c r="L477">
        <v>0.13360000000000341</v>
      </c>
      <c r="N477">
        <v>43.673313102442052</v>
      </c>
      <c r="O477">
        <v>0.13130000000000366</v>
      </c>
      <c r="Q477">
        <v>43.067477251280771</v>
      </c>
      <c r="R477">
        <v>0.11170000000000399</v>
      </c>
      <c r="T477">
        <v>0.11350000000000404</v>
      </c>
      <c r="U477">
        <v>0.11480000000000408</v>
      </c>
      <c r="V477">
        <v>0.1086000000000039</v>
      </c>
      <c r="W477">
        <v>0.13360000000000341</v>
      </c>
      <c r="X477">
        <v>0.13130000000000366</v>
      </c>
      <c r="Y477">
        <v>0.11170000000000399</v>
      </c>
    </row>
    <row r="478" spans="1:25" x14ac:dyDescent="0.55000000000000004">
      <c r="A478" t="s">
        <v>611</v>
      </c>
      <c r="B478">
        <v>35.295745888970018</v>
      </c>
      <c r="C478">
        <v>0.12450000000000436</v>
      </c>
      <c r="E478">
        <v>49.753587613733167</v>
      </c>
      <c r="F478">
        <v>0.13170000000000362</v>
      </c>
      <c r="H478">
        <v>40.222700142967412</v>
      </c>
      <c r="I478">
        <v>0.12580000000000427</v>
      </c>
      <c r="K478">
        <v>54.390077587987818</v>
      </c>
      <c r="L478">
        <v>0.13970000000000274</v>
      </c>
      <c r="N478">
        <v>42.492782643434147</v>
      </c>
      <c r="O478">
        <v>0.13050000000000375</v>
      </c>
      <c r="Q478">
        <v>42.784804623052587</v>
      </c>
      <c r="R478">
        <v>0.12770000000000406</v>
      </c>
      <c r="T478">
        <v>0.12450000000000436</v>
      </c>
      <c r="U478">
        <v>0.13170000000000362</v>
      </c>
      <c r="V478">
        <v>0.12580000000000427</v>
      </c>
      <c r="W478">
        <v>0.13970000000000274</v>
      </c>
      <c r="X478">
        <v>0.13050000000000375</v>
      </c>
      <c r="Y478">
        <v>0.12770000000000406</v>
      </c>
    </row>
    <row r="479" spans="1:25" x14ac:dyDescent="0.55000000000000004">
      <c r="A479" t="s">
        <v>612</v>
      </c>
      <c r="B479">
        <v>40.172903501369234</v>
      </c>
      <c r="C479">
        <v>8.0200000000003088E-2</v>
      </c>
      <c r="E479">
        <v>49.966629715891251</v>
      </c>
      <c r="F479">
        <v>0.1086000000000039</v>
      </c>
      <c r="H479">
        <v>44.27396809068231</v>
      </c>
      <c r="I479">
        <v>0.10110000000000369</v>
      </c>
      <c r="K479">
        <v>57.88205261023338</v>
      </c>
      <c r="L479">
        <v>0.11780000000000417</v>
      </c>
      <c r="N479">
        <v>45.373237138521034</v>
      </c>
      <c r="O479">
        <v>0.10970000000000393</v>
      </c>
      <c r="Q479">
        <v>53.50842021965633</v>
      </c>
      <c r="R479">
        <v>0.10240000000000372</v>
      </c>
      <c r="T479">
        <v>8.0200000000003088E-2</v>
      </c>
      <c r="U479">
        <v>0.1086000000000039</v>
      </c>
      <c r="V479">
        <v>0.10110000000000369</v>
      </c>
      <c r="W479">
        <v>0.11780000000000417</v>
      </c>
      <c r="X479">
        <v>0.10970000000000393</v>
      </c>
      <c r="Y479">
        <v>0.10240000000000372</v>
      </c>
    </row>
    <row r="480" spans="1:25" x14ac:dyDescent="0.55000000000000004">
      <c r="A480" t="s">
        <v>613</v>
      </c>
      <c r="B480">
        <v>42.639008023930216</v>
      </c>
      <c r="C480">
        <v>8.1500000000003125E-2</v>
      </c>
      <c r="E480">
        <v>49.823431642011776</v>
      </c>
      <c r="F480">
        <v>0.13090000000000371</v>
      </c>
      <c r="H480">
        <v>41.390797284090709</v>
      </c>
      <c r="I480">
        <v>0.11400000000000406</v>
      </c>
      <c r="K480">
        <v>44.09708545924601</v>
      </c>
      <c r="L480">
        <v>0.13360000000000341</v>
      </c>
      <c r="N480">
        <v>32.922775335263466</v>
      </c>
      <c r="O480">
        <v>0.12140000000000427</v>
      </c>
      <c r="Q480">
        <v>42.370084555153412</v>
      </c>
      <c r="R480">
        <v>8.5800000000003249E-2</v>
      </c>
      <c r="T480">
        <v>8.1500000000003125E-2</v>
      </c>
      <c r="U480">
        <v>0.13090000000000371</v>
      </c>
      <c r="V480">
        <v>0.11400000000000406</v>
      </c>
      <c r="W480">
        <v>0.13360000000000341</v>
      </c>
      <c r="X480">
        <v>0.12140000000000427</v>
      </c>
      <c r="Y480">
        <v>8.5800000000003249E-2</v>
      </c>
    </row>
    <row r="481" spans="1:25" x14ac:dyDescent="0.55000000000000004">
      <c r="A481" t="s">
        <v>614</v>
      </c>
      <c r="B481">
        <v>28.772330079354255</v>
      </c>
      <c r="C481">
        <v>9.3900000000003481E-2</v>
      </c>
      <c r="E481">
        <v>66.023047976444161</v>
      </c>
      <c r="F481">
        <v>0.1086000000000039</v>
      </c>
      <c r="H481">
        <v>39.698845378123522</v>
      </c>
      <c r="I481">
        <v>0.10080000000000368</v>
      </c>
      <c r="K481">
        <v>64.413815674876105</v>
      </c>
      <c r="L481">
        <v>0.12440000000000435</v>
      </c>
      <c r="N481">
        <v>40.296078053542217</v>
      </c>
      <c r="O481">
        <v>8.4400000000003209E-2</v>
      </c>
      <c r="Q481">
        <v>68.328510883938847</v>
      </c>
      <c r="R481">
        <v>8.1200000000003117E-2</v>
      </c>
      <c r="T481">
        <v>9.3900000000003481E-2</v>
      </c>
      <c r="U481">
        <v>0.1086000000000039</v>
      </c>
      <c r="V481">
        <v>0.10080000000000368</v>
      </c>
      <c r="W481">
        <v>0.12440000000000435</v>
      </c>
      <c r="X481">
        <v>8.4400000000003209E-2</v>
      </c>
      <c r="Y481">
        <v>8.1200000000003117E-2</v>
      </c>
    </row>
    <row r="482" spans="1:25" x14ac:dyDescent="0.55000000000000004">
      <c r="A482" t="s">
        <v>615</v>
      </c>
      <c r="B482">
        <v>63.326150765551532</v>
      </c>
      <c r="C482">
        <v>7.3900000000002908E-2</v>
      </c>
      <c r="E482">
        <v>48.224285705337088</v>
      </c>
      <c r="F482">
        <v>0.11120000000000398</v>
      </c>
      <c r="H482">
        <v>41.59370572488757</v>
      </c>
      <c r="I482">
        <v>0.112000000000004</v>
      </c>
      <c r="K482">
        <v>63.257388334288372</v>
      </c>
      <c r="L482">
        <v>0.11480000000000408</v>
      </c>
      <c r="N482">
        <v>37.240545853580848</v>
      </c>
      <c r="O482">
        <v>0.10650000000000384</v>
      </c>
      <c r="Q482">
        <v>53.417419232466564</v>
      </c>
      <c r="R482">
        <v>7.7000000000002997E-2</v>
      </c>
      <c r="T482">
        <v>7.3900000000002908E-2</v>
      </c>
      <c r="U482">
        <v>0.11120000000000398</v>
      </c>
      <c r="V482">
        <v>0.112000000000004</v>
      </c>
      <c r="W482">
        <v>0.11480000000000408</v>
      </c>
      <c r="X482">
        <v>0.10650000000000384</v>
      </c>
      <c r="Y482">
        <v>7.7000000000002997E-2</v>
      </c>
    </row>
    <row r="483" spans="1:25" x14ac:dyDescent="0.55000000000000004">
      <c r="A483" t="s">
        <v>616</v>
      </c>
      <c r="B483">
        <v>54.568228406296548</v>
      </c>
      <c r="C483">
        <v>8.6800000000003277E-2</v>
      </c>
      <c r="E483">
        <v>41.334846755165898</v>
      </c>
      <c r="F483">
        <v>9.9200000000003632E-2</v>
      </c>
      <c r="H483">
        <v>35.81088620525761</v>
      </c>
      <c r="I483">
        <v>9.9900000000003653E-2</v>
      </c>
      <c r="K483">
        <v>81.348123977000711</v>
      </c>
      <c r="L483">
        <v>0.12400000000000434</v>
      </c>
      <c r="N483">
        <v>44.694948146596751</v>
      </c>
      <c r="O483">
        <v>8.830000000000332E-2</v>
      </c>
      <c r="Q483">
        <v>45.525351725910753</v>
      </c>
      <c r="R483">
        <v>8.5300000000003234E-2</v>
      </c>
      <c r="T483">
        <v>8.6800000000003277E-2</v>
      </c>
      <c r="U483">
        <v>9.9200000000003632E-2</v>
      </c>
      <c r="V483">
        <v>9.9900000000003653E-2</v>
      </c>
      <c r="W483">
        <v>0.12400000000000434</v>
      </c>
      <c r="X483">
        <v>8.830000000000332E-2</v>
      </c>
      <c r="Y483">
        <v>8.5300000000003234E-2</v>
      </c>
    </row>
    <row r="484" spans="1:25" x14ac:dyDescent="0.55000000000000004">
      <c r="A484" t="s">
        <v>617</v>
      </c>
      <c r="B484">
        <v>38.644634027151668</v>
      </c>
      <c r="C484">
        <v>7.920000000000306E-2</v>
      </c>
      <c r="E484">
        <v>44.356908200864986</v>
      </c>
      <c r="F484">
        <v>9.5200000000003518E-2</v>
      </c>
      <c r="H484">
        <v>36.749906213153913</v>
      </c>
      <c r="I484">
        <v>0.10080000000000368</v>
      </c>
      <c r="K484">
        <v>43.88809234864371</v>
      </c>
      <c r="L484">
        <v>0.11820000000000418</v>
      </c>
      <c r="N484">
        <v>32.149529922887041</v>
      </c>
      <c r="O484">
        <v>0.10930000000000392</v>
      </c>
      <c r="Q484">
        <v>42.961863380254826</v>
      </c>
      <c r="R484">
        <v>7.5500000000002954E-2</v>
      </c>
      <c r="T484">
        <v>7.920000000000306E-2</v>
      </c>
      <c r="U484">
        <v>9.5200000000003518E-2</v>
      </c>
      <c r="V484">
        <v>0.10080000000000368</v>
      </c>
      <c r="W484">
        <v>0.11820000000000418</v>
      </c>
      <c r="X484">
        <v>0.10930000000000392</v>
      </c>
      <c r="Y484">
        <v>7.5500000000002954E-2</v>
      </c>
    </row>
    <row r="485" spans="1:25" x14ac:dyDescent="0.55000000000000004">
      <c r="A485" t="s">
        <v>618</v>
      </c>
      <c r="B485">
        <v>42.675706921495298</v>
      </c>
      <c r="C485">
        <v>7.9700000000003074E-2</v>
      </c>
      <c r="E485">
        <v>34.858775733796733</v>
      </c>
      <c r="F485">
        <v>9.3800000000003478E-2</v>
      </c>
      <c r="H485">
        <v>35.727022738919864</v>
      </c>
      <c r="I485">
        <v>8.8900000000003337E-2</v>
      </c>
      <c r="K485">
        <v>58.335463471293089</v>
      </c>
      <c r="L485">
        <v>0.10760000000000387</v>
      </c>
      <c r="N485">
        <v>40.610046553094975</v>
      </c>
      <c r="O485">
        <v>0.10220000000000372</v>
      </c>
      <c r="Q485">
        <v>39.796444875329357</v>
      </c>
      <c r="R485">
        <v>9.1000000000003398E-2</v>
      </c>
      <c r="T485">
        <v>7.9700000000003074E-2</v>
      </c>
      <c r="U485">
        <v>9.3800000000003478E-2</v>
      </c>
      <c r="V485">
        <v>8.8900000000003337E-2</v>
      </c>
      <c r="W485">
        <v>0.10760000000000387</v>
      </c>
      <c r="X485">
        <v>0.10220000000000372</v>
      </c>
      <c r="Y485">
        <v>9.1000000000003398E-2</v>
      </c>
    </row>
    <row r="486" spans="1:25" x14ac:dyDescent="0.55000000000000004">
      <c r="A486" t="s">
        <v>619</v>
      </c>
      <c r="B486">
        <v>48.96914239679522</v>
      </c>
      <c r="C486">
        <v>7.1700000000002845E-2</v>
      </c>
      <c r="E486">
        <v>58.148047752390987</v>
      </c>
      <c r="F486">
        <v>0.10990000000000394</v>
      </c>
      <c r="H486">
        <v>44.385805336877986</v>
      </c>
      <c r="I486">
        <v>0.10400000000000377</v>
      </c>
      <c r="K486">
        <v>42.930896159880902</v>
      </c>
      <c r="L486">
        <v>0.10110000000000369</v>
      </c>
      <c r="N486">
        <v>40.460208876049514</v>
      </c>
      <c r="O486">
        <v>8.9400000000003352E-2</v>
      </c>
      <c r="Q486">
        <v>54.791697118415357</v>
      </c>
      <c r="R486">
        <v>8.8500000000003326E-2</v>
      </c>
      <c r="T486">
        <v>7.1700000000002845E-2</v>
      </c>
      <c r="U486">
        <v>0.10990000000000394</v>
      </c>
      <c r="V486">
        <v>0.10400000000000377</v>
      </c>
      <c r="W486">
        <v>0.10110000000000369</v>
      </c>
      <c r="X486">
        <v>8.9400000000003352E-2</v>
      </c>
      <c r="Y486">
        <v>8.8500000000003326E-2</v>
      </c>
    </row>
    <row r="487" spans="1:25" x14ac:dyDescent="0.55000000000000004">
      <c r="A487" t="s">
        <v>620</v>
      </c>
      <c r="B487">
        <v>41.95833861885793</v>
      </c>
      <c r="C487">
        <v>8.3500000000003183E-2</v>
      </c>
      <c r="E487">
        <v>49.159881803082904</v>
      </c>
      <c r="F487">
        <v>9.7900000000003595E-2</v>
      </c>
      <c r="H487">
        <v>38.911910538584742</v>
      </c>
      <c r="I487">
        <v>0.11010000000000394</v>
      </c>
      <c r="K487">
        <v>52.729498153727903</v>
      </c>
      <c r="L487">
        <v>0.12100000000000426</v>
      </c>
      <c r="N487">
        <v>64.848835598094368</v>
      </c>
      <c r="O487">
        <v>0.12960000000000385</v>
      </c>
      <c r="Q487">
        <v>48.963519846838544</v>
      </c>
      <c r="R487">
        <v>0.10130000000000369</v>
      </c>
      <c r="T487">
        <v>8.3500000000003183E-2</v>
      </c>
      <c r="U487">
        <v>9.7900000000003595E-2</v>
      </c>
      <c r="V487">
        <v>0.11010000000000394</v>
      </c>
      <c r="W487">
        <v>0.12100000000000426</v>
      </c>
      <c r="X487">
        <v>0.12960000000000385</v>
      </c>
      <c r="Y487">
        <v>0.10130000000000369</v>
      </c>
    </row>
    <row r="488" spans="1:25" x14ac:dyDescent="0.55000000000000004">
      <c r="A488" t="s">
        <v>621</v>
      </c>
      <c r="B488">
        <v>45.846838722612723</v>
      </c>
      <c r="C488">
        <v>7.5600000000002957E-2</v>
      </c>
      <c r="E488">
        <v>42.299088552108408</v>
      </c>
      <c r="F488">
        <v>0.12740000000000409</v>
      </c>
      <c r="H488">
        <v>36.087363582993333</v>
      </c>
      <c r="I488">
        <v>0.11760000000000416</v>
      </c>
      <c r="K488">
        <v>48.957784203397281</v>
      </c>
      <c r="L488">
        <v>0.12990000000000382</v>
      </c>
      <c r="N488">
        <v>31.839251985581193</v>
      </c>
      <c r="O488">
        <v>0.10750000000000387</v>
      </c>
      <c r="Q488">
        <v>43.382220936984652</v>
      </c>
      <c r="R488">
        <v>9.6700000000003561E-2</v>
      </c>
      <c r="T488">
        <v>7.5600000000002957E-2</v>
      </c>
      <c r="U488">
        <v>0.12740000000000409</v>
      </c>
      <c r="V488">
        <v>0.11760000000000416</v>
      </c>
      <c r="W488">
        <v>0.12990000000000382</v>
      </c>
      <c r="X488">
        <v>0.10750000000000387</v>
      </c>
      <c r="Y488">
        <v>9.6700000000003561E-2</v>
      </c>
    </row>
    <row r="489" spans="1:25" x14ac:dyDescent="0.55000000000000004">
      <c r="A489" t="s">
        <v>622</v>
      </c>
      <c r="B489">
        <v>64.092929341235731</v>
      </c>
      <c r="C489">
        <v>6.5000000000002653E-2</v>
      </c>
      <c r="E489">
        <v>47.522000171093083</v>
      </c>
      <c r="F489">
        <v>0.11690000000000414</v>
      </c>
      <c r="H489">
        <v>47.545224787256267</v>
      </c>
      <c r="I489">
        <v>0.10830000000000389</v>
      </c>
      <c r="K489">
        <v>62.11134203859249</v>
      </c>
      <c r="L489">
        <v>0.12070000000000425</v>
      </c>
      <c r="N489">
        <v>38.196746888630422</v>
      </c>
      <c r="O489">
        <v>0.10790000000000388</v>
      </c>
      <c r="Q489">
        <v>57.296194067226054</v>
      </c>
      <c r="R489">
        <v>9.2000000000003426E-2</v>
      </c>
      <c r="T489">
        <v>6.5000000000002653E-2</v>
      </c>
      <c r="U489">
        <v>0.11690000000000414</v>
      </c>
      <c r="V489">
        <v>0.10830000000000389</v>
      </c>
      <c r="W489">
        <v>0.12070000000000425</v>
      </c>
      <c r="X489">
        <v>0.10790000000000388</v>
      </c>
      <c r="Y489">
        <v>9.2000000000003426E-2</v>
      </c>
    </row>
    <row r="490" spans="1:25" x14ac:dyDescent="0.55000000000000004">
      <c r="A490" t="s">
        <v>623</v>
      </c>
      <c r="B490">
        <v>36.485780045561029</v>
      </c>
      <c r="C490">
        <v>8.8700000000003332E-2</v>
      </c>
      <c r="E490">
        <v>40.297000657430509</v>
      </c>
      <c r="F490">
        <v>0.11710000000000415</v>
      </c>
      <c r="H490">
        <v>34.002412575296376</v>
      </c>
      <c r="I490">
        <v>0.1084000000000039</v>
      </c>
      <c r="K490">
        <v>96.849809036864528</v>
      </c>
      <c r="L490">
        <v>0.11720000000000415</v>
      </c>
      <c r="N490">
        <v>56.691597486738104</v>
      </c>
      <c r="O490">
        <v>9.2500000000003441E-2</v>
      </c>
      <c r="Q490">
        <v>60.571073630039244</v>
      </c>
      <c r="R490">
        <v>8.8500000000003326E-2</v>
      </c>
      <c r="T490">
        <v>8.8700000000003332E-2</v>
      </c>
      <c r="U490">
        <v>0.11710000000000415</v>
      </c>
      <c r="V490">
        <v>0.1084000000000039</v>
      </c>
      <c r="W490">
        <v>0.11720000000000415</v>
      </c>
      <c r="X490">
        <v>9.2500000000003441E-2</v>
      </c>
      <c r="Y490">
        <v>8.8500000000003326E-2</v>
      </c>
    </row>
    <row r="491" spans="1:25" x14ac:dyDescent="0.55000000000000004">
      <c r="A491" t="s">
        <v>624</v>
      </c>
      <c r="B491">
        <v>46.704963810699581</v>
      </c>
      <c r="C491">
        <v>8.6000000000003254E-2</v>
      </c>
      <c r="E491">
        <v>42.580882588606158</v>
      </c>
      <c r="F491">
        <v>0.11090000000000397</v>
      </c>
      <c r="H491">
        <v>34.961419233072625</v>
      </c>
      <c r="I491">
        <v>0.11570000000000411</v>
      </c>
      <c r="K491">
        <v>54.193788758380968</v>
      </c>
      <c r="L491">
        <v>0.12190000000000428</v>
      </c>
      <c r="N491">
        <v>45.583289360095307</v>
      </c>
      <c r="O491">
        <v>0.11980000000000422</v>
      </c>
      <c r="Q491">
        <v>35.807692126160049</v>
      </c>
      <c r="R491">
        <v>0.10450000000000378</v>
      </c>
      <c r="T491">
        <v>8.6000000000003254E-2</v>
      </c>
      <c r="U491">
        <v>0.11090000000000397</v>
      </c>
      <c r="V491">
        <v>0.11570000000000411</v>
      </c>
      <c r="W491">
        <v>0.12190000000000428</v>
      </c>
      <c r="X491">
        <v>0.11980000000000422</v>
      </c>
      <c r="Y491">
        <v>0.10450000000000378</v>
      </c>
    </row>
    <row r="492" spans="1:25" x14ac:dyDescent="0.55000000000000004">
      <c r="A492" t="s">
        <v>625</v>
      </c>
      <c r="B492">
        <v>38.75644901298903</v>
      </c>
      <c r="C492">
        <v>0.10010000000000366</v>
      </c>
      <c r="E492">
        <v>46.725474151010474</v>
      </c>
      <c r="F492">
        <v>0.11270000000000402</v>
      </c>
      <c r="H492">
        <v>41.449523794638758</v>
      </c>
      <c r="I492">
        <v>0.10480000000000379</v>
      </c>
      <c r="K492">
        <v>67.177055791698024</v>
      </c>
      <c r="L492">
        <v>0.12180000000000428</v>
      </c>
      <c r="N492">
        <v>44.85271062083045</v>
      </c>
      <c r="O492">
        <v>0.11330000000000404</v>
      </c>
      <c r="Q492">
        <v>44.568201905011897</v>
      </c>
      <c r="R492">
        <v>0.10320000000000375</v>
      </c>
      <c r="T492">
        <v>0.10010000000000366</v>
      </c>
      <c r="U492">
        <v>0.11270000000000402</v>
      </c>
      <c r="V492">
        <v>0.10480000000000379</v>
      </c>
      <c r="W492">
        <v>0.12180000000000428</v>
      </c>
      <c r="X492">
        <v>0.11330000000000404</v>
      </c>
      <c r="Y492">
        <v>0.10320000000000375</v>
      </c>
    </row>
    <row r="493" spans="1:25" x14ac:dyDescent="0.55000000000000004">
      <c r="A493" t="s">
        <v>626</v>
      </c>
      <c r="B493">
        <v>55.166615183188604</v>
      </c>
      <c r="C493">
        <v>8.6400000000003266E-2</v>
      </c>
      <c r="E493">
        <v>44.040382686910689</v>
      </c>
      <c r="F493">
        <v>9.2200000000003432E-2</v>
      </c>
      <c r="H493">
        <v>40.532162699229531</v>
      </c>
      <c r="I493">
        <v>0.11740000000000415</v>
      </c>
      <c r="K493">
        <v>55.080201312089336</v>
      </c>
      <c r="L493">
        <v>0.12150000000000427</v>
      </c>
      <c r="N493">
        <v>43.850839296634128</v>
      </c>
      <c r="O493">
        <v>0.10030000000000366</v>
      </c>
      <c r="Q493">
        <v>45.497755317383053</v>
      </c>
      <c r="R493">
        <v>7.3800000000002905E-2</v>
      </c>
      <c r="T493">
        <v>8.6400000000003266E-2</v>
      </c>
      <c r="U493">
        <v>9.2200000000003432E-2</v>
      </c>
      <c r="V493">
        <v>0.11740000000000415</v>
      </c>
      <c r="W493">
        <v>0.12150000000000427</v>
      </c>
      <c r="X493">
        <v>0.10030000000000366</v>
      </c>
      <c r="Y493">
        <v>7.3800000000002905E-2</v>
      </c>
    </row>
    <row r="494" spans="1:25" x14ac:dyDescent="0.55000000000000004">
      <c r="A494" t="s">
        <v>627</v>
      </c>
      <c r="B494">
        <v>46.741681253947398</v>
      </c>
      <c r="C494">
        <v>7.7900000000003022E-2</v>
      </c>
      <c r="E494">
        <v>45.418571234619854</v>
      </c>
      <c r="F494">
        <v>0.12070000000000425</v>
      </c>
      <c r="H494">
        <v>41.459816305705935</v>
      </c>
      <c r="I494">
        <v>0.10570000000000382</v>
      </c>
      <c r="K494">
        <v>58.928640160132254</v>
      </c>
      <c r="L494">
        <v>0.1087000000000039</v>
      </c>
      <c r="N494">
        <v>54.13840662258611</v>
      </c>
      <c r="O494">
        <v>0.12100000000000426</v>
      </c>
      <c r="Q494">
        <v>56.492178530694517</v>
      </c>
      <c r="R494">
        <v>7.9400000000003065E-2</v>
      </c>
      <c r="T494">
        <v>7.7900000000003022E-2</v>
      </c>
      <c r="U494">
        <v>0.12070000000000425</v>
      </c>
      <c r="V494">
        <v>0.10570000000000382</v>
      </c>
      <c r="W494">
        <v>0.1087000000000039</v>
      </c>
      <c r="X494">
        <v>0.12100000000000426</v>
      </c>
      <c r="Y494">
        <v>7.9400000000003065E-2</v>
      </c>
    </row>
    <row r="495" spans="1:25" x14ac:dyDescent="0.55000000000000004">
      <c r="A495" t="s">
        <v>628</v>
      </c>
      <c r="B495">
        <v>51.757493783225414</v>
      </c>
      <c r="C495">
        <v>7.6100000000002971E-2</v>
      </c>
      <c r="E495">
        <v>48.484456353614995</v>
      </c>
      <c r="F495">
        <v>0.10060000000000367</v>
      </c>
      <c r="H495">
        <v>42.797605735459769</v>
      </c>
      <c r="I495">
        <v>0.10040000000000367</v>
      </c>
      <c r="K495">
        <v>49.00927716016821</v>
      </c>
      <c r="L495">
        <v>0.12610000000000424</v>
      </c>
      <c r="N495">
        <v>37.967823813074524</v>
      </c>
      <c r="O495">
        <v>9.7200000000003575E-2</v>
      </c>
      <c r="Q495">
        <v>57.217804539835164</v>
      </c>
      <c r="R495">
        <v>9.4200000000003489E-2</v>
      </c>
      <c r="T495">
        <v>7.6100000000002971E-2</v>
      </c>
      <c r="U495">
        <v>0.10060000000000367</v>
      </c>
      <c r="V495">
        <v>0.10040000000000367</v>
      </c>
      <c r="W495">
        <v>0.12610000000000424</v>
      </c>
      <c r="X495">
        <v>9.7200000000003575E-2</v>
      </c>
      <c r="Y495">
        <v>9.4200000000003489E-2</v>
      </c>
    </row>
    <row r="496" spans="1:25" x14ac:dyDescent="0.55000000000000004">
      <c r="A496" t="s">
        <v>459</v>
      </c>
      <c r="B496">
        <v>34.970100000000002</v>
      </c>
      <c r="C496">
        <v>8.2600000000001728E-2</v>
      </c>
      <c r="E496">
        <v>60.834699999999998</v>
      </c>
      <c r="F496">
        <v>0.10000000000000223</v>
      </c>
      <c r="H496">
        <v>36.0608</v>
      </c>
      <c r="I496">
        <v>0.10530000000000238</v>
      </c>
      <c r="T496">
        <v>8.2600000000001728E-2</v>
      </c>
      <c r="U496">
        <v>0.10000000000000223</v>
      </c>
      <c r="V496">
        <v>0.10530000000000238</v>
      </c>
    </row>
    <row r="497" spans="1:22" x14ac:dyDescent="0.55000000000000004">
      <c r="A497" t="s">
        <v>460</v>
      </c>
      <c r="B497">
        <v>31.692699999999999</v>
      </c>
      <c r="C497">
        <v>8.1400000000001693E-2</v>
      </c>
      <c r="E497">
        <v>81.777900000000002</v>
      </c>
      <c r="F497">
        <v>0.10300000000000231</v>
      </c>
      <c r="H497">
        <v>45.396999999999998</v>
      </c>
      <c r="I497">
        <v>0.10350000000000233</v>
      </c>
      <c r="T497">
        <v>8.1400000000001693E-2</v>
      </c>
      <c r="U497">
        <v>0.10300000000000231</v>
      </c>
      <c r="V497">
        <v>0.10350000000000233</v>
      </c>
    </row>
    <row r="498" spans="1:22" x14ac:dyDescent="0.55000000000000004">
      <c r="A498" t="s">
        <v>461</v>
      </c>
      <c r="B498">
        <v>29.397400000000001</v>
      </c>
      <c r="C498">
        <v>8.6400000000001836E-2</v>
      </c>
      <c r="E498">
        <v>56.585700000000003</v>
      </c>
      <c r="F498">
        <v>0.10010000000000223</v>
      </c>
      <c r="H498">
        <v>37.5105</v>
      </c>
      <c r="I498">
        <v>0.10110000000000226</v>
      </c>
      <c r="T498">
        <v>8.6400000000001836E-2</v>
      </c>
      <c r="U498">
        <v>0.10010000000000223</v>
      </c>
      <c r="V498">
        <v>0.10110000000000226</v>
      </c>
    </row>
    <row r="499" spans="1:22" x14ac:dyDescent="0.55000000000000004">
      <c r="A499" t="s">
        <v>462</v>
      </c>
      <c r="B499">
        <v>38.982700000000001</v>
      </c>
      <c r="C499">
        <v>7.9100000000001627E-2</v>
      </c>
      <c r="E499">
        <v>48.757899999999999</v>
      </c>
      <c r="F499">
        <v>0.10770000000000245</v>
      </c>
      <c r="H499">
        <v>49.579000000000001</v>
      </c>
      <c r="I499">
        <v>0.10530000000000238</v>
      </c>
      <c r="T499">
        <v>7.9100000000001627E-2</v>
      </c>
      <c r="U499">
        <v>0.10770000000000245</v>
      </c>
      <c r="V499">
        <v>0.10530000000000238</v>
      </c>
    </row>
    <row r="500" spans="1:22" x14ac:dyDescent="0.55000000000000004">
      <c r="A500" t="s">
        <v>463</v>
      </c>
      <c r="B500">
        <v>41.800600000000003</v>
      </c>
      <c r="C500">
        <v>7.7600000000001584E-2</v>
      </c>
      <c r="E500">
        <v>66.406499999999994</v>
      </c>
      <c r="F500">
        <v>0.11180000000000256</v>
      </c>
      <c r="H500">
        <v>52.180599999999998</v>
      </c>
      <c r="I500">
        <v>0.10640000000000241</v>
      </c>
      <c r="T500">
        <v>7.7600000000001584E-2</v>
      </c>
      <c r="U500">
        <v>0.11180000000000256</v>
      </c>
      <c r="V500">
        <v>0.10640000000000241</v>
      </c>
    </row>
    <row r="501" spans="1:22" x14ac:dyDescent="0.55000000000000004">
      <c r="A501" t="s">
        <v>464</v>
      </c>
      <c r="B501">
        <v>63.188200000000002</v>
      </c>
      <c r="C501">
        <v>9.0400000000001951E-2</v>
      </c>
      <c r="E501">
        <v>48.180199999999999</v>
      </c>
      <c r="F501">
        <v>0.10830000000000246</v>
      </c>
      <c r="H501">
        <v>43.310400000000001</v>
      </c>
      <c r="I501">
        <v>0.11050000000000253</v>
      </c>
      <c r="T501">
        <v>9.0400000000001951E-2</v>
      </c>
      <c r="U501">
        <v>0.10830000000000246</v>
      </c>
      <c r="V501">
        <v>0.11050000000000253</v>
      </c>
    </row>
    <row r="502" spans="1:22" x14ac:dyDescent="0.55000000000000004">
      <c r="A502" t="s">
        <v>465</v>
      </c>
      <c r="B502">
        <v>35.871499999999997</v>
      </c>
      <c r="C502">
        <v>9.8100000000002172E-2</v>
      </c>
      <c r="E502">
        <v>42.536099999999998</v>
      </c>
      <c r="F502">
        <v>0.10690000000000242</v>
      </c>
      <c r="H502">
        <v>43.639000000000003</v>
      </c>
      <c r="I502">
        <v>0.11810000000000274</v>
      </c>
      <c r="T502">
        <v>9.8100000000002172E-2</v>
      </c>
      <c r="U502">
        <v>0.10690000000000242</v>
      </c>
      <c r="V502">
        <v>0.11810000000000274</v>
      </c>
    </row>
    <row r="503" spans="1:22" x14ac:dyDescent="0.55000000000000004">
      <c r="A503" t="s">
        <v>466</v>
      </c>
      <c r="B503">
        <v>36.718800000000002</v>
      </c>
      <c r="C503">
        <v>7.6700000000001559E-2</v>
      </c>
      <c r="E503">
        <v>77.063400000000001</v>
      </c>
      <c r="F503">
        <v>0.10490000000000237</v>
      </c>
      <c r="H503">
        <v>47.493600000000001</v>
      </c>
      <c r="I503">
        <v>9.6800000000002134E-2</v>
      </c>
      <c r="T503">
        <v>7.6700000000001559E-2</v>
      </c>
      <c r="U503">
        <v>0.10490000000000237</v>
      </c>
      <c r="V503">
        <v>9.6800000000002134E-2</v>
      </c>
    </row>
    <row r="504" spans="1:22" x14ac:dyDescent="0.55000000000000004">
      <c r="A504" t="s">
        <v>467</v>
      </c>
      <c r="B504">
        <v>36.3369</v>
      </c>
      <c r="C504">
        <v>7.9300000000001633E-2</v>
      </c>
      <c r="E504">
        <v>61.0182</v>
      </c>
      <c r="F504">
        <v>9.8700000000002189E-2</v>
      </c>
      <c r="H504">
        <v>55.735199999999999</v>
      </c>
      <c r="I504">
        <v>0.11150000000000256</v>
      </c>
      <c r="T504">
        <v>7.9300000000001633E-2</v>
      </c>
      <c r="U504">
        <v>9.8700000000002189E-2</v>
      </c>
      <c r="V504">
        <v>0.11150000000000256</v>
      </c>
    </row>
    <row r="505" spans="1:22" x14ac:dyDescent="0.55000000000000004">
      <c r="A505" t="s">
        <v>468</v>
      </c>
      <c r="B505">
        <v>57.007399999999997</v>
      </c>
      <c r="C505">
        <v>5.7800000000001024E-2</v>
      </c>
      <c r="E505">
        <v>87.152900000000002</v>
      </c>
      <c r="F505">
        <v>9.5200000000002089E-2</v>
      </c>
      <c r="H505">
        <v>51.986499999999999</v>
      </c>
      <c r="I505">
        <v>9.1900000000001994E-2</v>
      </c>
      <c r="T505">
        <v>5.7800000000001024E-2</v>
      </c>
      <c r="U505">
        <v>9.5200000000002089E-2</v>
      </c>
      <c r="V505">
        <v>9.1900000000001994E-2</v>
      </c>
    </row>
    <row r="506" spans="1:22" x14ac:dyDescent="0.55000000000000004">
      <c r="A506" t="s">
        <v>469</v>
      </c>
      <c r="B506">
        <v>36.931899999999999</v>
      </c>
      <c r="C506">
        <v>9.5500000000002097E-2</v>
      </c>
      <c r="E506">
        <v>59.038400000000003</v>
      </c>
      <c r="F506">
        <v>9.280000000000202E-2</v>
      </c>
      <c r="H506">
        <v>43.195300000000003</v>
      </c>
      <c r="I506">
        <v>9.9400000000002209E-2</v>
      </c>
      <c r="T506">
        <v>9.5500000000002097E-2</v>
      </c>
      <c r="U506">
        <v>9.280000000000202E-2</v>
      </c>
      <c r="V506">
        <v>9.9400000000002209E-2</v>
      </c>
    </row>
    <row r="507" spans="1:22" x14ac:dyDescent="0.55000000000000004">
      <c r="A507" t="s">
        <v>470</v>
      </c>
      <c r="B507">
        <v>35.376600000000003</v>
      </c>
      <c r="C507">
        <v>8.8600000000001899E-2</v>
      </c>
      <c r="E507">
        <v>145.75489999999999</v>
      </c>
      <c r="F507">
        <v>0.23859999999999043</v>
      </c>
      <c r="H507">
        <v>41.292299999999997</v>
      </c>
      <c r="I507">
        <v>0.10170000000000227</v>
      </c>
      <c r="T507">
        <v>8.8600000000001899E-2</v>
      </c>
      <c r="U507">
        <v>0.23859999999999043</v>
      </c>
      <c r="V507">
        <v>0.10170000000000227</v>
      </c>
    </row>
    <row r="508" spans="1:22" x14ac:dyDescent="0.55000000000000004">
      <c r="A508" t="s">
        <v>471</v>
      </c>
      <c r="B508">
        <v>51.896599999999999</v>
      </c>
      <c r="C508">
        <v>9.1800000000001991E-2</v>
      </c>
      <c r="E508">
        <v>58.385899999999999</v>
      </c>
      <c r="F508">
        <v>0.10010000000000223</v>
      </c>
      <c r="H508">
        <v>43.567700000000002</v>
      </c>
      <c r="I508">
        <v>9.8200000000002174E-2</v>
      </c>
      <c r="T508">
        <v>9.1800000000001991E-2</v>
      </c>
      <c r="U508">
        <v>0.10010000000000223</v>
      </c>
      <c r="V508">
        <v>9.8200000000002174E-2</v>
      </c>
    </row>
    <row r="509" spans="1:22" x14ac:dyDescent="0.55000000000000004">
      <c r="A509" t="s">
        <v>472</v>
      </c>
      <c r="B509">
        <v>89.223100000000002</v>
      </c>
      <c r="C509">
        <v>7.8300000000001604E-2</v>
      </c>
      <c r="E509">
        <v>96.009799999999998</v>
      </c>
      <c r="F509">
        <v>9.8800000000002192E-2</v>
      </c>
      <c r="H509">
        <v>47.4392</v>
      </c>
      <c r="I509">
        <v>9.5100000000002086E-2</v>
      </c>
      <c r="T509">
        <v>7.8300000000001604E-2</v>
      </c>
      <c r="U509">
        <v>9.8800000000002192E-2</v>
      </c>
      <c r="V509">
        <v>9.5100000000002086E-2</v>
      </c>
    </row>
    <row r="510" spans="1:22" x14ac:dyDescent="0.55000000000000004">
      <c r="A510" t="s">
        <v>473</v>
      </c>
      <c r="B510">
        <v>38.620800000000003</v>
      </c>
      <c r="C510">
        <v>9.6500000000002126E-2</v>
      </c>
      <c r="E510">
        <v>75.945099999999996</v>
      </c>
      <c r="F510">
        <v>9.9900000000002223E-2</v>
      </c>
      <c r="H510">
        <v>49.4116</v>
      </c>
      <c r="I510">
        <v>0.10670000000000242</v>
      </c>
      <c r="T510">
        <v>9.6500000000002126E-2</v>
      </c>
      <c r="U510">
        <v>9.9900000000002223E-2</v>
      </c>
      <c r="V510">
        <v>0.10670000000000242</v>
      </c>
    </row>
    <row r="511" spans="1:22" x14ac:dyDescent="0.55000000000000004">
      <c r="A511" t="s">
        <v>474</v>
      </c>
      <c r="B511">
        <v>34.1203</v>
      </c>
      <c r="C511">
        <v>7.150000000000141E-2</v>
      </c>
      <c r="E511">
        <v>71.995500000000007</v>
      </c>
      <c r="F511">
        <v>0.10500000000000237</v>
      </c>
      <c r="H511">
        <v>58.544199999999996</v>
      </c>
      <c r="I511">
        <v>0.1025000000000023</v>
      </c>
      <c r="T511">
        <v>7.150000000000141E-2</v>
      </c>
      <c r="U511">
        <v>0.10500000000000237</v>
      </c>
      <c r="V511">
        <v>0.1025000000000023</v>
      </c>
    </row>
    <row r="512" spans="1:22" x14ac:dyDescent="0.55000000000000004">
      <c r="A512" t="s">
        <v>475</v>
      </c>
      <c r="B512">
        <v>43.453800000000001</v>
      </c>
      <c r="C512">
        <v>8.8200000000001888E-2</v>
      </c>
      <c r="E512">
        <v>44.707500000000003</v>
      </c>
      <c r="F512">
        <v>0.10680000000000242</v>
      </c>
      <c r="H512">
        <v>46.5379</v>
      </c>
      <c r="I512">
        <v>9.91000000000022E-2</v>
      </c>
      <c r="T512">
        <v>8.8200000000001888E-2</v>
      </c>
      <c r="U512">
        <v>0.10680000000000242</v>
      </c>
      <c r="V512">
        <v>9.91000000000022E-2</v>
      </c>
    </row>
    <row r="513" spans="1:22" x14ac:dyDescent="0.55000000000000004">
      <c r="A513" t="s">
        <v>476</v>
      </c>
      <c r="B513">
        <v>50.3446</v>
      </c>
      <c r="C513">
        <v>6.6600000000001269E-2</v>
      </c>
      <c r="E513">
        <v>74.9649</v>
      </c>
      <c r="F513">
        <v>0.10320000000000232</v>
      </c>
      <c r="H513">
        <v>50.775199999999998</v>
      </c>
      <c r="I513">
        <v>0.11090000000000254</v>
      </c>
      <c r="T513">
        <v>6.6600000000001269E-2</v>
      </c>
      <c r="U513">
        <v>0.10320000000000232</v>
      </c>
      <c r="V513">
        <v>0.11090000000000254</v>
      </c>
    </row>
    <row r="514" spans="1:22" x14ac:dyDescent="0.55000000000000004">
      <c r="A514" t="s">
        <v>477</v>
      </c>
      <c r="B514">
        <v>41.606200000000001</v>
      </c>
      <c r="C514">
        <v>8.7600000000001871E-2</v>
      </c>
      <c r="E514">
        <v>61.084699999999998</v>
      </c>
      <c r="F514">
        <v>9.9000000000002197E-2</v>
      </c>
      <c r="H514">
        <v>51.996499999999997</v>
      </c>
      <c r="I514">
        <v>0.11010000000000252</v>
      </c>
      <c r="T514">
        <v>8.7600000000001871E-2</v>
      </c>
      <c r="U514">
        <v>9.9000000000002197E-2</v>
      </c>
      <c r="V514">
        <v>0.11010000000000252</v>
      </c>
    </row>
    <row r="515" spans="1:22" x14ac:dyDescent="0.55000000000000004">
      <c r="A515" t="s">
        <v>478</v>
      </c>
      <c r="B515">
        <v>73.818299999999994</v>
      </c>
      <c r="C515">
        <v>7.8600000000001613E-2</v>
      </c>
      <c r="E515">
        <v>48.6736</v>
      </c>
      <c r="F515">
        <v>0.11730000000000272</v>
      </c>
      <c r="H515">
        <v>46.0336</v>
      </c>
      <c r="I515">
        <v>9.7900000000002166E-2</v>
      </c>
      <c r="T515">
        <v>7.8600000000001613E-2</v>
      </c>
      <c r="U515">
        <v>0.11730000000000272</v>
      </c>
      <c r="V515">
        <v>9.7900000000002166E-2</v>
      </c>
    </row>
    <row r="516" spans="1:22" x14ac:dyDescent="0.55000000000000004">
      <c r="A516" t="s">
        <v>479</v>
      </c>
      <c r="B516">
        <v>41.368600000000001</v>
      </c>
      <c r="C516">
        <v>7.9300000000001633E-2</v>
      </c>
      <c r="E516">
        <v>73.061800000000005</v>
      </c>
      <c r="F516">
        <v>0.10180000000000228</v>
      </c>
      <c r="H516">
        <v>58.397799999999997</v>
      </c>
      <c r="I516">
        <v>0.10590000000000239</v>
      </c>
      <c r="T516">
        <v>7.9300000000001633E-2</v>
      </c>
      <c r="U516">
        <v>0.10180000000000228</v>
      </c>
      <c r="V516">
        <v>0.10590000000000239</v>
      </c>
    </row>
    <row r="517" spans="1:22" x14ac:dyDescent="0.55000000000000004">
      <c r="A517" t="s">
        <v>480</v>
      </c>
      <c r="B517">
        <v>44.358600000000003</v>
      </c>
      <c r="C517">
        <v>6.7600000000001298E-2</v>
      </c>
      <c r="E517">
        <v>73.555800000000005</v>
      </c>
      <c r="F517">
        <v>0.10220000000000229</v>
      </c>
      <c r="H517">
        <v>51.301099999999998</v>
      </c>
      <c r="I517">
        <v>0.11730000000000272</v>
      </c>
      <c r="T517">
        <v>6.7600000000001298E-2</v>
      </c>
      <c r="U517">
        <v>0.10220000000000229</v>
      </c>
      <c r="V517">
        <v>0.11730000000000272</v>
      </c>
    </row>
    <row r="518" spans="1:22" x14ac:dyDescent="0.55000000000000004">
      <c r="A518" t="s">
        <v>481</v>
      </c>
      <c r="B518">
        <v>41.99</v>
      </c>
      <c r="C518">
        <v>7.3100000000001455E-2</v>
      </c>
      <c r="E518">
        <v>58.461399999999998</v>
      </c>
      <c r="F518">
        <v>9.7500000000002154E-2</v>
      </c>
      <c r="H518">
        <v>44.209099999999999</v>
      </c>
      <c r="I518">
        <v>0.10980000000000251</v>
      </c>
      <c r="T518">
        <v>7.3100000000001455E-2</v>
      </c>
      <c r="U518">
        <v>9.7500000000002154E-2</v>
      </c>
      <c r="V518">
        <v>0.10980000000000251</v>
      </c>
    </row>
    <row r="519" spans="1:22" x14ac:dyDescent="0.55000000000000004">
      <c r="A519" t="s">
        <v>482</v>
      </c>
      <c r="B519">
        <v>40.692399999999999</v>
      </c>
      <c r="C519">
        <v>7.080000000000139E-2</v>
      </c>
      <c r="E519">
        <v>66.207499999999996</v>
      </c>
      <c r="F519">
        <v>9.5800000000002106E-2</v>
      </c>
      <c r="H519">
        <v>52.219900000000003</v>
      </c>
      <c r="I519">
        <v>0.10310000000000231</v>
      </c>
      <c r="T519">
        <v>7.080000000000139E-2</v>
      </c>
      <c r="U519">
        <v>9.5800000000002106E-2</v>
      </c>
      <c r="V519">
        <v>0.10310000000000231</v>
      </c>
    </row>
    <row r="520" spans="1:22" x14ac:dyDescent="0.55000000000000004">
      <c r="A520" t="s">
        <v>483</v>
      </c>
      <c r="B520">
        <v>41.600299999999997</v>
      </c>
      <c r="C520">
        <v>6.9300000000001347E-2</v>
      </c>
      <c r="E520">
        <v>54.998899999999999</v>
      </c>
      <c r="F520">
        <v>8.8700000000001902E-2</v>
      </c>
      <c r="H520">
        <v>48.550400000000003</v>
      </c>
      <c r="I520">
        <v>0.10840000000000247</v>
      </c>
      <c r="T520">
        <v>6.9300000000001347E-2</v>
      </c>
      <c r="U520">
        <v>8.8700000000001902E-2</v>
      </c>
      <c r="V520">
        <v>0.10840000000000247</v>
      </c>
    </row>
    <row r="521" spans="1:22" x14ac:dyDescent="0.55000000000000004">
      <c r="A521" t="s">
        <v>484</v>
      </c>
      <c r="B521">
        <v>147.94059999999999</v>
      </c>
      <c r="C521">
        <v>0.13530000000000181</v>
      </c>
      <c r="E521">
        <v>53.219799999999999</v>
      </c>
      <c r="F521">
        <v>9.8000000000002169E-2</v>
      </c>
      <c r="H521">
        <v>50.878999999999998</v>
      </c>
      <c r="I521">
        <v>0.10040000000000224</v>
      </c>
      <c r="T521">
        <v>0.13530000000000181</v>
      </c>
      <c r="U521">
        <v>9.8000000000002169E-2</v>
      </c>
      <c r="V521">
        <v>0.10040000000000224</v>
      </c>
    </row>
    <row r="522" spans="1:22" x14ac:dyDescent="0.55000000000000004">
      <c r="A522" t="s">
        <v>485</v>
      </c>
      <c r="B522">
        <v>40.0184</v>
      </c>
      <c r="C522">
        <v>6.9000000000001338E-2</v>
      </c>
      <c r="E522">
        <v>121.83969999999999</v>
      </c>
      <c r="F522">
        <v>0.1025000000000023</v>
      </c>
      <c r="H522">
        <v>52.427799999999998</v>
      </c>
      <c r="I522">
        <v>9.7500000000002154E-2</v>
      </c>
      <c r="T522">
        <v>6.9000000000001338E-2</v>
      </c>
      <c r="U522">
        <v>0.1025000000000023</v>
      </c>
      <c r="V522">
        <v>9.7500000000002154E-2</v>
      </c>
    </row>
    <row r="523" spans="1:22" x14ac:dyDescent="0.55000000000000004">
      <c r="A523" t="s">
        <v>486</v>
      </c>
      <c r="B523">
        <v>39.463087000000002</v>
      </c>
      <c r="C523">
        <v>7.6300000000002977E-2</v>
      </c>
      <c r="E523">
        <v>40.720205999999997</v>
      </c>
      <c r="F523">
        <v>0.10420000000000378</v>
      </c>
      <c r="H523">
        <v>26.720952</v>
      </c>
      <c r="I523">
        <v>9.0600000000003386E-2</v>
      </c>
      <c r="T523">
        <v>7.6300000000002977E-2</v>
      </c>
      <c r="U523">
        <v>0.10420000000000378</v>
      </c>
      <c r="V523">
        <v>9.0600000000003386E-2</v>
      </c>
    </row>
    <row r="524" spans="1:22" x14ac:dyDescent="0.55000000000000004">
      <c r="A524" t="s">
        <v>487</v>
      </c>
      <c r="B524">
        <v>45.776131999999997</v>
      </c>
      <c r="C524">
        <v>7.6100000000002971E-2</v>
      </c>
      <c r="E524">
        <v>45.119247999999999</v>
      </c>
      <c r="F524">
        <v>0.10440000000000378</v>
      </c>
      <c r="H524">
        <v>28.050993999999999</v>
      </c>
      <c r="I524">
        <v>8.9200000000003346E-2</v>
      </c>
      <c r="T524">
        <v>7.6100000000002971E-2</v>
      </c>
      <c r="U524">
        <v>0.10440000000000378</v>
      </c>
      <c r="V524">
        <v>8.9200000000003346E-2</v>
      </c>
    </row>
    <row r="525" spans="1:22" x14ac:dyDescent="0.55000000000000004">
      <c r="A525" t="s">
        <v>488</v>
      </c>
      <c r="B525">
        <v>35.323618154658284</v>
      </c>
      <c r="C525">
        <v>7.6899999962946539E-2</v>
      </c>
      <c r="E525">
        <v>49.504722437250429</v>
      </c>
      <c r="F525">
        <v>9.859999996294716E-2</v>
      </c>
      <c r="H525">
        <v>41.489278346107724</v>
      </c>
      <c r="I525">
        <v>0.11489999996294763</v>
      </c>
      <c r="T525">
        <v>7.6899999962946539E-2</v>
      </c>
      <c r="U525">
        <v>9.859999996294716E-2</v>
      </c>
      <c r="V525">
        <v>0.11489999996294763</v>
      </c>
    </row>
    <row r="526" spans="1:22" x14ac:dyDescent="0.55000000000000004">
      <c r="A526" t="s">
        <v>489</v>
      </c>
      <c r="B526">
        <v>44.141006183582839</v>
      </c>
      <c r="C526">
        <v>6.4499999962946183E-2</v>
      </c>
      <c r="E526">
        <v>45.000061223465259</v>
      </c>
      <c r="F526">
        <v>0.11249999996294756</v>
      </c>
      <c r="H526">
        <v>39.310369428096315</v>
      </c>
      <c r="I526">
        <v>0.11239999996294756</v>
      </c>
      <c r="T526">
        <v>6.4499999962946183E-2</v>
      </c>
      <c r="U526">
        <v>0.11249999996294756</v>
      </c>
      <c r="V526">
        <v>0.11239999996294756</v>
      </c>
    </row>
    <row r="527" spans="1:22" x14ac:dyDescent="0.55000000000000004">
      <c r="A527" t="s">
        <v>490</v>
      </c>
      <c r="B527">
        <v>66.477887999999993</v>
      </c>
      <c r="C527">
        <v>0.10030000000000368</v>
      </c>
      <c r="E527">
        <v>58.212349000000003</v>
      </c>
      <c r="F527">
        <v>9.9600000000003658E-2</v>
      </c>
      <c r="H527">
        <v>50.978278000000003</v>
      </c>
      <c r="I527">
        <v>0.1082000000000039</v>
      </c>
      <c r="T527">
        <v>0.10030000000000368</v>
      </c>
      <c r="U527">
        <v>9.9600000000003658E-2</v>
      </c>
      <c r="V527">
        <v>0.1082000000000039</v>
      </c>
    </row>
    <row r="528" spans="1:22" x14ac:dyDescent="0.55000000000000004">
      <c r="A528" t="s">
        <v>491</v>
      </c>
      <c r="B528">
        <v>52.288151999999997</v>
      </c>
      <c r="C528">
        <v>6.3600000000001544E-2</v>
      </c>
      <c r="E528">
        <v>57.545337000000004</v>
      </c>
      <c r="F528">
        <v>9.9100000000002561E-2</v>
      </c>
      <c r="H528">
        <v>38.945475000000002</v>
      </c>
      <c r="I528">
        <v>8.6400000000002197E-2</v>
      </c>
      <c r="T528">
        <v>6.3600000000001544E-2</v>
      </c>
      <c r="U528">
        <v>9.9100000000002561E-2</v>
      </c>
      <c r="V528">
        <v>8.6400000000002197E-2</v>
      </c>
    </row>
    <row r="529" spans="1:22" x14ac:dyDescent="0.55000000000000004">
      <c r="A529" t="s">
        <v>492</v>
      </c>
      <c r="B529">
        <v>71.848501999999996</v>
      </c>
      <c r="C529">
        <v>8.6700000000001581E-2</v>
      </c>
      <c r="E529">
        <v>59.586010999999999</v>
      </c>
      <c r="F529">
        <v>0.10360000000000207</v>
      </c>
      <c r="H529">
        <v>47.827652</v>
      </c>
      <c r="I529">
        <v>9.6000000000001848E-2</v>
      </c>
      <c r="T529">
        <v>8.6700000000001581E-2</v>
      </c>
      <c r="U529">
        <v>0.10360000000000207</v>
      </c>
      <c r="V529">
        <v>9.6000000000001848E-2</v>
      </c>
    </row>
    <row r="530" spans="1:22" x14ac:dyDescent="0.55000000000000004">
      <c r="A530" t="s">
        <v>493</v>
      </c>
      <c r="B530">
        <v>38.343286999999997</v>
      </c>
      <c r="C530">
        <v>6.7900000000000807E-2</v>
      </c>
      <c r="E530">
        <v>65.198097000000004</v>
      </c>
      <c r="F530">
        <v>9.8200000000001675E-2</v>
      </c>
      <c r="H530">
        <v>42.004846000000001</v>
      </c>
      <c r="I530">
        <v>9.8800000000001692E-2</v>
      </c>
      <c r="T530">
        <v>6.7900000000000807E-2</v>
      </c>
      <c r="U530">
        <v>9.8200000000001675E-2</v>
      </c>
      <c r="V530">
        <v>9.8800000000001692E-2</v>
      </c>
    </row>
    <row r="531" spans="1:22" x14ac:dyDescent="0.55000000000000004">
      <c r="A531" t="s">
        <v>494</v>
      </c>
      <c r="B531">
        <v>37.288347000000002</v>
      </c>
      <c r="C531">
        <v>9.3900000000002135E-2</v>
      </c>
      <c r="E531">
        <v>68.522593000000001</v>
      </c>
      <c r="F531">
        <v>8.5300000000001888E-2</v>
      </c>
      <c r="H531">
        <v>37.730950999999997</v>
      </c>
      <c r="I531">
        <v>8.6200000000001914E-2</v>
      </c>
      <c r="T531">
        <v>9.3900000000002135E-2</v>
      </c>
      <c r="U531">
        <v>8.5300000000001888E-2</v>
      </c>
      <c r="V531">
        <v>8.6200000000001914E-2</v>
      </c>
    </row>
    <row r="532" spans="1:22" x14ac:dyDescent="0.55000000000000004">
      <c r="A532" t="s">
        <v>495</v>
      </c>
      <c r="B532">
        <v>37.765064000000002</v>
      </c>
      <c r="C532">
        <v>8.7100000000002231E-2</v>
      </c>
      <c r="E532">
        <v>88.539186000000001</v>
      </c>
      <c r="F532">
        <v>0.11650000000000307</v>
      </c>
      <c r="H532">
        <v>51.652957999999998</v>
      </c>
      <c r="I532">
        <v>0.10160000000000265</v>
      </c>
      <c r="T532">
        <v>8.7100000000002231E-2</v>
      </c>
      <c r="U532">
        <v>0.11650000000000307</v>
      </c>
      <c r="V532">
        <v>0.10160000000000265</v>
      </c>
    </row>
    <row r="533" spans="1:22" x14ac:dyDescent="0.55000000000000004">
      <c r="A533" t="s">
        <v>496</v>
      </c>
      <c r="B533">
        <v>70.699590000000001</v>
      </c>
      <c r="C533">
        <v>7.3200000000001542E-2</v>
      </c>
      <c r="E533">
        <v>47.984155999999999</v>
      </c>
      <c r="F533">
        <v>0.10740000000000252</v>
      </c>
      <c r="H533">
        <v>39.463251999999997</v>
      </c>
      <c r="I533">
        <v>0.10640000000000249</v>
      </c>
      <c r="T533">
        <v>7.3200000000001542E-2</v>
      </c>
      <c r="U533">
        <v>0.10740000000000252</v>
      </c>
      <c r="V533">
        <v>0.10640000000000249</v>
      </c>
    </row>
    <row r="534" spans="1:22" x14ac:dyDescent="0.55000000000000004">
      <c r="A534" t="s">
        <v>497</v>
      </c>
      <c r="B534">
        <v>37.888511999999999</v>
      </c>
      <c r="C534">
        <v>7.8500000000002582E-2</v>
      </c>
      <c r="E534">
        <v>59.299379999999999</v>
      </c>
      <c r="F534">
        <v>0.10090000000000322</v>
      </c>
      <c r="H534">
        <v>41.664324000000001</v>
      </c>
      <c r="I534">
        <v>0.10460000000000333</v>
      </c>
      <c r="T534">
        <v>7.8500000000002582E-2</v>
      </c>
      <c r="U534">
        <v>0.10090000000000322</v>
      </c>
      <c r="V534">
        <v>0.10460000000000333</v>
      </c>
    </row>
    <row r="535" spans="1:22" x14ac:dyDescent="0.55000000000000004">
      <c r="A535" t="s">
        <v>498</v>
      </c>
      <c r="B535">
        <v>67.194785999999993</v>
      </c>
      <c r="C535">
        <v>8.2599999999973736E-2</v>
      </c>
      <c r="E535">
        <v>76.839956999999998</v>
      </c>
      <c r="F535">
        <v>0.10299999999997432</v>
      </c>
      <c r="H535">
        <v>57.266553999999999</v>
      </c>
      <c r="I535">
        <v>9.4299999999974071E-2</v>
      </c>
      <c r="T535">
        <v>8.2599999999973736E-2</v>
      </c>
      <c r="U535">
        <v>0.10299999999997432</v>
      </c>
      <c r="V535">
        <v>9.4299999999974071E-2</v>
      </c>
    </row>
    <row r="536" spans="1:22" x14ac:dyDescent="0.55000000000000004">
      <c r="A536" t="s">
        <v>499</v>
      </c>
      <c r="B536">
        <v>38.572800000000001</v>
      </c>
      <c r="C536">
        <v>7.4500000000001496E-2</v>
      </c>
      <c r="E536">
        <v>53.941899999999997</v>
      </c>
      <c r="F536">
        <v>0.10580000000000239</v>
      </c>
      <c r="H536">
        <v>47.116599999999998</v>
      </c>
      <c r="I536">
        <v>9.7500000000002154E-2</v>
      </c>
      <c r="T536">
        <v>7.4500000000001496E-2</v>
      </c>
      <c r="U536">
        <v>0.10580000000000239</v>
      </c>
      <c r="V536">
        <v>9.7500000000002154E-2</v>
      </c>
    </row>
    <row r="537" spans="1:22" x14ac:dyDescent="0.55000000000000004">
      <c r="A537" t="s">
        <v>500</v>
      </c>
      <c r="B537">
        <v>36.890298999999999</v>
      </c>
      <c r="C537">
        <v>8.6000000000001908E-2</v>
      </c>
      <c r="E537">
        <v>43.709198999999998</v>
      </c>
      <c r="F537">
        <v>0.10950000000000258</v>
      </c>
      <c r="H537">
        <v>43.266813999999997</v>
      </c>
      <c r="I537">
        <v>0.10830000000000255</v>
      </c>
      <c r="T537">
        <v>8.6000000000001908E-2</v>
      </c>
      <c r="U537">
        <v>0.10950000000000258</v>
      </c>
      <c r="V537">
        <v>0.10830000000000255</v>
      </c>
    </row>
    <row r="538" spans="1:22" x14ac:dyDescent="0.55000000000000004">
      <c r="A538" t="s">
        <v>501</v>
      </c>
      <c r="B538">
        <v>25.430385999999999</v>
      </c>
      <c r="C538">
        <v>9.9800000000001748E-2</v>
      </c>
      <c r="E538">
        <v>73.264494999999997</v>
      </c>
      <c r="F538">
        <v>0.11510000000000219</v>
      </c>
      <c r="H538">
        <v>33.842654000000003</v>
      </c>
      <c r="I538">
        <v>9.9200000000001731E-2</v>
      </c>
      <c r="T538">
        <v>9.9800000000001748E-2</v>
      </c>
      <c r="U538">
        <v>0.11510000000000219</v>
      </c>
      <c r="V538">
        <v>9.9200000000001731E-2</v>
      </c>
    </row>
    <row r="539" spans="1:22" x14ac:dyDescent="0.55000000000000004">
      <c r="A539" t="s">
        <v>502</v>
      </c>
      <c r="B539">
        <v>29.308947</v>
      </c>
      <c r="C539">
        <v>7.9300000000001161E-2</v>
      </c>
      <c r="E539">
        <v>43.639009000000001</v>
      </c>
      <c r="F539">
        <v>9.4000000000001582E-2</v>
      </c>
      <c r="H539">
        <v>39.631599999999999</v>
      </c>
      <c r="I539">
        <v>0.11180000000000209</v>
      </c>
      <c r="T539">
        <v>7.9300000000001161E-2</v>
      </c>
      <c r="U539">
        <v>9.4000000000001582E-2</v>
      </c>
      <c r="V539">
        <v>0.11180000000000209</v>
      </c>
    </row>
    <row r="540" spans="1:22" x14ac:dyDescent="0.55000000000000004">
      <c r="A540" t="s">
        <v>503</v>
      </c>
      <c r="B540">
        <v>29.706233999999998</v>
      </c>
      <c r="C540">
        <v>8.230000000000269E-2</v>
      </c>
      <c r="E540">
        <v>48.783729000000001</v>
      </c>
      <c r="F540">
        <v>0.28709999999998609</v>
      </c>
      <c r="H540">
        <v>42.616073</v>
      </c>
      <c r="I540">
        <v>0.1070000000000034</v>
      </c>
      <c r="T540">
        <v>8.230000000000269E-2</v>
      </c>
      <c r="U540">
        <v>0.28709999999998609</v>
      </c>
      <c r="V540">
        <v>0.1070000000000034</v>
      </c>
    </row>
    <row r="541" spans="1:22" x14ac:dyDescent="0.55000000000000004">
      <c r="A541" t="s">
        <v>504</v>
      </c>
      <c r="B541">
        <v>28.836047000000001</v>
      </c>
      <c r="C541">
        <v>8.3200000000003327E-2</v>
      </c>
      <c r="E541">
        <v>44.226945999999998</v>
      </c>
      <c r="F541">
        <v>0.10960000000000408</v>
      </c>
      <c r="H541">
        <v>29.365397000000002</v>
      </c>
      <c r="I541">
        <v>0.11150000000000414</v>
      </c>
      <c r="T541">
        <v>8.3200000000003327E-2</v>
      </c>
      <c r="U541">
        <v>0.10960000000000408</v>
      </c>
      <c r="V541">
        <v>0.11150000000000414</v>
      </c>
    </row>
    <row r="542" spans="1:22" x14ac:dyDescent="0.55000000000000004">
      <c r="A542" t="s">
        <v>505</v>
      </c>
      <c r="B542">
        <v>31.161175</v>
      </c>
      <c r="C542">
        <v>8.7100000000002828E-2</v>
      </c>
      <c r="E542">
        <v>53.544276000000004</v>
      </c>
      <c r="F542">
        <v>9.9300000000003177E-2</v>
      </c>
      <c r="H542">
        <v>44.567754000000001</v>
      </c>
      <c r="I542">
        <v>0.1035000000000033</v>
      </c>
      <c r="T542">
        <v>8.7100000000002828E-2</v>
      </c>
      <c r="U542">
        <v>9.9300000000003177E-2</v>
      </c>
      <c r="V542">
        <v>0.1035000000000033</v>
      </c>
    </row>
    <row r="543" spans="1:22" x14ac:dyDescent="0.55000000000000004">
      <c r="A543" t="s">
        <v>506</v>
      </c>
      <c r="B543">
        <v>35.408862999999997</v>
      </c>
      <c r="C543">
        <v>7.3800000000001559E-2</v>
      </c>
      <c r="E543">
        <v>92.362703999999994</v>
      </c>
      <c r="F543">
        <v>0.22119999999999243</v>
      </c>
      <c r="H543">
        <v>42.020693999999999</v>
      </c>
      <c r="I543">
        <v>9.6000000000002195E-2</v>
      </c>
      <c r="T543">
        <v>7.3800000000001559E-2</v>
      </c>
      <c r="U543">
        <v>0.22119999999999243</v>
      </c>
      <c r="V543">
        <v>9.6000000000002195E-2</v>
      </c>
    </row>
    <row r="544" spans="1:22" x14ac:dyDescent="0.55000000000000004">
      <c r="A544" t="s">
        <v>507</v>
      </c>
      <c r="B544">
        <v>35.461002000000001</v>
      </c>
      <c r="C544">
        <v>8.1700000000001702E-2</v>
      </c>
      <c r="E544">
        <v>49.276721999999999</v>
      </c>
      <c r="F544">
        <v>9.7300000000002149E-2</v>
      </c>
      <c r="H544">
        <v>45.552536000000003</v>
      </c>
      <c r="I544">
        <v>9.1600000000001985E-2</v>
      </c>
      <c r="T544">
        <v>8.1700000000001702E-2</v>
      </c>
      <c r="U544">
        <v>9.7300000000002149E-2</v>
      </c>
      <c r="V544">
        <v>9.1600000000001985E-2</v>
      </c>
    </row>
    <row r="545" spans="1:22" x14ac:dyDescent="0.55000000000000004">
      <c r="A545" t="s">
        <v>508</v>
      </c>
      <c r="B545">
        <v>93.558318999999997</v>
      </c>
      <c r="C545">
        <v>8.1000000000001682E-2</v>
      </c>
      <c r="E545">
        <v>49.800274000000002</v>
      </c>
      <c r="F545">
        <v>0.12790000000000262</v>
      </c>
      <c r="H545">
        <v>45.302973999999999</v>
      </c>
      <c r="I545">
        <v>0.10500000000000237</v>
      </c>
      <c r="T545">
        <v>8.1000000000001682E-2</v>
      </c>
      <c r="U545">
        <v>0.12790000000000262</v>
      </c>
      <c r="V545">
        <v>0.10500000000000237</v>
      </c>
    </row>
    <row r="546" spans="1:22" x14ac:dyDescent="0.55000000000000004">
      <c r="A546" t="s">
        <v>509</v>
      </c>
      <c r="B546">
        <v>33.093425000000003</v>
      </c>
      <c r="C546">
        <v>8.4000000000001851E-2</v>
      </c>
      <c r="E546">
        <v>71.107425000000006</v>
      </c>
      <c r="F546">
        <v>8.5400000000001891E-2</v>
      </c>
      <c r="H546">
        <v>50.892226000000001</v>
      </c>
      <c r="I546">
        <v>8.2900000000001819E-2</v>
      </c>
      <c r="T546">
        <v>8.4000000000001851E-2</v>
      </c>
      <c r="U546">
        <v>8.5400000000001891E-2</v>
      </c>
      <c r="V546">
        <v>8.2900000000001819E-2</v>
      </c>
    </row>
    <row r="547" spans="1:22" x14ac:dyDescent="0.55000000000000004">
      <c r="A547" t="s">
        <v>510</v>
      </c>
      <c r="B547">
        <v>35.069651</v>
      </c>
      <c r="C547">
        <v>8.5600000000001814E-2</v>
      </c>
      <c r="E547">
        <v>124.356025</v>
      </c>
      <c r="F547">
        <v>0.17769999999999714</v>
      </c>
      <c r="H547">
        <v>46.803325999999998</v>
      </c>
      <c r="I547">
        <v>8.7300000000001862E-2</v>
      </c>
      <c r="T547">
        <v>8.5600000000001814E-2</v>
      </c>
      <c r="U547">
        <v>0.17769999999999714</v>
      </c>
      <c r="V547">
        <v>8.7300000000001862E-2</v>
      </c>
    </row>
    <row r="548" spans="1:22" x14ac:dyDescent="0.55000000000000004">
      <c r="A548" t="s">
        <v>511</v>
      </c>
      <c r="B548">
        <v>46.391336000000003</v>
      </c>
      <c r="C548">
        <v>4.9300000000000781E-2</v>
      </c>
      <c r="E548">
        <v>61.662646000000002</v>
      </c>
      <c r="F548">
        <v>8.4800000000001791E-2</v>
      </c>
      <c r="H548">
        <v>43.382382999999997</v>
      </c>
      <c r="I548">
        <v>9.6900000000002137E-2</v>
      </c>
      <c r="T548">
        <v>4.9300000000000781E-2</v>
      </c>
      <c r="U548">
        <v>8.4800000000001791E-2</v>
      </c>
      <c r="V548">
        <v>9.6900000000002137E-2</v>
      </c>
    </row>
    <row r="549" spans="1:22" x14ac:dyDescent="0.55000000000000004">
      <c r="A549" t="s">
        <v>512</v>
      </c>
      <c r="B549">
        <v>38.184604999999998</v>
      </c>
      <c r="C549">
        <v>7.6200000000001544E-2</v>
      </c>
      <c r="E549">
        <v>62.222625000000001</v>
      </c>
      <c r="F549">
        <v>0.10440000000000235</v>
      </c>
      <c r="H549">
        <v>37.040829000000002</v>
      </c>
      <c r="I549">
        <v>0.1026000000000023</v>
      </c>
      <c r="T549">
        <v>7.6200000000001544E-2</v>
      </c>
      <c r="U549">
        <v>0.10440000000000235</v>
      </c>
      <c r="V549">
        <v>0.1026000000000023</v>
      </c>
    </row>
    <row r="550" spans="1:22" x14ac:dyDescent="0.55000000000000004">
      <c r="A550" t="s">
        <v>513</v>
      </c>
      <c r="B550">
        <v>58.220908999999999</v>
      </c>
      <c r="C550">
        <v>6.7500000000001295E-2</v>
      </c>
      <c r="E550">
        <v>78.831367</v>
      </c>
      <c r="F550">
        <v>9.490000000000208E-2</v>
      </c>
      <c r="H550">
        <v>58.893267999999999</v>
      </c>
      <c r="I550">
        <v>9.3700000000002046E-2</v>
      </c>
      <c r="T550">
        <v>6.7500000000001295E-2</v>
      </c>
      <c r="U550">
        <v>9.490000000000208E-2</v>
      </c>
      <c r="V550">
        <v>9.3700000000002046E-2</v>
      </c>
    </row>
    <row r="551" spans="1:22" x14ac:dyDescent="0.55000000000000004">
      <c r="A551" t="s">
        <v>514</v>
      </c>
      <c r="B551">
        <v>45.650931999999997</v>
      </c>
      <c r="C551">
        <v>8.9700000000001931E-2</v>
      </c>
      <c r="E551">
        <v>65.701825999999997</v>
      </c>
      <c r="F551">
        <v>0.26019999999998805</v>
      </c>
      <c r="H551">
        <v>45.493057999999998</v>
      </c>
      <c r="I551">
        <v>0.1095000000000025</v>
      </c>
      <c r="T551">
        <v>8.9700000000001931E-2</v>
      </c>
      <c r="U551">
        <v>0.26019999999998805</v>
      </c>
      <c r="V551">
        <v>0.1095000000000025</v>
      </c>
    </row>
    <row r="552" spans="1:22" x14ac:dyDescent="0.55000000000000004">
      <c r="A552" t="s">
        <v>515</v>
      </c>
      <c r="B552">
        <v>71.572357999999994</v>
      </c>
      <c r="C552">
        <v>7.5500000000001524E-2</v>
      </c>
      <c r="E552">
        <v>67.086590999999999</v>
      </c>
      <c r="F552">
        <v>0.1026000000000023</v>
      </c>
      <c r="H552">
        <v>38.975593000000003</v>
      </c>
      <c r="I552">
        <v>0.10150000000000227</v>
      </c>
      <c r="T552">
        <v>7.5500000000001524E-2</v>
      </c>
      <c r="U552">
        <v>0.1026000000000023</v>
      </c>
      <c r="V552">
        <v>0.10150000000000227</v>
      </c>
    </row>
    <row r="553" spans="1:22" x14ac:dyDescent="0.55000000000000004">
      <c r="A553" t="s">
        <v>516</v>
      </c>
      <c r="B553">
        <v>36.599062000000004</v>
      </c>
      <c r="C553">
        <v>7.9100000000001627E-2</v>
      </c>
      <c r="E553">
        <v>48.278371999999997</v>
      </c>
      <c r="F553">
        <v>0.10740000000000244</v>
      </c>
      <c r="H553">
        <v>42.110202999999998</v>
      </c>
      <c r="I553">
        <v>0.11460000000000264</v>
      </c>
      <c r="T553">
        <v>7.9100000000001627E-2</v>
      </c>
      <c r="U553">
        <v>0.10740000000000244</v>
      </c>
      <c r="V553">
        <v>0.11460000000000264</v>
      </c>
    </row>
    <row r="554" spans="1:22" x14ac:dyDescent="0.55000000000000004">
      <c r="A554" t="s">
        <v>517</v>
      </c>
      <c r="B554">
        <v>37.094403</v>
      </c>
      <c r="C554">
        <v>9.1000000000001968E-2</v>
      </c>
      <c r="E554">
        <v>74.634860000000003</v>
      </c>
      <c r="F554">
        <v>0.12270000000000288</v>
      </c>
      <c r="H554">
        <v>51.962490000000003</v>
      </c>
      <c r="I554">
        <v>0.12330000000000289</v>
      </c>
      <c r="T554">
        <v>9.1000000000001968E-2</v>
      </c>
      <c r="U554">
        <v>0.12270000000000288</v>
      </c>
      <c r="V554">
        <v>0.12330000000000289</v>
      </c>
    </row>
    <row r="555" spans="1:22" x14ac:dyDescent="0.55000000000000004">
      <c r="A555" t="s">
        <v>518</v>
      </c>
      <c r="B555">
        <v>50.238664</v>
      </c>
      <c r="C555">
        <v>9.2500000000002011E-2</v>
      </c>
      <c r="E555">
        <v>46.169296000000003</v>
      </c>
      <c r="F555">
        <v>0.11810000000000274</v>
      </c>
      <c r="H555">
        <v>44.027042000000002</v>
      </c>
      <c r="I555">
        <v>0.10440000000000235</v>
      </c>
      <c r="T555">
        <v>9.2500000000002011E-2</v>
      </c>
      <c r="U555">
        <v>0.11810000000000274</v>
      </c>
      <c r="V555">
        <v>0.10440000000000235</v>
      </c>
    </row>
    <row r="556" spans="1:22" x14ac:dyDescent="0.55000000000000004">
      <c r="A556" t="s">
        <v>519</v>
      </c>
      <c r="B556">
        <v>36.569597000000002</v>
      </c>
      <c r="C556">
        <v>7.990000000000165E-2</v>
      </c>
      <c r="E556">
        <v>44.091811</v>
      </c>
      <c r="F556">
        <v>9.3800000000002048E-2</v>
      </c>
      <c r="H556">
        <v>45.213498999999999</v>
      </c>
      <c r="I556">
        <v>0.10680000000000242</v>
      </c>
      <c r="T556">
        <v>7.990000000000165E-2</v>
      </c>
      <c r="U556">
        <v>9.3800000000002048E-2</v>
      </c>
      <c r="V556">
        <v>0.10680000000000242</v>
      </c>
    </row>
    <row r="557" spans="1:22" x14ac:dyDescent="0.55000000000000004">
      <c r="A557" t="s">
        <v>520</v>
      </c>
      <c r="B557">
        <v>42.287500000000001</v>
      </c>
      <c r="C557">
        <v>8.5500000000001811E-2</v>
      </c>
      <c r="E557">
        <v>59.040100000000002</v>
      </c>
      <c r="F557">
        <v>0.10630000000000241</v>
      </c>
      <c r="H557">
        <v>42.750999999999998</v>
      </c>
      <c r="I557">
        <v>0.10030000000000223</v>
      </c>
      <c r="T557">
        <v>8.5500000000001811E-2</v>
      </c>
      <c r="U557">
        <v>0.10630000000000241</v>
      </c>
      <c r="V557">
        <v>0.10030000000000223</v>
      </c>
    </row>
    <row r="558" spans="1:22" x14ac:dyDescent="0.55000000000000004">
      <c r="A558" t="s">
        <v>521</v>
      </c>
      <c r="B558">
        <v>40.929499999999997</v>
      </c>
      <c r="C558">
        <v>2.6000000000000297E-2</v>
      </c>
      <c r="E558">
        <v>56.173099999999998</v>
      </c>
      <c r="F558">
        <v>0.12050000000000281</v>
      </c>
      <c r="H558">
        <v>48.703600000000002</v>
      </c>
      <c r="I558">
        <v>0.11930000000000278</v>
      </c>
      <c r="T558">
        <v>2.6000000000000297E-2</v>
      </c>
      <c r="U558">
        <v>0.12050000000000281</v>
      </c>
      <c r="V558">
        <v>0.11930000000000278</v>
      </c>
    </row>
    <row r="559" spans="1:22" x14ac:dyDescent="0.55000000000000004">
      <c r="A559" t="s">
        <v>522</v>
      </c>
      <c r="B559">
        <v>39.432899999999997</v>
      </c>
      <c r="C559">
        <v>8.3100000000001742E-2</v>
      </c>
      <c r="E559">
        <v>95.0535</v>
      </c>
      <c r="F559">
        <v>0.10460000000000236</v>
      </c>
      <c r="H559">
        <v>58.840200000000003</v>
      </c>
      <c r="I559">
        <v>9.7900000000002166E-2</v>
      </c>
      <c r="T559">
        <v>8.3100000000001742E-2</v>
      </c>
      <c r="U559">
        <v>0.10460000000000236</v>
      </c>
      <c r="V559">
        <v>9.7900000000002166E-2</v>
      </c>
    </row>
    <row r="560" spans="1:22" x14ac:dyDescent="0.55000000000000004">
      <c r="A560" t="s">
        <v>523</v>
      </c>
      <c r="B560">
        <v>35.207799999999999</v>
      </c>
      <c r="C560">
        <v>8.6100000000001828E-2</v>
      </c>
      <c r="E560">
        <v>45.419400000000003</v>
      </c>
      <c r="F560">
        <v>0.10580000000000239</v>
      </c>
      <c r="H560">
        <v>38.241500000000002</v>
      </c>
      <c r="I560">
        <v>0.11590000000000268</v>
      </c>
      <c r="T560">
        <v>8.6100000000001828E-2</v>
      </c>
      <c r="U560">
        <v>0.10580000000000239</v>
      </c>
      <c r="V560">
        <v>0.11590000000000268</v>
      </c>
    </row>
    <row r="561" spans="1:22" x14ac:dyDescent="0.55000000000000004">
      <c r="A561" t="s">
        <v>524</v>
      </c>
      <c r="B561">
        <v>44.179099999999998</v>
      </c>
      <c r="C561">
        <v>6.9500000000001352E-2</v>
      </c>
      <c r="E561">
        <v>49.719499999999996</v>
      </c>
      <c r="F561">
        <v>0.10400000000000234</v>
      </c>
      <c r="H561">
        <v>43.758000000000003</v>
      </c>
      <c r="I561">
        <v>0.12180000000000285</v>
      </c>
      <c r="T561">
        <v>6.9500000000001352E-2</v>
      </c>
      <c r="U561">
        <v>0.10400000000000234</v>
      </c>
      <c r="V561">
        <v>0.12180000000000285</v>
      </c>
    </row>
    <row r="562" spans="1:22" x14ac:dyDescent="0.55000000000000004">
      <c r="A562" t="s">
        <v>525</v>
      </c>
      <c r="B562">
        <v>36.639299999999999</v>
      </c>
      <c r="C562">
        <v>9.6800000000002134E-2</v>
      </c>
      <c r="E562">
        <v>118.4312</v>
      </c>
      <c r="F562">
        <v>0.25879999999998821</v>
      </c>
      <c r="H562">
        <v>45.359099999999998</v>
      </c>
      <c r="I562">
        <v>0.1060000000000024</v>
      </c>
      <c r="T562">
        <v>9.6800000000002134E-2</v>
      </c>
      <c r="U562">
        <v>0.25879999999998821</v>
      </c>
      <c r="V562">
        <v>0.1060000000000024</v>
      </c>
    </row>
    <row r="563" spans="1:22" x14ac:dyDescent="0.55000000000000004">
      <c r="A563" t="s">
        <v>526</v>
      </c>
      <c r="B563">
        <v>55.165799999999997</v>
      </c>
      <c r="C563">
        <v>9.3400000000002037E-2</v>
      </c>
      <c r="E563">
        <v>64.616200000000006</v>
      </c>
      <c r="F563">
        <v>0.10040000000000224</v>
      </c>
      <c r="H563">
        <v>38.122799999999998</v>
      </c>
      <c r="I563">
        <v>0.10010000000000223</v>
      </c>
      <c r="T563">
        <v>9.3400000000002037E-2</v>
      </c>
      <c r="U563">
        <v>0.10040000000000224</v>
      </c>
      <c r="V563">
        <v>0.10010000000000223</v>
      </c>
    </row>
    <row r="564" spans="1:22" x14ac:dyDescent="0.55000000000000004">
      <c r="A564" t="s">
        <v>527</v>
      </c>
      <c r="B564">
        <v>35.951999999999998</v>
      </c>
      <c r="C564">
        <v>8.6500000000001839E-2</v>
      </c>
      <c r="E564">
        <v>88.176100000000005</v>
      </c>
      <c r="F564">
        <v>0.23819999999999047</v>
      </c>
      <c r="H564">
        <v>38.714300000000001</v>
      </c>
      <c r="I564">
        <v>0.1061000000000024</v>
      </c>
      <c r="T564">
        <v>8.6500000000001839E-2</v>
      </c>
      <c r="U564">
        <v>0.23819999999999047</v>
      </c>
      <c r="V564">
        <v>0.1061000000000024</v>
      </c>
    </row>
    <row r="565" spans="1:22" x14ac:dyDescent="0.55000000000000004">
      <c r="A565" t="s">
        <v>528</v>
      </c>
      <c r="B565">
        <v>33.076700000000002</v>
      </c>
      <c r="C565">
        <v>8.060000000000167E-2</v>
      </c>
      <c r="E565">
        <v>54.100900000000003</v>
      </c>
      <c r="F565">
        <v>0.13120000000000226</v>
      </c>
      <c r="H565">
        <v>40.4754</v>
      </c>
      <c r="I565">
        <v>0.10460000000000236</v>
      </c>
      <c r="T565">
        <v>8.060000000000167E-2</v>
      </c>
      <c r="U565">
        <v>0.13120000000000226</v>
      </c>
      <c r="V565">
        <v>0.10460000000000236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E4D0-43CF-4910-8DC2-ED5F4485835A}">
  <dimension ref="A1:W565"/>
  <sheetViews>
    <sheetView tabSelected="1" zoomScale="77" workbookViewId="0">
      <selection activeCell="N183" sqref="N183:P195"/>
    </sheetView>
  </sheetViews>
  <sheetFormatPr defaultRowHeight="14.4" x14ac:dyDescent="0.55000000000000004"/>
  <cols>
    <col min="1" max="1" width="20.5234375" customWidth="1"/>
    <col min="2" max="2" width="24.15625" bestFit="1" customWidth="1"/>
    <col min="3" max="3" width="24.578125" bestFit="1" customWidth="1"/>
    <col min="4" max="4" width="20.3125" bestFit="1" customWidth="1"/>
    <col min="5" max="5" width="23.83984375" bestFit="1" customWidth="1"/>
    <col min="6" max="6" width="24.1015625" bestFit="1" customWidth="1"/>
    <col min="7" max="7" width="20.3125" bestFit="1" customWidth="1"/>
    <col min="8" max="8" width="27.734375" bestFit="1" customWidth="1"/>
    <col min="9" max="9" width="28.1015625" bestFit="1" customWidth="1"/>
    <col min="10" max="10" width="28.26171875" bestFit="1" customWidth="1"/>
    <col min="14" max="14" width="45.41796875" customWidth="1"/>
    <col min="15" max="15" width="28.1015625" bestFit="1" customWidth="1"/>
    <col min="16" max="16" width="28.68359375" bestFit="1" customWidth="1"/>
    <col min="17" max="17" width="11.734375" bestFit="1" customWidth="1"/>
    <col min="18" max="18" width="39.47265625" bestFit="1" customWidth="1"/>
    <col min="19" max="19" width="28.1015625" bestFit="1" customWidth="1"/>
    <col min="20" max="20" width="28.3671875" bestFit="1" customWidth="1"/>
    <col min="22" max="22" width="50.47265625" bestFit="1" customWidth="1"/>
    <col min="23" max="23" width="17.68359375" bestFit="1" customWidth="1"/>
  </cols>
  <sheetData>
    <row r="1" spans="1:23" x14ac:dyDescent="0.55000000000000004">
      <c r="A1" t="s">
        <v>2</v>
      </c>
      <c r="B1" t="s">
        <v>530</v>
      </c>
      <c r="C1" t="s">
        <v>532</v>
      </c>
      <c r="D1" t="s">
        <v>2</v>
      </c>
      <c r="E1" t="s">
        <v>530</v>
      </c>
      <c r="F1" t="s">
        <v>532</v>
      </c>
      <c r="G1" t="s">
        <v>2</v>
      </c>
      <c r="H1" t="s">
        <v>534</v>
      </c>
      <c r="I1" t="s">
        <v>536</v>
      </c>
      <c r="J1" t="s">
        <v>538</v>
      </c>
      <c r="N1" s="7" t="s">
        <v>576</v>
      </c>
    </row>
    <row r="2" spans="1:23" x14ac:dyDescent="0.55000000000000004">
      <c r="A2">
        <v>7.5400000000001521E-2</v>
      </c>
      <c r="B2">
        <v>0.10810000000000246</v>
      </c>
      <c r="C2">
        <v>0.10910000000000249</v>
      </c>
      <c r="N2" t="s">
        <v>539</v>
      </c>
    </row>
    <row r="3" spans="1:23" x14ac:dyDescent="0.55000000000000004">
      <c r="A3">
        <v>0.10020000000000223</v>
      </c>
      <c r="B3">
        <v>0.11170000000000256</v>
      </c>
      <c r="C3">
        <v>0.11770000000000273</v>
      </c>
    </row>
    <row r="4" spans="1:23" ht="14.7" thickBot="1" x14ac:dyDescent="0.6">
      <c r="A4">
        <v>8.7900000000001879E-2</v>
      </c>
      <c r="B4">
        <v>9.8800000000002192E-2</v>
      </c>
      <c r="C4">
        <v>9.9300000000002206E-2</v>
      </c>
      <c r="N4" t="s">
        <v>540</v>
      </c>
    </row>
    <row r="5" spans="1:23" x14ac:dyDescent="0.55000000000000004">
      <c r="A5">
        <v>6.5800000000001246E-2</v>
      </c>
      <c r="B5">
        <v>0.23809999999999049</v>
      </c>
      <c r="C5">
        <v>9.8500000000002183E-2</v>
      </c>
      <c r="N5" s="12" t="s">
        <v>541</v>
      </c>
      <c r="O5" s="12" t="s">
        <v>542</v>
      </c>
      <c r="P5" s="12" t="s">
        <v>543</v>
      </c>
      <c r="Q5" s="12" t="s">
        <v>544</v>
      </c>
      <c r="R5" s="12" t="s">
        <v>545</v>
      </c>
    </row>
    <row r="6" spans="1:23" x14ac:dyDescent="0.55000000000000004">
      <c r="A6">
        <v>7.7900000000001593E-2</v>
      </c>
      <c r="B6">
        <v>0.11030000000000252</v>
      </c>
      <c r="C6">
        <v>0.10670000000000242</v>
      </c>
      <c r="N6" s="10" t="s">
        <v>2</v>
      </c>
      <c r="O6" s="10">
        <v>217</v>
      </c>
      <c r="P6" s="10">
        <v>18.440499999778321</v>
      </c>
      <c r="Q6" s="10">
        <v>8.4979262671789499E-2</v>
      </c>
      <c r="R6" s="10">
        <v>8.1315915134353703E-4</v>
      </c>
    </row>
    <row r="7" spans="1:23" x14ac:dyDescent="0.55000000000000004">
      <c r="A7">
        <v>6.5000000000001223E-2</v>
      </c>
      <c r="B7">
        <v>0.10370000000000233</v>
      </c>
      <c r="C7">
        <v>0.10570000000000239</v>
      </c>
      <c r="N7" s="10" t="s">
        <v>530</v>
      </c>
      <c r="O7" s="10">
        <v>217</v>
      </c>
      <c r="P7" s="10">
        <v>24.407599999778434</v>
      </c>
      <c r="Q7" s="10">
        <v>0.11247741935381766</v>
      </c>
      <c r="R7" s="10">
        <v>7.9170962666319923E-4</v>
      </c>
    </row>
    <row r="8" spans="1:23" x14ac:dyDescent="0.55000000000000004">
      <c r="A8">
        <v>6.4500000000001209E-2</v>
      </c>
      <c r="B8">
        <v>0.20359999999999429</v>
      </c>
      <c r="C8">
        <v>0.11520000000000266</v>
      </c>
      <c r="N8" s="10" t="s">
        <v>532</v>
      </c>
      <c r="O8" s="10">
        <v>217</v>
      </c>
      <c r="P8" s="10">
        <v>23.69609999977849</v>
      </c>
      <c r="Q8" s="10">
        <v>0.10919861751049995</v>
      </c>
      <c r="R8" s="10">
        <v>1.0669448881914315E-4</v>
      </c>
    </row>
    <row r="9" spans="1:23" x14ac:dyDescent="0.55000000000000004">
      <c r="A9">
        <v>6.8200000000001315E-2</v>
      </c>
      <c r="B9">
        <v>9.7500000000002154E-2</v>
      </c>
      <c r="C9">
        <v>9.3400000000002037E-2</v>
      </c>
      <c r="N9" s="10" t="s">
        <v>534</v>
      </c>
      <c r="O9" s="10">
        <v>217</v>
      </c>
      <c r="P9" s="10">
        <v>28.277599999778282</v>
      </c>
      <c r="Q9" s="10">
        <v>0.13031152073630545</v>
      </c>
      <c r="R9" s="10">
        <v>1.4836145425688309E-3</v>
      </c>
    </row>
    <row r="10" spans="1:23" x14ac:dyDescent="0.55000000000000004">
      <c r="A10">
        <v>8.9100000000001914E-2</v>
      </c>
      <c r="B10">
        <v>0.11020000000000252</v>
      </c>
      <c r="C10">
        <v>0.1094000000000025</v>
      </c>
      <c r="N10" s="10" t="s">
        <v>536</v>
      </c>
      <c r="O10" s="10">
        <v>217</v>
      </c>
      <c r="P10" s="10">
        <v>23.432699999778496</v>
      </c>
      <c r="Q10" s="10">
        <v>0.10798479262570736</v>
      </c>
      <c r="R10" s="10">
        <v>2.0789888806163923E-4</v>
      </c>
    </row>
    <row r="11" spans="1:23" ht="14.7" thickBot="1" x14ac:dyDescent="0.6">
      <c r="A11">
        <v>7.220000000000143E-2</v>
      </c>
      <c r="B11">
        <v>0.10740000000000244</v>
      </c>
      <c r="C11">
        <v>0.13370000000000198</v>
      </c>
      <c r="N11" s="11" t="s">
        <v>538</v>
      </c>
      <c r="O11" s="11">
        <v>217</v>
      </c>
      <c r="P11" s="11">
        <v>20.804799999778428</v>
      </c>
      <c r="Q11" s="11">
        <v>9.5874654376859117E-2</v>
      </c>
      <c r="R11" s="11">
        <v>1.2236023427508735E-4</v>
      </c>
    </row>
    <row r="12" spans="1:23" x14ac:dyDescent="0.55000000000000004">
      <c r="A12">
        <v>7.9600000000001642E-2</v>
      </c>
      <c r="B12">
        <v>0.10180000000000228</v>
      </c>
      <c r="C12">
        <v>0.10640000000000241</v>
      </c>
    </row>
    <row r="13" spans="1:23" x14ac:dyDescent="0.55000000000000004">
      <c r="A13">
        <v>8.6300000000001834E-2</v>
      </c>
      <c r="B13">
        <v>0.2197999999999925</v>
      </c>
      <c r="C13">
        <v>9.700000000000214E-2</v>
      </c>
    </row>
    <row r="14" spans="1:23" ht="14.7" thickBot="1" x14ac:dyDescent="0.6">
      <c r="A14">
        <v>8.5500000000001811E-2</v>
      </c>
      <c r="B14">
        <v>9.9200000000002203E-2</v>
      </c>
      <c r="C14">
        <v>0.1094000000000025</v>
      </c>
      <c r="N14" t="s">
        <v>546</v>
      </c>
    </row>
    <row r="15" spans="1:23" ht="14.7" thickBot="1" x14ac:dyDescent="0.6">
      <c r="A15">
        <v>8.3600000000001756E-2</v>
      </c>
      <c r="B15">
        <v>0.10570000000000239</v>
      </c>
      <c r="C15">
        <v>0.11000000000000251</v>
      </c>
      <c r="N15" s="12" t="s">
        <v>547</v>
      </c>
      <c r="O15" s="12" t="s">
        <v>548</v>
      </c>
      <c r="P15" s="12" t="s">
        <v>549</v>
      </c>
      <c r="Q15" s="12" t="s">
        <v>550</v>
      </c>
      <c r="R15" s="12" t="s">
        <v>551</v>
      </c>
      <c r="S15" s="12" t="s">
        <v>552</v>
      </c>
      <c r="T15" s="12" t="s">
        <v>553</v>
      </c>
    </row>
    <row r="16" spans="1:23" x14ac:dyDescent="0.55000000000000004">
      <c r="A16">
        <v>7.9800000000001647E-2</v>
      </c>
      <c r="B16">
        <v>0.10320000000000232</v>
      </c>
      <c r="C16">
        <v>0.10150000000000227</v>
      </c>
      <c r="N16" s="10" t="s">
        <v>554</v>
      </c>
      <c r="O16" s="10">
        <v>0.25772860781105955</v>
      </c>
      <c r="P16" s="10">
        <v>5</v>
      </c>
      <c r="Q16" s="10">
        <v>5.1545721562211912E-2</v>
      </c>
      <c r="R16" s="10">
        <v>87.726524502418854</v>
      </c>
      <c r="S16" s="10">
        <v>1.458340137672078E-79</v>
      </c>
      <c r="T16" s="10">
        <v>2.2210043919336391</v>
      </c>
      <c r="V16" s="2" t="s">
        <v>557</v>
      </c>
      <c r="W16" s="3" t="str">
        <f>IF(R16&gt;T16, "Significant Difference", IF(R16&lt;T16, "No Significant Difference", "Error"))</f>
        <v>Significant Difference</v>
      </c>
    </row>
    <row r="17" spans="1:23" ht="14.7" thickBot="1" x14ac:dyDescent="0.6">
      <c r="A17">
        <v>8.4600000000001785E-2</v>
      </c>
      <c r="B17">
        <v>0.28359999999998547</v>
      </c>
      <c r="C17">
        <v>9.8700000000002189E-2</v>
      </c>
      <c r="N17" s="10" t="s">
        <v>555</v>
      </c>
      <c r="O17" s="10">
        <v>0.76149437725399338</v>
      </c>
      <c r="P17" s="10">
        <v>1296</v>
      </c>
      <c r="Q17" s="10">
        <v>5.8757282195524179E-4</v>
      </c>
      <c r="R17" s="10"/>
      <c r="S17" s="10"/>
      <c r="T17" s="10"/>
      <c r="V17" s="4" t="s">
        <v>558</v>
      </c>
      <c r="W17" s="5" t="str">
        <f>IF(S16&lt;0.05, "Significant Difference", IF(S16&gt;0.05, "No Significant Difference", Error))</f>
        <v>Significant Difference</v>
      </c>
    </row>
    <row r="18" spans="1:23" x14ac:dyDescent="0.55000000000000004">
      <c r="A18">
        <v>7.6900000000001564E-2</v>
      </c>
      <c r="B18">
        <v>0.11440000000000264</v>
      </c>
      <c r="C18">
        <v>0.10370000000000233</v>
      </c>
      <c r="N18" s="10"/>
      <c r="O18" s="10"/>
      <c r="P18" s="10"/>
      <c r="Q18" s="10"/>
      <c r="R18" s="10"/>
      <c r="S18" s="10"/>
      <c r="T18" s="10"/>
    </row>
    <row r="19" spans="1:23" ht="14.7" thickBot="1" x14ac:dyDescent="0.6">
      <c r="A19">
        <v>6.3100000000001169E-2</v>
      </c>
      <c r="B19">
        <v>9.9300000000002206E-2</v>
      </c>
      <c r="C19">
        <v>9.5100000000002086E-2</v>
      </c>
      <c r="N19" s="11" t="s">
        <v>556</v>
      </c>
      <c r="O19" s="11">
        <v>1.0192229850650529</v>
      </c>
      <c r="P19" s="11">
        <v>1301</v>
      </c>
      <c r="Q19" s="11"/>
      <c r="R19" s="11"/>
      <c r="S19" s="11"/>
      <c r="T19" s="11"/>
    </row>
    <row r="20" spans="1:23" x14ac:dyDescent="0.55000000000000004">
      <c r="A20">
        <v>7.290000000000145E-2</v>
      </c>
      <c r="B20">
        <v>0.22899999999999149</v>
      </c>
      <c r="C20">
        <v>9.7600000000002157E-2</v>
      </c>
    </row>
    <row r="21" spans="1:23" x14ac:dyDescent="0.55000000000000004">
      <c r="A21">
        <v>7.1100000000001398E-2</v>
      </c>
      <c r="B21">
        <v>0.10160000000000227</v>
      </c>
      <c r="C21">
        <v>0.10980000000000251</v>
      </c>
      <c r="N21" s="7" t="s">
        <v>577</v>
      </c>
    </row>
    <row r="22" spans="1:23" x14ac:dyDescent="0.55000000000000004">
      <c r="A22">
        <v>6.1000000000001116E-2</v>
      </c>
      <c r="B22">
        <v>9.8200000000002174E-2</v>
      </c>
      <c r="C22">
        <v>0.10160000000000227</v>
      </c>
      <c r="N22" t="s">
        <v>539</v>
      </c>
    </row>
    <row r="23" spans="1:23" x14ac:dyDescent="0.55000000000000004">
      <c r="A23">
        <v>6.9800000000001361E-2</v>
      </c>
      <c r="B23">
        <v>0.10800000000000246</v>
      </c>
      <c r="C23">
        <v>0.10740000000000244</v>
      </c>
    </row>
    <row r="24" spans="1:23" ht="14.7" thickBot="1" x14ac:dyDescent="0.6">
      <c r="A24">
        <v>7.1700000000001415E-2</v>
      </c>
      <c r="B24">
        <v>9.6500000000002126E-2</v>
      </c>
      <c r="C24">
        <v>0.10220000000000229</v>
      </c>
      <c r="N24" t="s">
        <v>540</v>
      </c>
    </row>
    <row r="25" spans="1:23" x14ac:dyDescent="0.55000000000000004">
      <c r="A25">
        <v>7.4100000000001484E-2</v>
      </c>
      <c r="B25">
        <v>9.1900000000001994E-2</v>
      </c>
      <c r="C25">
        <v>0.10180000000000228</v>
      </c>
      <c r="N25" s="12" t="s">
        <v>541</v>
      </c>
      <c r="O25" s="12" t="s">
        <v>542</v>
      </c>
      <c r="P25" s="12" t="s">
        <v>543</v>
      </c>
      <c r="Q25" s="12" t="s">
        <v>544</v>
      </c>
      <c r="R25" s="12" t="s">
        <v>545</v>
      </c>
    </row>
    <row r="26" spans="1:23" x14ac:dyDescent="0.55000000000000004">
      <c r="A26">
        <v>7.0200000000001372E-2</v>
      </c>
      <c r="B26">
        <v>0.11560000000000267</v>
      </c>
      <c r="C26">
        <v>8.8600000000001899E-2</v>
      </c>
      <c r="N26" s="10" t="s">
        <v>2</v>
      </c>
      <c r="O26" s="10">
        <v>217</v>
      </c>
      <c r="P26" s="10">
        <v>18.440499999778321</v>
      </c>
      <c r="Q26" s="10">
        <v>8.4979262671789499E-2</v>
      </c>
      <c r="R26" s="10">
        <v>8.1315915134353703E-4</v>
      </c>
    </row>
    <row r="27" spans="1:23" x14ac:dyDescent="0.55000000000000004">
      <c r="A27">
        <v>7.6700000000001559E-2</v>
      </c>
      <c r="B27">
        <v>9.6000000000002111E-2</v>
      </c>
      <c r="C27">
        <v>0.1026000000000023</v>
      </c>
      <c r="N27" s="10" t="s">
        <v>530</v>
      </c>
      <c r="O27" s="10">
        <v>217</v>
      </c>
      <c r="P27" s="10">
        <v>24.407599999778434</v>
      </c>
      <c r="Q27" s="10">
        <v>0.11247741935381766</v>
      </c>
      <c r="R27" s="10">
        <v>7.9170962666319923E-4</v>
      </c>
    </row>
    <row r="28" spans="1:23" ht="14.7" thickBot="1" x14ac:dyDescent="0.6">
      <c r="A28">
        <v>8.5100000000001799E-2</v>
      </c>
      <c r="B28">
        <v>0.10520000000000237</v>
      </c>
      <c r="C28">
        <v>0.1061000000000024</v>
      </c>
      <c r="N28" s="11" t="s">
        <v>532</v>
      </c>
      <c r="O28" s="11">
        <v>217</v>
      </c>
      <c r="P28" s="11">
        <v>23.69609999977849</v>
      </c>
      <c r="Q28" s="11">
        <v>0.10919861751049995</v>
      </c>
      <c r="R28" s="11">
        <v>1.0669448881914315E-4</v>
      </c>
    </row>
    <row r="29" spans="1:23" x14ac:dyDescent="0.55000000000000004">
      <c r="A29">
        <v>0.13850000000000146</v>
      </c>
      <c r="B29">
        <v>0.10860000000000247</v>
      </c>
      <c r="C29">
        <v>9.5400000000002094E-2</v>
      </c>
    </row>
    <row r="30" spans="1:23" x14ac:dyDescent="0.55000000000000004">
      <c r="A30">
        <v>6.9600000000001355E-2</v>
      </c>
      <c r="B30">
        <v>0.10740000000000244</v>
      </c>
      <c r="C30">
        <v>0.11130000000000255</v>
      </c>
    </row>
    <row r="31" spans="1:23" ht="14.7" thickBot="1" x14ac:dyDescent="0.6">
      <c r="A31">
        <v>7.3400000000001464E-2</v>
      </c>
      <c r="B31">
        <v>0.27899999999998598</v>
      </c>
      <c r="C31">
        <v>0.11950000000000278</v>
      </c>
      <c r="N31" t="s">
        <v>546</v>
      </c>
    </row>
    <row r="32" spans="1:23" ht="14.7" thickBot="1" x14ac:dyDescent="0.6">
      <c r="A32">
        <v>7.7600000000001584E-2</v>
      </c>
      <c r="B32">
        <v>0.10020000000000223</v>
      </c>
      <c r="C32">
        <v>0.10340000000000232</v>
      </c>
      <c r="N32" s="12" t="s">
        <v>547</v>
      </c>
      <c r="O32" s="12" t="s">
        <v>548</v>
      </c>
      <c r="P32" s="12" t="s">
        <v>549</v>
      </c>
      <c r="Q32" s="12" t="s">
        <v>550</v>
      </c>
      <c r="R32" s="12" t="s">
        <v>551</v>
      </c>
      <c r="S32" s="12" t="s">
        <v>552</v>
      </c>
      <c r="T32" s="12" t="s">
        <v>553</v>
      </c>
    </row>
    <row r="33" spans="1:23" x14ac:dyDescent="0.55000000000000004">
      <c r="A33">
        <v>8.6500000000001839E-2</v>
      </c>
      <c r="B33">
        <v>0.10570000000000239</v>
      </c>
      <c r="C33">
        <v>0.10350000000000233</v>
      </c>
      <c r="N33" s="10" t="s">
        <v>554</v>
      </c>
      <c r="O33" s="10">
        <v>9.7901453179728315E-2</v>
      </c>
      <c r="P33" s="10">
        <v>2</v>
      </c>
      <c r="Q33" s="10">
        <v>4.8950726589864157E-2</v>
      </c>
      <c r="R33" s="10">
        <v>85.800030075389984</v>
      </c>
      <c r="S33" s="10">
        <v>8.7752573737647457E-34</v>
      </c>
      <c r="T33" s="10">
        <v>3.0096244576695916</v>
      </c>
      <c r="V33" s="2" t="s">
        <v>557</v>
      </c>
      <c r="W33" s="3" t="str">
        <f>IF(R33&gt;T33, "Significant Difference", IF(R33&lt;T33, "No Significant Difference", "Error"))</f>
        <v>Significant Difference</v>
      </c>
    </row>
    <row r="34" spans="1:23" ht="14.7" thickBot="1" x14ac:dyDescent="0.6">
      <c r="A34">
        <v>6.9300000000001347E-2</v>
      </c>
      <c r="B34">
        <v>0.22849999999999154</v>
      </c>
      <c r="C34">
        <v>0.10670000000000242</v>
      </c>
      <c r="N34" s="10" t="s">
        <v>555</v>
      </c>
      <c r="O34" s="10">
        <v>0.36969766563438816</v>
      </c>
      <c r="P34" s="10">
        <v>648</v>
      </c>
      <c r="Q34" s="10">
        <v>5.7052108894195704E-4</v>
      </c>
      <c r="R34" s="10"/>
      <c r="S34" s="10"/>
      <c r="T34" s="10"/>
      <c r="V34" s="4" t="s">
        <v>558</v>
      </c>
      <c r="W34" s="5" t="str">
        <f>IF(S33&lt;0.05, "Significant Difference", IF(S33&gt;0.05, "No Significant Difference", Error))</f>
        <v>Significant Difference</v>
      </c>
    </row>
    <row r="35" spans="1:23" x14ac:dyDescent="0.55000000000000004">
      <c r="A35">
        <v>8.8700000000001902E-2</v>
      </c>
      <c r="B35">
        <v>0.10280000000000231</v>
      </c>
      <c r="C35">
        <v>0.10410000000000234</v>
      </c>
      <c r="N35" s="10"/>
      <c r="O35" s="10"/>
      <c r="P35" s="10"/>
      <c r="Q35" s="10"/>
      <c r="R35" s="10"/>
      <c r="S35" s="10"/>
      <c r="T35" s="10"/>
    </row>
    <row r="36" spans="1:23" ht="14.7" thickBot="1" x14ac:dyDescent="0.6">
      <c r="A36">
        <v>8.3900000000001765E-2</v>
      </c>
      <c r="B36">
        <v>9.7200000000002146E-2</v>
      </c>
      <c r="C36">
        <v>0.10040000000000224</v>
      </c>
      <c r="N36" s="11" t="s">
        <v>556</v>
      </c>
      <c r="O36" s="11">
        <v>0.46759911881411648</v>
      </c>
      <c r="P36" s="11">
        <v>650</v>
      </c>
      <c r="Q36" s="11"/>
      <c r="R36" s="11"/>
      <c r="S36" s="11"/>
      <c r="T36" s="11"/>
    </row>
    <row r="37" spans="1:23" x14ac:dyDescent="0.55000000000000004">
      <c r="A37">
        <v>8.2500000000001725E-2</v>
      </c>
      <c r="B37">
        <v>0.11180000000000256</v>
      </c>
      <c r="C37">
        <v>0.11970000000000279</v>
      </c>
    </row>
    <row r="38" spans="1:23" x14ac:dyDescent="0.55000000000000004">
      <c r="A38">
        <v>9.3200000000002031E-2</v>
      </c>
      <c r="B38">
        <v>0.11700000000000271</v>
      </c>
      <c r="C38">
        <v>9.4100000000002057E-2</v>
      </c>
      <c r="N38" s="7" t="s">
        <v>578</v>
      </c>
    </row>
    <row r="39" spans="1:23" x14ac:dyDescent="0.55000000000000004">
      <c r="A39">
        <v>9.0400000000001951E-2</v>
      </c>
      <c r="B39">
        <v>0.10670000000000242</v>
      </c>
      <c r="C39">
        <v>0.10630000000000241</v>
      </c>
      <c r="N39" t="s">
        <v>539</v>
      </c>
    </row>
    <row r="40" spans="1:23" x14ac:dyDescent="0.55000000000000004">
      <c r="A40">
        <v>7.5900000000001536E-2</v>
      </c>
      <c r="B40">
        <v>0.13290000000000207</v>
      </c>
      <c r="C40">
        <v>0.12150000000000284</v>
      </c>
    </row>
    <row r="41" spans="1:23" ht="14.7" thickBot="1" x14ac:dyDescent="0.6">
      <c r="A41">
        <v>7.6600000000001556E-2</v>
      </c>
      <c r="B41">
        <v>0.10240000000000229</v>
      </c>
      <c r="C41">
        <v>0.10930000000000249</v>
      </c>
      <c r="N41" t="s">
        <v>540</v>
      </c>
    </row>
    <row r="42" spans="1:23" x14ac:dyDescent="0.55000000000000004">
      <c r="A42">
        <v>7.3500000000001467E-2</v>
      </c>
      <c r="B42">
        <v>0.12700000000000272</v>
      </c>
      <c r="C42">
        <v>0.1235000000000029</v>
      </c>
      <c r="N42" s="12" t="s">
        <v>541</v>
      </c>
      <c r="O42" s="12" t="s">
        <v>542</v>
      </c>
      <c r="P42" s="12" t="s">
        <v>543</v>
      </c>
      <c r="Q42" s="12" t="s">
        <v>544</v>
      </c>
      <c r="R42" s="12" t="s">
        <v>545</v>
      </c>
    </row>
    <row r="43" spans="1:23" x14ac:dyDescent="0.55000000000000004">
      <c r="A43">
        <v>7.7600000000001584E-2</v>
      </c>
      <c r="B43">
        <v>9.8800000000002192E-2</v>
      </c>
      <c r="C43">
        <v>9.8800000000002192E-2</v>
      </c>
      <c r="N43" s="10" t="s">
        <v>2</v>
      </c>
      <c r="O43" s="10">
        <v>217</v>
      </c>
      <c r="P43" s="10">
        <v>18.440499999778321</v>
      </c>
      <c r="Q43" s="10">
        <v>8.4979262671789499E-2</v>
      </c>
      <c r="R43" s="10">
        <v>8.1315915134353703E-4</v>
      </c>
    </row>
    <row r="44" spans="1:23" x14ac:dyDescent="0.55000000000000004">
      <c r="A44">
        <v>7.2400000000001435E-2</v>
      </c>
      <c r="B44">
        <v>0.12870000000000253</v>
      </c>
      <c r="C44">
        <v>0.12200000000000286</v>
      </c>
      <c r="N44" s="10" t="s">
        <v>534</v>
      </c>
      <c r="O44" s="10">
        <v>217</v>
      </c>
      <c r="P44" s="10">
        <v>28.277599999778282</v>
      </c>
      <c r="Q44" s="10">
        <v>0.13031152073630545</v>
      </c>
      <c r="R44" s="10">
        <v>1.4836145425688309E-3</v>
      </c>
    </row>
    <row r="45" spans="1:23" x14ac:dyDescent="0.55000000000000004">
      <c r="A45">
        <v>4.9000000000000772E-2</v>
      </c>
      <c r="B45">
        <v>8.9500000000001925E-2</v>
      </c>
      <c r="C45">
        <v>0.10300000000000231</v>
      </c>
      <c r="N45" s="10" t="s">
        <v>536</v>
      </c>
      <c r="O45" s="10">
        <v>217</v>
      </c>
      <c r="P45" s="10">
        <v>23.432699999778496</v>
      </c>
      <c r="Q45" s="10">
        <v>0.10798479262570736</v>
      </c>
      <c r="R45" s="10">
        <v>2.0789888806163923E-4</v>
      </c>
    </row>
    <row r="46" spans="1:23" ht="14.7" thickBot="1" x14ac:dyDescent="0.6">
      <c r="A46">
        <v>8.0200000000001659E-2</v>
      </c>
      <c r="B46">
        <v>0.11500000000000266</v>
      </c>
      <c r="C46">
        <v>0.11270000000000259</v>
      </c>
      <c r="N46" s="11" t="s">
        <v>538</v>
      </c>
      <c r="O46" s="11">
        <v>217</v>
      </c>
      <c r="P46" s="11">
        <v>20.804799999778428</v>
      </c>
      <c r="Q46" s="11">
        <v>9.5874654376859117E-2</v>
      </c>
      <c r="R46" s="11">
        <v>1.2236023427508735E-4</v>
      </c>
    </row>
    <row r="47" spans="1:23" x14ac:dyDescent="0.55000000000000004">
      <c r="A47">
        <v>7.0600000000001384E-2</v>
      </c>
      <c r="B47">
        <v>0.24479999999998975</v>
      </c>
      <c r="C47">
        <v>0.10470000000000236</v>
      </c>
    </row>
    <row r="48" spans="1:23" x14ac:dyDescent="0.55000000000000004">
      <c r="A48">
        <v>7.920000000000163E-2</v>
      </c>
      <c r="B48">
        <v>0.11090000000000254</v>
      </c>
      <c r="C48">
        <v>0.10420000000000235</v>
      </c>
    </row>
    <row r="49" spans="1:23" ht="14.7" thickBot="1" x14ac:dyDescent="0.6">
      <c r="A49">
        <v>7.500000000000151E-2</v>
      </c>
      <c r="B49">
        <v>8.9400000000001922E-2</v>
      </c>
      <c r="C49">
        <v>9.9000000000002197E-2</v>
      </c>
      <c r="N49" t="s">
        <v>546</v>
      </c>
    </row>
    <row r="50" spans="1:23" ht="14.7" thickBot="1" x14ac:dyDescent="0.6">
      <c r="A50">
        <v>8.930000000000192E-2</v>
      </c>
      <c r="B50">
        <v>0.11150000000000256</v>
      </c>
      <c r="C50">
        <v>0.10890000000000248</v>
      </c>
      <c r="N50" s="12" t="s">
        <v>547</v>
      </c>
      <c r="O50" s="12" t="s">
        <v>548</v>
      </c>
      <c r="P50" s="12" t="s">
        <v>549</v>
      </c>
      <c r="Q50" s="12" t="s">
        <v>550</v>
      </c>
      <c r="R50" s="12" t="s">
        <v>551</v>
      </c>
      <c r="S50" s="12" t="s">
        <v>552</v>
      </c>
      <c r="T50" s="12" t="s">
        <v>553</v>
      </c>
    </row>
    <row r="51" spans="1:23" x14ac:dyDescent="0.55000000000000004">
      <c r="A51">
        <v>6.220000000000115E-2</v>
      </c>
      <c r="B51">
        <v>8.6000000000001825E-2</v>
      </c>
      <c r="C51">
        <v>8.8500000000001897E-2</v>
      </c>
      <c r="N51" s="10" t="s">
        <v>554</v>
      </c>
      <c r="O51" s="10">
        <v>0.24597023732718748</v>
      </c>
      <c r="P51" s="10">
        <v>3</v>
      </c>
      <c r="Q51" s="10">
        <v>8.1990079109062489E-2</v>
      </c>
      <c r="R51" s="10">
        <v>124.84058608164308</v>
      </c>
      <c r="S51" s="10">
        <v>3.5610385439480925E-67</v>
      </c>
      <c r="T51" s="10">
        <v>2.6152069653408692</v>
      </c>
      <c r="V51" s="2" t="s">
        <v>557</v>
      </c>
      <c r="W51" s="3" t="str">
        <f>IF(R51&gt;T51, "Significant Difference", IF(R51&lt;T51, "No Significant Difference", "Error"))</f>
        <v>Significant Difference</v>
      </c>
    </row>
    <row r="52" spans="1:23" ht="14.7" thickBot="1" x14ac:dyDescent="0.6">
      <c r="A52">
        <v>7.5600000000001527E-2</v>
      </c>
      <c r="B52">
        <v>0.1097000000000025</v>
      </c>
      <c r="C52">
        <v>0.11590000000000268</v>
      </c>
      <c r="N52" s="10" t="s">
        <v>555</v>
      </c>
      <c r="O52" s="10">
        <v>0.56743908830981071</v>
      </c>
      <c r="P52" s="10">
        <v>864</v>
      </c>
      <c r="Q52" s="10">
        <v>6.5675820406228087E-4</v>
      </c>
      <c r="R52" s="10"/>
      <c r="S52" s="10"/>
      <c r="T52" s="10"/>
      <c r="V52" s="4" t="s">
        <v>558</v>
      </c>
      <c r="W52" s="5" t="str">
        <f>IF(S51&lt;0.05, "Significant Difference", IF(S51&gt;0.05, "No Significant Difference", Error))</f>
        <v>Significant Difference</v>
      </c>
    </row>
    <row r="53" spans="1:23" x14ac:dyDescent="0.55000000000000004">
      <c r="A53">
        <v>9.1300000000001977E-2</v>
      </c>
      <c r="B53">
        <v>0.25369999999998877</v>
      </c>
      <c r="C53">
        <v>0.10530000000000238</v>
      </c>
      <c r="N53" s="10"/>
      <c r="O53" s="10"/>
      <c r="P53" s="10"/>
      <c r="Q53" s="10"/>
      <c r="R53" s="10"/>
      <c r="S53" s="10"/>
      <c r="T53" s="10"/>
    </row>
    <row r="54" spans="1:23" ht="14.7" thickBot="1" x14ac:dyDescent="0.6">
      <c r="A54">
        <v>0.10740000000000244</v>
      </c>
      <c r="B54">
        <v>0.24869999999998932</v>
      </c>
      <c r="C54">
        <v>0.13250000000000212</v>
      </c>
      <c r="N54" s="11" t="s">
        <v>556</v>
      </c>
      <c r="O54" s="11">
        <v>0.81340932563699819</v>
      </c>
      <c r="P54" s="11">
        <v>867</v>
      </c>
      <c r="Q54" s="11"/>
      <c r="R54" s="11"/>
      <c r="S54" s="11"/>
      <c r="T54" s="11"/>
    </row>
    <row r="55" spans="1:23" x14ac:dyDescent="0.55000000000000004">
      <c r="A55">
        <v>9.5400000000002094E-2</v>
      </c>
      <c r="B55">
        <v>0.10740000000000244</v>
      </c>
      <c r="C55">
        <v>0.11780000000000274</v>
      </c>
    </row>
    <row r="56" spans="1:23" x14ac:dyDescent="0.55000000000000004">
      <c r="A56">
        <v>6.9100000000001341E-2</v>
      </c>
      <c r="B56">
        <v>0.12840000000000257</v>
      </c>
      <c r="C56">
        <v>0.10810000000000246</v>
      </c>
    </row>
    <row r="57" spans="1:23" x14ac:dyDescent="0.55000000000000004">
      <c r="A57">
        <v>7.9300000000001633E-2</v>
      </c>
      <c r="B57">
        <v>9.56000000000021E-2</v>
      </c>
      <c r="C57">
        <v>9.5800000000002106E-2</v>
      </c>
      <c r="N57" t="s">
        <v>559</v>
      </c>
      <c r="Q57" s="6" t="s">
        <v>560</v>
      </c>
    </row>
    <row r="58" spans="1:23" x14ac:dyDescent="0.55000000000000004">
      <c r="A58">
        <v>7.570000000000153E-2</v>
      </c>
      <c r="B58">
        <v>0.10410000000000234</v>
      </c>
      <c r="C58">
        <v>0.12300000000000288</v>
      </c>
      <c r="N58" t="s">
        <v>561</v>
      </c>
      <c r="O58">
        <v>6</v>
      </c>
    </row>
    <row r="59" spans="1:23" x14ac:dyDescent="0.55000000000000004">
      <c r="A59">
        <v>9.280000000000202E-2</v>
      </c>
      <c r="B59">
        <v>0.10980000000000251</v>
      </c>
      <c r="C59">
        <v>0.11140000000000255</v>
      </c>
      <c r="N59" t="s">
        <v>562</v>
      </c>
      <c r="O59">
        <f>O58*(O58-1)/2</f>
        <v>15</v>
      </c>
    </row>
    <row r="60" spans="1:23" x14ac:dyDescent="0.55000000000000004">
      <c r="A60">
        <v>0.11350000000000261</v>
      </c>
      <c r="B60">
        <v>0.10690000000000242</v>
      </c>
      <c r="C60">
        <v>0.11510000000000266</v>
      </c>
      <c r="N60" t="s">
        <v>563</v>
      </c>
      <c r="O60">
        <v>0.05</v>
      </c>
    </row>
    <row r="61" spans="1:23" x14ac:dyDescent="0.55000000000000004">
      <c r="A61">
        <v>7.0500000000001381E-2</v>
      </c>
      <c r="B61">
        <v>0.10890000000000248</v>
      </c>
      <c r="C61">
        <v>0.11540000000000267</v>
      </c>
      <c r="N61" t="s">
        <v>564</v>
      </c>
      <c r="O61">
        <f>O60/O59</f>
        <v>3.3333333333333335E-3</v>
      </c>
      <c r="Q61" t="s">
        <v>565</v>
      </c>
    </row>
    <row r="62" spans="1:23" x14ac:dyDescent="0.55000000000000004">
      <c r="A62">
        <v>9.4800000000002077E-2</v>
      </c>
      <c r="B62">
        <v>0.11070000000000253</v>
      </c>
      <c r="C62">
        <v>0.10550000000000238</v>
      </c>
    </row>
    <row r="63" spans="1:23" x14ac:dyDescent="0.55000000000000004">
      <c r="A63">
        <v>8.2400000000001722E-2</v>
      </c>
      <c r="B63">
        <v>0.12140000000000284</v>
      </c>
      <c r="C63">
        <v>0.11510000000000266</v>
      </c>
      <c r="N63" s="7" t="s">
        <v>576</v>
      </c>
      <c r="R63" s="7" t="s">
        <v>577</v>
      </c>
    </row>
    <row r="64" spans="1:23" x14ac:dyDescent="0.55000000000000004">
      <c r="A64">
        <v>0.10450000000000235</v>
      </c>
      <c r="B64">
        <v>0.23759999999999054</v>
      </c>
      <c r="C64">
        <v>0.11470000000000265</v>
      </c>
      <c r="N64" t="s">
        <v>566</v>
      </c>
      <c r="R64" t="s">
        <v>566</v>
      </c>
    </row>
    <row r="65" spans="1:20" ht="14.7" thickBot="1" x14ac:dyDescent="0.6">
      <c r="A65">
        <v>7.500000000000151E-2</v>
      </c>
      <c r="B65">
        <v>0.10730000000000244</v>
      </c>
      <c r="C65">
        <v>0.12750000000000267</v>
      </c>
    </row>
    <row r="66" spans="1:20" x14ac:dyDescent="0.55000000000000004">
      <c r="A66">
        <v>9.4500000000002068E-2</v>
      </c>
      <c r="B66">
        <v>0.13220000000000215</v>
      </c>
      <c r="C66">
        <v>0.12710000000000271</v>
      </c>
      <c r="N66" s="12"/>
      <c r="O66" s="12" t="s">
        <v>2</v>
      </c>
      <c r="P66" s="12" t="s">
        <v>530</v>
      </c>
      <c r="R66" s="12"/>
      <c r="S66" s="12" t="s">
        <v>2</v>
      </c>
      <c r="T66" s="12" t="s">
        <v>532</v>
      </c>
    </row>
    <row r="67" spans="1:20" x14ac:dyDescent="0.55000000000000004">
      <c r="A67">
        <v>8.4800000000001791E-2</v>
      </c>
      <c r="B67">
        <v>0.12710000000000271</v>
      </c>
      <c r="C67">
        <v>0.12100000000000283</v>
      </c>
      <c r="N67" s="10" t="s">
        <v>567</v>
      </c>
      <c r="O67" s="10">
        <v>8.2712411344956493E-2</v>
      </c>
      <c r="P67" s="10">
        <v>0.1174306737563016</v>
      </c>
      <c r="R67" s="10" t="s">
        <v>567</v>
      </c>
      <c r="S67" s="10">
        <v>8.2712411344956493E-2</v>
      </c>
      <c r="T67" s="10">
        <v>0.10790141843715351</v>
      </c>
    </row>
    <row r="68" spans="1:20" x14ac:dyDescent="0.55000000000000004">
      <c r="A68">
        <v>8.6200000000001831E-2</v>
      </c>
      <c r="B68">
        <v>0.1095000000000025</v>
      </c>
      <c r="C68">
        <v>0.1129000000000026</v>
      </c>
      <c r="N68" s="10" t="s">
        <v>545</v>
      </c>
      <c r="O68" s="10">
        <v>4.202112133600083E-4</v>
      </c>
      <c r="P68" s="10">
        <v>1.3816205672665981E-3</v>
      </c>
      <c r="R68" s="10" t="s">
        <v>545</v>
      </c>
      <c r="S68" s="10">
        <v>4.202112133600083E-4</v>
      </c>
      <c r="T68" s="10">
        <v>1.0902117027470388E-4</v>
      </c>
    </row>
    <row r="69" spans="1:20" x14ac:dyDescent="0.55000000000000004">
      <c r="A69">
        <v>9.2900000000002023E-2</v>
      </c>
      <c r="B69">
        <v>0.27109999999998685</v>
      </c>
      <c r="C69">
        <v>0.10820000000000246</v>
      </c>
      <c r="N69" s="10" t="s">
        <v>568</v>
      </c>
      <c r="O69" s="10">
        <v>564</v>
      </c>
      <c r="P69" s="10">
        <v>564</v>
      </c>
      <c r="R69" s="10" t="s">
        <v>568</v>
      </c>
      <c r="S69" s="10">
        <v>564</v>
      </c>
      <c r="T69" s="10">
        <v>564</v>
      </c>
    </row>
    <row r="70" spans="1:20" x14ac:dyDescent="0.55000000000000004">
      <c r="A70">
        <v>8.2200000000001716E-2</v>
      </c>
      <c r="B70">
        <v>9.1300000000001977E-2</v>
      </c>
      <c r="C70">
        <v>0.10310000000000231</v>
      </c>
      <c r="N70" s="10" t="s">
        <v>569</v>
      </c>
      <c r="O70" s="10">
        <v>0</v>
      </c>
      <c r="P70" s="10"/>
      <c r="R70" s="10" t="s">
        <v>569</v>
      </c>
      <c r="S70" s="10">
        <v>0</v>
      </c>
      <c r="T70" s="10"/>
    </row>
    <row r="71" spans="1:20" x14ac:dyDescent="0.55000000000000004">
      <c r="A71">
        <v>7.3000000000001453E-2</v>
      </c>
      <c r="B71">
        <v>0.11750000000000273</v>
      </c>
      <c r="C71">
        <v>0.10150000000000227</v>
      </c>
      <c r="N71" s="10" t="s">
        <v>549</v>
      </c>
      <c r="O71" s="10">
        <v>876</v>
      </c>
      <c r="P71" s="10"/>
      <c r="R71" s="10" t="s">
        <v>549</v>
      </c>
      <c r="S71" s="10">
        <v>837</v>
      </c>
      <c r="T71" s="10"/>
    </row>
    <row r="72" spans="1:20" x14ac:dyDescent="0.55000000000000004">
      <c r="A72">
        <v>8.0500000000001667E-2</v>
      </c>
      <c r="B72">
        <v>0.12050000000000281</v>
      </c>
      <c r="C72">
        <v>0.12730000000000269</v>
      </c>
      <c r="N72" s="10" t="s">
        <v>570</v>
      </c>
      <c r="O72" s="10">
        <v>-19.42407793880049</v>
      </c>
      <c r="P72" s="10"/>
      <c r="R72" s="10" t="s">
        <v>570</v>
      </c>
      <c r="S72" s="10">
        <v>-26.003235865035336</v>
      </c>
      <c r="T72" s="10"/>
    </row>
    <row r="73" spans="1:20" x14ac:dyDescent="0.55000000000000004">
      <c r="A73">
        <v>8.8800000000001628E-2</v>
      </c>
      <c r="B73">
        <v>0.11620000000000241</v>
      </c>
      <c r="C73">
        <v>0.1226000000000026</v>
      </c>
      <c r="N73" s="10" t="s">
        <v>571</v>
      </c>
      <c r="O73" s="10">
        <v>1.8136734341654453E-70</v>
      </c>
      <c r="P73" s="10"/>
      <c r="R73" s="10" t="s">
        <v>571</v>
      </c>
      <c r="S73" s="10">
        <v>4.9146761127985809E-110</v>
      </c>
      <c r="T73" s="10"/>
    </row>
    <row r="74" spans="1:20" x14ac:dyDescent="0.55000000000000004">
      <c r="A74">
        <v>9.2400000000002008E-2</v>
      </c>
      <c r="B74">
        <v>0.11930000000000278</v>
      </c>
      <c r="C74">
        <v>0.11870000000000276</v>
      </c>
      <c r="N74" s="10" t="s">
        <v>572</v>
      </c>
      <c r="O74" s="10">
        <v>1.6465949416381265</v>
      </c>
      <c r="P74" s="10"/>
      <c r="R74" s="10" t="s">
        <v>572</v>
      </c>
      <c r="S74" s="10">
        <v>1.6466761685633626</v>
      </c>
      <c r="T74" s="10"/>
    </row>
    <row r="75" spans="1:20" x14ac:dyDescent="0.55000000000000004">
      <c r="A75">
        <v>8.4200000000001773E-2</v>
      </c>
      <c r="B75">
        <v>0.20379999999999426</v>
      </c>
      <c r="C75">
        <v>0.11280000000000259</v>
      </c>
      <c r="N75" s="10" t="s">
        <v>573</v>
      </c>
      <c r="O75" s="10">
        <v>3.6273468683308906E-70</v>
      </c>
      <c r="P75" s="10"/>
      <c r="R75" s="10" t="s">
        <v>573</v>
      </c>
      <c r="S75" s="10">
        <v>9.8293522255971618E-110</v>
      </c>
      <c r="T75" s="10"/>
    </row>
    <row r="76" spans="1:20" ht="14.7" thickBot="1" x14ac:dyDescent="0.6">
      <c r="A76">
        <v>9.8600000000002186E-2</v>
      </c>
      <c r="B76">
        <v>0.11060000000000253</v>
      </c>
      <c r="C76">
        <v>0.11180000000000256</v>
      </c>
      <c r="N76" s="11" t="s">
        <v>574</v>
      </c>
      <c r="O76" s="11">
        <v>1.9626757386424361</v>
      </c>
      <c r="P76" s="11"/>
      <c r="R76" s="11" t="s">
        <v>574</v>
      </c>
      <c r="S76" s="11">
        <v>1.9628022725234149</v>
      </c>
      <c r="T76" s="11"/>
    </row>
    <row r="77" spans="1:20" x14ac:dyDescent="0.55000000000000004">
      <c r="A77">
        <v>8.0100000000001656E-2</v>
      </c>
      <c r="B77">
        <v>0.12520000000000292</v>
      </c>
      <c r="C77">
        <v>0.13040000000000235</v>
      </c>
    </row>
    <row r="78" spans="1:20" x14ac:dyDescent="0.55000000000000004">
      <c r="A78">
        <v>7.8800000000001619E-2</v>
      </c>
      <c r="B78">
        <v>0.12510000000000293</v>
      </c>
      <c r="C78">
        <v>0.1202000000000028</v>
      </c>
      <c r="N78" s="8" t="s">
        <v>575</v>
      </c>
      <c r="O78" s="8" t="str">
        <f>IF(O75&lt;$O$61, "Sig Diff", IF(O75&gt;$O$61, "No Sig Diff", "Error"))</f>
        <v>Sig Diff</v>
      </c>
      <c r="R78" s="8" t="s">
        <v>575</v>
      </c>
      <c r="S78" s="8" t="str">
        <f>IF(S75&lt;$O$61, "Sig Diff", IF(S75&gt;$O$61, "No Sig Diff", "Error"))</f>
        <v>Sig Diff</v>
      </c>
    </row>
    <row r="79" spans="1:20" x14ac:dyDescent="0.55000000000000004">
      <c r="A79">
        <v>9.6700000000002131E-2</v>
      </c>
      <c r="B79">
        <v>0.10740000000000244</v>
      </c>
      <c r="C79">
        <v>0.10900000000000248</v>
      </c>
    </row>
    <row r="80" spans="1:20" x14ac:dyDescent="0.55000000000000004">
      <c r="A80">
        <v>9.630000000000212E-2</v>
      </c>
      <c r="B80">
        <v>9.6000000000002111E-2</v>
      </c>
      <c r="C80">
        <v>0.10870000000000248</v>
      </c>
      <c r="N80" s="7" t="s">
        <v>578</v>
      </c>
      <c r="R80" s="7" t="s">
        <v>579</v>
      </c>
    </row>
    <row r="81" spans="1:20" x14ac:dyDescent="0.55000000000000004">
      <c r="A81">
        <v>7.5400000000001521E-2</v>
      </c>
      <c r="B81">
        <v>0.10220000000000229</v>
      </c>
      <c r="C81">
        <v>0.10010000000000223</v>
      </c>
      <c r="N81" t="s">
        <v>566</v>
      </c>
      <c r="R81" t="s">
        <v>566</v>
      </c>
    </row>
    <row r="82" spans="1:20" ht="14.7" thickBot="1" x14ac:dyDescent="0.6">
      <c r="A82">
        <v>7.6700000000001559E-2</v>
      </c>
      <c r="B82">
        <v>0.11340000000000261</v>
      </c>
      <c r="C82">
        <v>0.10680000000000242</v>
      </c>
    </row>
    <row r="83" spans="1:20" x14ac:dyDescent="0.55000000000000004">
      <c r="A83">
        <v>8.9000000000001911E-2</v>
      </c>
      <c r="B83">
        <v>0.1308000000000023</v>
      </c>
      <c r="C83">
        <v>0.10280000000000231</v>
      </c>
      <c r="N83" s="12"/>
      <c r="O83" s="12" t="s">
        <v>2</v>
      </c>
      <c r="P83" s="12" t="s">
        <v>534</v>
      </c>
      <c r="R83" s="12"/>
      <c r="S83" s="12" t="s">
        <v>2</v>
      </c>
      <c r="T83" s="12" t="s">
        <v>536</v>
      </c>
    </row>
    <row r="84" spans="1:20" x14ac:dyDescent="0.55000000000000004">
      <c r="A84">
        <v>8.1700000000001702E-2</v>
      </c>
      <c r="B84">
        <v>0.11860000000000276</v>
      </c>
      <c r="C84">
        <v>0.11140000000000255</v>
      </c>
      <c r="N84" s="10" t="s">
        <v>567</v>
      </c>
      <c r="O84" s="10">
        <v>8.4979262671789499E-2</v>
      </c>
      <c r="P84" s="10">
        <v>0.13031152073630545</v>
      </c>
      <c r="R84" s="10" t="s">
        <v>567</v>
      </c>
      <c r="S84" s="10">
        <v>8.4979262671789499E-2</v>
      </c>
      <c r="T84" s="10">
        <v>0.10798479262570736</v>
      </c>
    </row>
    <row r="85" spans="1:20" x14ac:dyDescent="0.55000000000000004">
      <c r="A85">
        <v>8.4300000000001776E-2</v>
      </c>
      <c r="B85">
        <v>0.10990000000000251</v>
      </c>
      <c r="C85">
        <v>0.11000000000000251</v>
      </c>
      <c r="N85" s="10" t="s">
        <v>545</v>
      </c>
      <c r="O85" s="10">
        <v>8.1315915134353703E-4</v>
      </c>
      <c r="P85" s="10">
        <v>1.4836145425688309E-3</v>
      </c>
      <c r="R85" s="10" t="s">
        <v>545</v>
      </c>
      <c r="S85" s="10">
        <v>8.1315915134353703E-4</v>
      </c>
      <c r="T85" s="10">
        <v>2.0789888806163923E-4</v>
      </c>
    </row>
    <row r="86" spans="1:20" x14ac:dyDescent="0.55000000000000004">
      <c r="A86">
        <v>8.8000000000001882E-2</v>
      </c>
      <c r="B86">
        <v>0.27799999999998609</v>
      </c>
      <c r="C86">
        <v>0.10300000000000231</v>
      </c>
      <c r="N86" s="10" t="s">
        <v>568</v>
      </c>
      <c r="O86" s="10">
        <v>217</v>
      </c>
      <c r="P86" s="10">
        <v>217</v>
      </c>
      <c r="R86" s="10" t="s">
        <v>568</v>
      </c>
      <c r="S86" s="10">
        <v>217</v>
      </c>
      <c r="T86" s="10">
        <v>217</v>
      </c>
    </row>
    <row r="87" spans="1:20" x14ac:dyDescent="0.55000000000000004">
      <c r="A87">
        <v>8.5800000000001819E-2</v>
      </c>
      <c r="B87">
        <v>0.24639999999998957</v>
      </c>
      <c r="C87">
        <v>9.9900000000002223E-2</v>
      </c>
      <c r="N87" s="10" t="s">
        <v>569</v>
      </c>
      <c r="O87" s="10">
        <v>0</v>
      </c>
      <c r="P87" s="10"/>
      <c r="R87" s="10" t="s">
        <v>569</v>
      </c>
      <c r="S87" s="10">
        <v>0</v>
      </c>
      <c r="T87" s="10"/>
    </row>
    <row r="88" spans="1:20" x14ac:dyDescent="0.55000000000000004">
      <c r="A88">
        <v>8.8400000000001894E-2</v>
      </c>
      <c r="B88">
        <v>0.1130000000000026</v>
      </c>
      <c r="C88">
        <v>0.11860000000000276</v>
      </c>
      <c r="N88" s="10" t="s">
        <v>549</v>
      </c>
      <c r="O88" s="10">
        <v>398</v>
      </c>
      <c r="P88" s="10"/>
      <c r="R88" s="10" t="s">
        <v>549</v>
      </c>
      <c r="S88" s="10">
        <v>320</v>
      </c>
      <c r="T88" s="10"/>
    </row>
    <row r="89" spans="1:20" x14ac:dyDescent="0.55000000000000004">
      <c r="A89">
        <v>7.220000000000143E-2</v>
      </c>
      <c r="B89">
        <v>0.10730000000000244</v>
      </c>
      <c r="C89">
        <v>0.10590000000000239</v>
      </c>
      <c r="N89" s="10" t="s">
        <v>570</v>
      </c>
      <c r="O89" s="10">
        <v>-13.934074130407613</v>
      </c>
      <c r="P89" s="10"/>
      <c r="R89" s="10" t="s">
        <v>570</v>
      </c>
      <c r="S89" s="10">
        <v>-10.605640322342802</v>
      </c>
      <c r="T89" s="10"/>
    </row>
    <row r="90" spans="1:20" x14ac:dyDescent="0.55000000000000004">
      <c r="A90">
        <v>7.6300000000001547E-2</v>
      </c>
      <c r="B90">
        <v>8.4400000000001779E-2</v>
      </c>
      <c r="C90">
        <v>8.3900000000001765E-2</v>
      </c>
      <c r="N90" s="10" t="s">
        <v>571</v>
      </c>
      <c r="O90" s="10">
        <v>1.5930367492486261E-36</v>
      </c>
      <c r="P90" s="10"/>
      <c r="R90" s="10" t="s">
        <v>571</v>
      </c>
      <c r="S90" s="10">
        <v>5.0837069338624516E-23</v>
      </c>
      <c r="T90" s="10"/>
    </row>
    <row r="91" spans="1:20" x14ac:dyDescent="0.55000000000000004">
      <c r="A91">
        <v>7.2800000000001447E-2</v>
      </c>
      <c r="B91">
        <v>0.1199000000000028</v>
      </c>
      <c r="C91">
        <v>0.10400000000000234</v>
      </c>
      <c r="N91" s="10" t="s">
        <v>572</v>
      </c>
      <c r="O91" s="10">
        <v>1.6486911739598198</v>
      </c>
      <c r="P91" s="10"/>
      <c r="R91" s="10" t="s">
        <v>572</v>
      </c>
      <c r="S91" s="10">
        <v>1.6496293047476565</v>
      </c>
      <c r="T91" s="10"/>
    </row>
    <row r="92" spans="1:20" x14ac:dyDescent="0.55000000000000004">
      <c r="A92">
        <v>8.8400000000001894E-2</v>
      </c>
      <c r="B92">
        <v>0.10020000000000223</v>
      </c>
      <c r="C92">
        <v>0.1096000000000025</v>
      </c>
      <c r="N92" s="10" t="s">
        <v>573</v>
      </c>
      <c r="O92" s="10">
        <v>3.1860734984972521E-36</v>
      </c>
      <c r="P92" s="10"/>
      <c r="R92" s="10" t="s">
        <v>573</v>
      </c>
      <c r="S92" s="10">
        <v>1.0167413867724903E-22</v>
      </c>
      <c r="T92" s="10"/>
    </row>
    <row r="93" spans="1:20" ht="14.7" thickBot="1" x14ac:dyDescent="0.6">
      <c r="A93">
        <v>8.6200000000001831E-2</v>
      </c>
      <c r="B93">
        <v>0.26379999999998766</v>
      </c>
      <c r="C93">
        <v>0.11350000000000261</v>
      </c>
      <c r="N93" s="11" t="s">
        <v>574</v>
      </c>
      <c r="O93" s="11">
        <v>1.965942323976257</v>
      </c>
      <c r="P93" s="11"/>
      <c r="R93" s="11" t="s">
        <v>574</v>
      </c>
      <c r="S93" s="11">
        <v>1.967404973747932</v>
      </c>
      <c r="T93" s="11"/>
    </row>
    <row r="94" spans="1:20" x14ac:dyDescent="0.55000000000000004">
      <c r="A94">
        <v>7.3100000000001455E-2</v>
      </c>
      <c r="B94">
        <v>0.12550000000000289</v>
      </c>
      <c r="C94">
        <v>0.10930000000000249</v>
      </c>
    </row>
    <row r="95" spans="1:20" x14ac:dyDescent="0.55000000000000004">
      <c r="A95">
        <v>7.3700000000001473E-2</v>
      </c>
      <c r="B95">
        <v>0.11100000000000254</v>
      </c>
      <c r="C95">
        <v>0.11420000000000263</v>
      </c>
      <c r="N95" s="8" t="s">
        <v>575</v>
      </c>
      <c r="O95" s="8" t="str">
        <f>IF(O92&lt;$O$61, "Sig Diff", IF(O92&gt;$O$61, "No Sig Diff", "Error"))</f>
        <v>Sig Diff</v>
      </c>
      <c r="R95" s="8" t="s">
        <v>575</v>
      </c>
      <c r="S95" s="8" t="str">
        <f>IF(S92&lt;$O$61, "Sig Diff", IF(S92&gt;$O$61, "No Sig Diff", "Error"))</f>
        <v>Sig Diff</v>
      </c>
    </row>
    <row r="96" spans="1:20" x14ac:dyDescent="0.55000000000000004">
      <c r="A96">
        <v>7.2600000000001441E-2</v>
      </c>
      <c r="B96">
        <v>0.25039999999998913</v>
      </c>
      <c r="C96">
        <v>0.10370000000000233</v>
      </c>
    </row>
    <row r="97" spans="1:20" x14ac:dyDescent="0.55000000000000004">
      <c r="A97">
        <v>8.8200000000001888E-2</v>
      </c>
      <c r="B97">
        <v>0.11450000000000264</v>
      </c>
      <c r="C97">
        <v>9.8300000000002177E-2</v>
      </c>
      <c r="N97" s="7" t="s">
        <v>580</v>
      </c>
      <c r="O97" s="1"/>
      <c r="P97" s="1"/>
      <c r="R97" s="7" t="s">
        <v>581</v>
      </c>
    </row>
    <row r="98" spans="1:20" x14ac:dyDescent="0.55000000000000004">
      <c r="A98">
        <v>7.640000000000155E-2</v>
      </c>
      <c r="B98">
        <v>0.11580000000000268</v>
      </c>
      <c r="C98">
        <v>0.10910000000000249</v>
      </c>
      <c r="N98" t="s">
        <v>566</v>
      </c>
      <c r="R98" t="s">
        <v>566</v>
      </c>
    </row>
    <row r="99" spans="1:20" ht="14.7" thickBot="1" x14ac:dyDescent="0.6">
      <c r="A99">
        <v>8.3200000000001745E-2</v>
      </c>
      <c r="B99">
        <v>0.10560000000000239</v>
      </c>
      <c r="C99">
        <v>0.11490000000000265</v>
      </c>
    </row>
    <row r="100" spans="1:20" x14ac:dyDescent="0.55000000000000004">
      <c r="A100">
        <v>0.10130000000000226</v>
      </c>
      <c r="B100">
        <v>0.1094000000000025</v>
      </c>
      <c r="C100">
        <v>0.12240000000000287</v>
      </c>
      <c r="N100" s="12"/>
      <c r="O100" s="12" t="s">
        <v>2</v>
      </c>
      <c r="P100" s="12" t="s">
        <v>538</v>
      </c>
      <c r="R100" s="12"/>
      <c r="S100" s="12" t="s">
        <v>530</v>
      </c>
      <c r="T100" s="12" t="s">
        <v>532</v>
      </c>
    </row>
    <row r="101" spans="1:20" x14ac:dyDescent="0.55000000000000004">
      <c r="A101">
        <v>9.6000000000002111E-2</v>
      </c>
      <c r="B101">
        <v>9.7100000000002143E-2</v>
      </c>
      <c r="C101">
        <v>9.140000000000198E-2</v>
      </c>
      <c r="N101" s="10" t="s">
        <v>567</v>
      </c>
      <c r="O101" s="10">
        <v>8.4979262671789499E-2</v>
      </c>
      <c r="P101" s="10">
        <v>9.5874654376859117E-2</v>
      </c>
      <c r="R101" s="10" t="s">
        <v>567</v>
      </c>
      <c r="S101" s="10">
        <v>0.1174306737563016</v>
      </c>
      <c r="T101" s="10">
        <v>0.10790141843715351</v>
      </c>
    </row>
    <row r="102" spans="1:20" x14ac:dyDescent="0.55000000000000004">
      <c r="A102">
        <v>8.0200000000001659E-2</v>
      </c>
      <c r="B102">
        <v>9.8500000000002183E-2</v>
      </c>
      <c r="C102">
        <v>0.11220000000000258</v>
      </c>
      <c r="N102" s="10" t="s">
        <v>545</v>
      </c>
      <c r="O102" s="10">
        <v>8.1315915134353703E-4</v>
      </c>
      <c r="P102" s="10">
        <v>1.2236023427508735E-4</v>
      </c>
      <c r="R102" s="10" t="s">
        <v>545</v>
      </c>
      <c r="S102" s="10">
        <v>1.3816205672665981E-3</v>
      </c>
      <c r="T102" s="10">
        <v>1.0902117027470388E-4</v>
      </c>
    </row>
    <row r="103" spans="1:20" x14ac:dyDescent="0.55000000000000004">
      <c r="A103">
        <v>8.9200000000001917E-2</v>
      </c>
      <c r="B103">
        <v>9.3400000000002037E-2</v>
      </c>
      <c r="C103">
        <v>8.8300000000001891E-2</v>
      </c>
      <c r="N103" s="10" t="s">
        <v>568</v>
      </c>
      <c r="O103" s="10">
        <v>217</v>
      </c>
      <c r="P103" s="10">
        <v>217</v>
      </c>
      <c r="R103" s="10" t="s">
        <v>568</v>
      </c>
      <c r="S103" s="10">
        <v>564</v>
      </c>
      <c r="T103" s="10">
        <v>564</v>
      </c>
    </row>
    <row r="104" spans="1:20" x14ac:dyDescent="0.55000000000000004">
      <c r="A104">
        <v>8.3800000000001762E-2</v>
      </c>
      <c r="B104">
        <v>0.1027000000000023</v>
      </c>
      <c r="C104">
        <v>9.000000000000194E-2</v>
      </c>
      <c r="N104" s="10" t="s">
        <v>569</v>
      </c>
      <c r="O104" s="10">
        <v>0</v>
      </c>
      <c r="P104" s="10"/>
      <c r="R104" s="10" t="s">
        <v>569</v>
      </c>
      <c r="S104" s="10">
        <v>0</v>
      </c>
      <c r="T104" s="10"/>
    </row>
    <row r="105" spans="1:20" x14ac:dyDescent="0.55000000000000004">
      <c r="A105">
        <v>8.4500000000001782E-2</v>
      </c>
      <c r="B105">
        <v>0.26639999999998737</v>
      </c>
      <c r="C105">
        <v>0.12870000000000253</v>
      </c>
      <c r="N105" s="10" t="s">
        <v>549</v>
      </c>
      <c r="O105" s="10">
        <v>280</v>
      </c>
      <c r="P105" s="10"/>
      <c r="R105" s="10" t="s">
        <v>549</v>
      </c>
      <c r="S105" s="10">
        <v>651</v>
      </c>
      <c r="T105" s="10"/>
    </row>
    <row r="106" spans="1:20" x14ac:dyDescent="0.55000000000000004">
      <c r="A106">
        <v>7.850000000000161E-2</v>
      </c>
      <c r="B106">
        <v>0.10050000000000224</v>
      </c>
      <c r="C106">
        <v>0.10490000000000237</v>
      </c>
      <c r="N106" s="10" t="s">
        <v>570</v>
      </c>
      <c r="O106" s="10">
        <v>-5.2474259619436783</v>
      </c>
      <c r="P106" s="10"/>
      <c r="R106" s="10" t="s">
        <v>570</v>
      </c>
      <c r="S106" s="10">
        <v>5.8615419383490401</v>
      </c>
      <c r="T106" s="10"/>
    </row>
    <row r="107" spans="1:20" x14ac:dyDescent="0.55000000000000004">
      <c r="A107">
        <v>9.840000000000218E-2</v>
      </c>
      <c r="B107">
        <v>0.11750000000000273</v>
      </c>
      <c r="C107">
        <v>0.11830000000000275</v>
      </c>
      <c r="N107" s="10" t="s">
        <v>571</v>
      </c>
      <c r="O107" s="10">
        <v>1.5250319697000789E-7</v>
      </c>
      <c r="P107" s="10"/>
      <c r="R107" s="10" t="s">
        <v>571</v>
      </c>
      <c r="S107" s="10">
        <v>3.6444968276303928E-9</v>
      </c>
      <c r="T107" s="10"/>
    </row>
    <row r="108" spans="1:20" x14ac:dyDescent="0.55000000000000004">
      <c r="A108">
        <v>9.1600000000001985E-2</v>
      </c>
      <c r="B108">
        <v>0.1236000000000029</v>
      </c>
      <c r="C108">
        <v>0.12480000000000294</v>
      </c>
      <c r="N108" s="10" t="s">
        <v>572</v>
      </c>
      <c r="O108" s="10">
        <v>1.6503138193056273</v>
      </c>
      <c r="P108" s="10"/>
      <c r="R108" s="10" t="s">
        <v>572</v>
      </c>
      <c r="S108" s="10">
        <v>1.647197640837883</v>
      </c>
      <c r="T108" s="10"/>
    </row>
    <row r="109" spans="1:20" x14ac:dyDescent="0.55000000000000004">
      <c r="A109">
        <v>8.5800000000001819E-2</v>
      </c>
      <c r="B109">
        <v>0.13840000000000147</v>
      </c>
      <c r="C109">
        <v>0.13430000000000192</v>
      </c>
      <c r="N109" s="10" t="s">
        <v>573</v>
      </c>
      <c r="O109" s="10">
        <v>3.0500639394001577E-7</v>
      </c>
      <c r="P109" s="10"/>
      <c r="R109" s="10" t="s">
        <v>573</v>
      </c>
      <c r="S109" s="10">
        <v>7.2889936552607856E-9</v>
      </c>
      <c r="T109" s="10"/>
    </row>
    <row r="110" spans="1:20" ht="14.7" thickBot="1" x14ac:dyDescent="0.6">
      <c r="A110">
        <v>7.850000000000161E-2</v>
      </c>
      <c r="B110">
        <v>0.10150000000000227</v>
      </c>
      <c r="C110">
        <v>0.10000000000000223</v>
      </c>
      <c r="N110" s="11" t="s">
        <v>574</v>
      </c>
      <c r="O110" s="11">
        <v>1.9684724997370107</v>
      </c>
      <c r="P110" s="11"/>
      <c r="R110" s="11" t="s">
        <v>574</v>
      </c>
      <c r="S110" s="11">
        <v>1.96361469560335</v>
      </c>
      <c r="T110" s="11"/>
    </row>
    <row r="111" spans="1:20" x14ac:dyDescent="0.55000000000000004">
      <c r="A111">
        <v>8.2300000000001719E-2</v>
      </c>
      <c r="B111">
        <v>0.14360000000000089</v>
      </c>
      <c r="C111">
        <v>0.10510000000000237</v>
      </c>
    </row>
    <row r="112" spans="1:20" x14ac:dyDescent="0.55000000000000004">
      <c r="A112">
        <v>7.9000000000001624E-2</v>
      </c>
      <c r="B112">
        <v>9.3100000000002028E-2</v>
      </c>
      <c r="C112">
        <v>0.1097000000000025</v>
      </c>
      <c r="N112" s="8" t="s">
        <v>575</v>
      </c>
      <c r="O112" s="8" t="str">
        <f>IF(O109&lt;$O$61, "Sig Diff", IF(O109&gt;$O$61, "No Sig Diff", "Error"))</f>
        <v>Sig Diff</v>
      </c>
      <c r="R112" s="8" t="s">
        <v>575</v>
      </c>
      <c r="S112" s="8" t="str">
        <f>IF(S109&lt;$O$61, "Sig Diff", IF(S109&gt;$O$61, "No Sig Diff", "Error"))</f>
        <v>Sig Diff</v>
      </c>
    </row>
    <row r="113" spans="1:20" x14ac:dyDescent="0.55000000000000004">
      <c r="A113">
        <v>8.8000000000001882E-2</v>
      </c>
      <c r="B113">
        <v>9.4800000000002077E-2</v>
      </c>
      <c r="C113">
        <v>9.7600000000002157E-2</v>
      </c>
    </row>
    <row r="114" spans="1:20" x14ac:dyDescent="0.55000000000000004">
      <c r="A114">
        <v>0.10050000000000224</v>
      </c>
      <c r="B114">
        <v>0.12100000000000283</v>
      </c>
      <c r="C114">
        <v>0.11400000000000263</v>
      </c>
      <c r="N114" s="7" t="s">
        <v>582</v>
      </c>
      <c r="R114" s="7" t="s">
        <v>583</v>
      </c>
    </row>
    <row r="115" spans="1:20" x14ac:dyDescent="0.55000000000000004">
      <c r="A115">
        <v>8.8400000000001894E-2</v>
      </c>
      <c r="B115">
        <v>0.10740000000000244</v>
      </c>
      <c r="C115">
        <v>0.1097000000000025</v>
      </c>
      <c r="N115" t="s">
        <v>566</v>
      </c>
      <c r="R115" t="s">
        <v>566</v>
      </c>
    </row>
    <row r="116" spans="1:20" ht="14.7" thickBot="1" x14ac:dyDescent="0.6">
      <c r="A116">
        <v>7.2600000000001441E-2</v>
      </c>
      <c r="B116">
        <v>0.1166000000000027</v>
      </c>
      <c r="C116">
        <v>0.11080000000000254</v>
      </c>
    </row>
    <row r="117" spans="1:20" x14ac:dyDescent="0.55000000000000004">
      <c r="A117">
        <v>9.5700000000002103E-2</v>
      </c>
      <c r="B117">
        <v>0.11700000000000271</v>
      </c>
      <c r="C117">
        <v>0.11980000000000279</v>
      </c>
      <c r="N117" s="12"/>
      <c r="O117" s="12" t="s">
        <v>530</v>
      </c>
      <c r="P117" s="12" t="s">
        <v>534</v>
      </c>
      <c r="R117" s="12"/>
      <c r="S117" s="12" t="s">
        <v>530</v>
      </c>
      <c r="T117" s="12" t="s">
        <v>536</v>
      </c>
    </row>
    <row r="118" spans="1:20" x14ac:dyDescent="0.55000000000000004">
      <c r="A118">
        <v>6.7800000000001304E-2</v>
      </c>
      <c r="B118">
        <v>0.10570000000000239</v>
      </c>
      <c r="C118">
        <v>0.10750000000000244</v>
      </c>
      <c r="N118" s="10" t="s">
        <v>567</v>
      </c>
      <c r="O118" s="10">
        <v>0.11247741935381766</v>
      </c>
      <c r="P118" s="10">
        <v>0.13031152073630545</v>
      </c>
      <c r="R118" s="10" t="s">
        <v>567</v>
      </c>
      <c r="S118" s="10">
        <v>0.11247741935381766</v>
      </c>
      <c r="T118" s="10">
        <v>0.10798479262570736</v>
      </c>
    </row>
    <row r="119" spans="1:20" x14ac:dyDescent="0.55000000000000004">
      <c r="A119">
        <v>5.0100000000000804E-2</v>
      </c>
      <c r="B119">
        <v>0.10480000000000236</v>
      </c>
      <c r="C119">
        <v>0.10860000000000247</v>
      </c>
      <c r="N119" s="10" t="s">
        <v>545</v>
      </c>
      <c r="O119" s="10">
        <v>7.9170962666319923E-4</v>
      </c>
      <c r="P119" s="10">
        <v>1.4836145425688309E-3</v>
      </c>
      <c r="R119" s="10" t="s">
        <v>545</v>
      </c>
      <c r="S119" s="10">
        <v>7.9170962666319923E-4</v>
      </c>
      <c r="T119" s="10">
        <v>2.0789888806163923E-4</v>
      </c>
    </row>
    <row r="120" spans="1:20" x14ac:dyDescent="0.55000000000000004">
      <c r="A120">
        <v>7.4000000000001481E-2</v>
      </c>
      <c r="B120">
        <v>0.10050000000000224</v>
      </c>
      <c r="C120">
        <v>0.11770000000000273</v>
      </c>
      <c r="N120" s="10" t="s">
        <v>568</v>
      </c>
      <c r="O120" s="10">
        <v>217</v>
      </c>
      <c r="P120" s="10">
        <v>217</v>
      </c>
      <c r="R120" s="10" t="s">
        <v>568</v>
      </c>
      <c r="S120" s="10">
        <v>217</v>
      </c>
      <c r="T120" s="10">
        <v>217</v>
      </c>
    </row>
    <row r="121" spans="1:20" x14ac:dyDescent="0.55000000000000004">
      <c r="A121">
        <v>7.430000000000149E-2</v>
      </c>
      <c r="B121">
        <v>9.8800000000002192E-2</v>
      </c>
      <c r="C121">
        <v>0.10730000000000244</v>
      </c>
      <c r="N121" s="10" t="s">
        <v>569</v>
      </c>
      <c r="O121" s="10">
        <v>0</v>
      </c>
      <c r="P121" s="10"/>
      <c r="R121" s="10" t="s">
        <v>569</v>
      </c>
      <c r="S121" s="10">
        <v>0</v>
      </c>
      <c r="T121" s="10"/>
    </row>
    <row r="122" spans="1:20" x14ac:dyDescent="0.55000000000000004">
      <c r="A122">
        <v>8.6400000000001836E-2</v>
      </c>
      <c r="B122">
        <v>0.13620000000000171</v>
      </c>
      <c r="C122">
        <v>0.13770000000000154</v>
      </c>
      <c r="N122" s="10" t="s">
        <v>549</v>
      </c>
      <c r="O122" s="10">
        <v>395</v>
      </c>
      <c r="P122" s="10"/>
      <c r="R122" s="10" t="s">
        <v>549</v>
      </c>
      <c r="S122" s="10">
        <v>322</v>
      </c>
      <c r="T122" s="10"/>
    </row>
    <row r="123" spans="1:20" x14ac:dyDescent="0.55000000000000004">
      <c r="A123">
        <v>6.4700000000001215E-2</v>
      </c>
      <c r="B123">
        <v>0.10630000000000241</v>
      </c>
      <c r="C123">
        <v>0.10690000000000242</v>
      </c>
      <c r="N123" s="10" t="s">
        <v>570</v>
      </c>
      <c r="O123" s="10">
        <v>-5.5075628021443963</v>
      </c>
      <c r="P123" s="10"/>
      <c r="R123" s="10" t="s">
        <v>570</v>
      </c>
      <c r="S123" s="10">
        <v>2.093221708314478</v>
      </c>
      <c r="T123" s="10"/>
    </row>
    <row r="124" spans="1:20" x14ac:dyDescent="0.55000000000000004">
      <c r="A124">
        <v>0.12290000000000288</v>
      </c>
      <c r="B124">
        <v>0.10510000000000237</v>
      </c>
      <c r="C124">
        <v>0.10800000000000246</v>
      </c>
      <c r="N124" s="10" t="s">
        <v>571</v>
      </c>
      <c r="O124" s="10">
        <v>3.2838892129873543E-8</v>
      </c>
      <c r="P124" s="10"/>
      <c r="R124" s="10" t="s">
        <v>571</v>
      </c>
      <c r="S124" s="10">
        <v>1.8555734404997741E-2</v>
      </c>
      <c r="T124" s="10"/>
    </row>
    <row r="125" spans="1:20" x14ac:dyDescent="0.55000000000000004">
      <c r="A125">
        <v>9.4000000000002054E-2</v>
      </c>
      <c r="B125">
        <v>9.6600000000002129E-2</v>
      </c>
      <c r="C125">
        <v>0.10350000000000233</v>
      </c>
      <c r="N125" s="10" t="s">
        <v>572</v>
      </c>
      <c r="O125" s="10">
        <v>1.6487203887375439</v>
      </c>
      <c r="P125" s="10"/>
      <c r="R125" s="10" t="s">
        <v>572</v>
      </c>
      <c r="S125" s="10">
        <v>1.6495995561738275</v>
      </c>
      <c r="T125" s="10"/>
    </row>
    <row r="126" spans="1:20" x14ac:dyDescent="0.55000000000000004">
      <c r="A126">
        <v>7.9100000000001627E-2</v>
      </c>
      <c r="B126">
        <v>0.10120000000000226</v>
      </c>
      <c r="C126">
        <v>0.11760000000000273</v>
      </c>
      <c r="N126" s="10" t="s">
        <v>573</v>
      </c>
      <c r="O126" s="10">
        <v>6.5677784259747085E-8</v>
      </c>
      <c r="P126" s="10"/>
      <c r="R126" s="10" t="s">
        <v>573</v>
      </c>
      <c r="S126" s="10">
        <v>3.7111468809995482E-2</v>
      </c>
      <c r="T126" s="10"/>
    </row>
    <row r="127" spans="1:20" ht="14.7" thickBot="1" x14ac:dyDescent="0.6">
      <c r="A127">
        <v>7.9100000000001627E-2</v>
      </c>
      <c r="B127">
        <v>0.12700000000000272</v>
      </c>
      <c r="C127">
        <v>0.1235000000000029</v>
      </c>
      <c r="N127" s="11" t="s">
        <v>574</v>
      </c>
      <c r="O127" s="11">
        <v>1.9659878660672949</v>
      </c>
      <c r="P127" s="11"/>
      <c r="R127" s="11" t="s">
        <v>574</v>
      </c>
      <c r="S127" s="11">
        <v>1.9673585853226803</v>
      </c>
      <c r="T127" s="11"/>
    </row>
    <row r="128" spans="1:20" x14ac:dyDescent="0.55000000000000004">
      <c r="A128">
        <v>7.640000000000155E-2</v>
      </c>
      <c r="B128">
        <v>0.11010000000000252</v>
      </c>
      <c r="C128">
        <v>0.10150000000000227</v>
      </c>
    </row>
    <row r="129" spans="1:20" x14ac:dyDescent="0.55000000000000004">
      <c r="A129">
        <v>9.8300000000002177E-2</v>
      </c>
      <c r="B129">
        <v>0.12820000000000259</v>
      </c>
      <c r="C129">
        <v>0.1317000000000022</v>
      </c>
      <c r="N129" s="8" t="s">
        <v>575</v>
      </c>
      <c r="O129" s="8" t="str">
        <f>IF(O126&lt;$O$61, "Sig Diff", IF(O126&gt;$O$61, "No Sig Diff", "Error"))</f>
        <v>Sig Diff</v>
      </c>
      <c r="R129" s="9" t="s">
        <v>575</v>
      </c>
      <c r="S129" s="9" t="str">
        <f>IF(S126&lt;$O$61, "Sig Diff", IF(S126&gt;$O$61, "No Sig Diff", "Error"))</f>
        <v>No Sig Diff</v>
      </c>
    </row>
    <row r="130" spans="1:20" x14ac:dyDescent="0.55000000000000004">
      <c r="A130">
        <v>7.5600000000001527E-2</v>
      </c>
      <c r="B130">
        <v>0.10790000000000245</v>
      </c>
      <c r="C130">
        <v>9.9200000000002203E-2</v>
      </c>
    </row>
    <row r="131" spans="1:20" x14ac:dyDescent="0.55000000000000004">
      <c r="A131">
        <v>7.4400000000001493E-2</v>
      </c>
      <c r="B131">
        <v>8.8000000000001882E-2</v>
      </c>
      <c r="C131">
        <v>9.0500000000001954E-2</v>
      </c>
      <c r="N131" s="7" t="s">
        <v>584</v>
      </c>
      <c r="R131" s="7" t="s">
        <v>585</v>
      </c>
    </row>
    <row r="132" spans="1:20" x14ac:dyDescent="0.55000000000000004">
      <c r="A132">
        <v>7.4900000000001507E-2</v>
      </c>
      <c r="B132">
        <v>0.11820000000000275</v>
      </c>
      <c r="C132">
        <v>0.12110000000000283</v>
      </c>
      <c r="N132" t="s">
        <v>566</v>
      </c>
      <c r="R132" t="s">
        <v>566</v>
      </c>
    </row>
    <row r="133" spans="1:20" ht="14.7" thickBot="1" x14ac:dyDescent="0.6">
      <c r="A133">
        <v>7.6700000000001559E-2</v>
      </c>
      <c r="B133">
        <v>0.1060000000000024</v>
      </c>
      <c r="C133">
        <v>0.10040000000000224</v>
      </c>
    </row>
    <row r="134" spans="1:20" x14ac:dyDescent="0.55000000000000004">
      <c r="A134">
        <v>7.6300000000001547E-2</v>
      </c>
      <c r="B134">
        <v>0.11110000000000254</v>
      </c>
      <c r="C134">
        <v>0.11080000000000254</v>
      </c>
      <c r="N134" s="12"/>
      <c r="O134" s="12" t="s">
        <v>530</v>
      </c>
      <c r="P134" s="12" t="s">
        <v>538</v>
      </c>
      <c r="R134" s="12"/>
      <c r="S134" s="12" t="s">
        <v>532</v>
      </c>
      <c r="T134" s="12" t="s">
        <v>534</v>
      </c>
    </row>
    <row r="135" spans="1:20" x14ac:dyDescent="0.55000000000000004">
      <c r="A135">
        <v>7.1100000000001398E-2</v>
      </c>
      <c r="B135">
        <v>0.11550000000000267</v>
      </c>
      <c r="C135">
        <v>0.11230000000000258</v>
      </c>
      <c r="N135" s="10" t="s">
        <v>567</v>
      </c>
      <c r="O135" s="10">
        <v>0.11247741935381766</v>
      </c>
      <c r="P135" s="10">
        <v>9.5874654376859117E-2</v>
      </c>
      <c r="R135" s="10" t="s">
        <v>567</v>
      </c>
      <c r="S135" s="10">
        <v>0.10919861751049995</v>
      </c>
      <c r="T135" s="10">
        <v>0.13031152073630545</v>
      </c>
    </row>
    <row r="136" spans="1:20" x14ac:dyDescent="0.55000000000000004">
      <c r="A136">
        <v>8.0500000000001667E-2</v>
      </c>
      <c r="B136">
        <v>0.1095000000000025</v>
      </c>
      <c r="C136">
        <v>0.10780000000000245</v>
      </c>
      <c r="N136" s="10" t="s">
        <v>545</v>
      </c>
      <c r="O136" s="10">
        <v>7.9170962666319923E-4</v>
      </c>
      <c r="P136" s="10">
        <v>1.2236023427508735E-4</v>
      </c>
      <c r="R136" s="10" t="s">
        <v>545</v>
      </c>
      <c r="S136" s="10">
        <v>1.0669448881914315E-4</v>
      </c>
      <c r="T136" s="10">
        <v>1.4836145425688309E-3</v>
      </c>
    </row>
    <row r="137" spans="1:20" x14ac:dyDescent="0.55000000000000004">
      <c r="A137">
        <v>6.9300000000001347E-2</v>
      </c>
      <c r="B137">
        <v>0.10180000000000228</v>
      </c>
      <c r="C137">
        <v>0.11140000000000255</v>
      </c>
      <c r="N137" s="10" t="s">
        <v>568</v>
      </c>
      <c r="O137" s="10">
        <v>217</v>
      </c>
      <c r="P137" s="10">
        <v>217</v>
      </c>
      <c r="R137" s="10" t="s">
        <v>568</v>
      </c>
      <c r="S137" s="10">
        <v>217</v>
      </c>
      <c r="T137" s="10">
        <v>217</v>
      </c>
    </row>
    <row r="138" spans="1:20" x14ac:dyDescent="0.55000000000000004">
      <c r="A138">
        <v>8.060000000000167E-2</v>
      </c>
      <c r="B138">
        <v>9.420000000000206E-2</v>
      </c>
      <c r="C138">
        <v>0.10830000000000246</v>
      </c>
      <c r="N138" s="10" t="s">
        <v>569</v>
      </c>
      <c r="O138" s="10">
        <v>0</v>
      </c>
      <c r="P138" s="10"/>
      <c r="R138" s="10" t="s">
        <v>569</v>
      </c>
      <c r="S138" s="10">
        <v>0</v>
      </c>
      <c r="T138" s="10"/>
    </row>
    <row r="139" spans="1:20" x14ac:dyDescent="0.55000000000000004">
      <c r="A139">
        <v>8.9900000000001937E-2</v>
      </c>
      <c r="B139">
        <v>0.11580000000000268</v>
      </c>
      <c r="C139">
        <v>0.11790000000000274</v>
      </c>
      <c r="N139" s="10" t="s">
        <v>549</v>
      </c>
      <c r="O139" s="10">
        <v>281</v>
      </c>
      <c r="P139" s="10"/>
      <c r="R139" s="10" t="s">
        <v>549</v>
      </c>
      <c r="S139" s="10">
        <v>247</v>
      </c>
      <c r="T139" s="10"/>
    </row>
    <row r="140" spans="1:20" x14ac:dyDescent="0.55000000000000004">
      <c r="A140">
        <v>7.7200000000001573E-2</v>
      </c>
      <c r="B140">
        <v>0.11680000000000271</v>
      </c>
      <c r="C140">
        <v>0.11110000000000254</v>
      </c>
      <c r="N140" s="10" t="s">
        <v>570</v>
      </c>
      <c r="O140" s="10">
        <v>8.089479754158825</v>
      </c>
      <c r="P140" s="10"/>
      <c r="R140" s="10" t="s">
        <v>570</v>
      </c>
      <c r="S140" s="10">
        <v>-7.7989666159871911</v>
      </c>
      <c r="T140" s="10"/>
    </row>
    <row r="141" spans="1:20" x14ac:dyDescent="0.55000000000000004">
      <c r="A141">
        <v>7.4500000000001496E-2</v>
      </c>
      <c r="B141">
        <v>0.10910000000000249</v>
      </c>
      <c r="C141">
        <v>9.2700000000002017E-2</v>
      </c>
      <c r="N141" s="10" t="s">
        <v>571</v>
      </c>
      <c r="O141" s="10">
        <v>9.0627713179259467E-15</v>
      </c>
      <c r="P141" s="10"/>
      <c r="R141" s="10" t="s">
        <v>571</v>
      </c>
      <c r="S141" s="10">
        <v>8.7530130010490218E-14</v>
      </c>
      <c r="T141" s="10"/>
    </row>
    <row r="142" spans="1:20" x14ac:dyDescent="0.55000000000000004">
      <c r="A142">
        <v>7.2100000000001427E-2</v>
      </c>
      <c r="B142">
        <v>0.12080000000000282</v>
      </c>
      <c r="C142">
        <v>0.12440000000000292</v>
      </c>
      <c r="N142" s="10" t="s">
        <v>572</v>
      </c>
      <c r="O142" s="10">
        <v>1.6502943234621636</v>
      </c>
      <c r="P142" s="10"/>
      <c r="R142" s="10" t="s">
        <v>572</v>
      </c>
      <c r="S142" s="10">
        <v>1.651046076742829</v>
      </c>
      <c r="T142" s="10"/>
    </row>
    <row r="143" spans="1:20" x14ac:dyDescent="0.55000000000000004">
      <c r="A143">
        <v>7.9800000000001647E-2</v>
      </c>
      <c r="B143">
        <v>0.2097999999999936</v>
      </c>
      <c r="C143">
        <v>0.12790000000000262</v>
      </c>
      <c r="N143" s="10" t="s">
        <v>573</v>
      </c>
      <c r="O143" s="10">
        <v>1.8125542635851893E-14</v>
      </c>
      <c r="P143" s="10"/>
      <c r="R143" s="10" t="s">
        <v>573</v>
      </c>
      <c r="S143" s="10">
        <v>1.7506026002098044E-13</v>
      </c>
      <c r="T143" s="10"/>
    </row>
    <row r="144" spans="1:20" ht="14.7" thickBot="1" x14ac:dyDescent="0.6">
      <c r="A144">
        <v>7.3000000000001453E-2</v>
      </c>
      <c r="B144">
        <v>0.12620000000000281</v>
      </c>
      <c r="C144">
        <v>0.10290000000000231</v>
      </c>
      <c r="N144" s="11" t="s">
        <v>574</v>
      </c>
      <c r="O144" s="11">
        <v>1.9684420918340819</v>
      </c>
      <c r="P144" s="11"/>
      <c r="R144" s="11" t="s">
        <v>574</v>
      </c>
      <c r="S144" s="11">
        <v>1.9696147551832652</v>
      </c>
      <c r="T144" s="11"/>
    </row>
    <row r="145" spans="1:20" x14ac:dyDescent="0.55000000000000004">
      <c r="A145">
        <v>0.11840000000000275</v>
      </c>
      <c r="B145">
        <v>0.11430000000000264</v>
      </c>
      <c r="C145">
        <v>0.10800000000000246</v>
      </c>
    </row>
    <row r="146" spans="1:20" x14ac:dyDescent="0.55000000000000004">
      <c r="A146">
        <v>7.3100000000001455E-2</v>
      </c>
      <c r="B146">
        <v>0.11350000000000261</v>
      </c>
      <c r="C146">
        <v>0.10240000000000229</v>
      </c>
      <c r="N146" s="8" t="s">
        <v>575</v>
      </c>
      <c r="O146" s="8" t="str">
        <f>IF(O143&lt;$O$61, "Sig Diff", IF(O143&gt;$O$61, "No Sig Diff", "Error"))</f>
        <v>Sig Diff</v>
      </c>
      <c r="R146" s="8" t="s">
        <v>575</v>
      </c>
      <c r="S146" s="8" t="str">
        <f>IF(S143&lt;$O$61, "Sig Diff", IF(S143&gt;$O$61, "No Sig Diff", "Error"))</f>
        <v>Sig Diff</v>
      </c>
    </row>
    <row r="147" spans="1:20" x14ac:dyDescent="0.55000000000000004">
      <c r="A147">
        <v>8.7300000000001862E-2</v>
      </c>
      <c r="B147">
        <v>0.1254000000000029</v>
      </c>
      <c r="C147">
        <v>9.9300000000002206E-2</v>
      </c>
    </row>
    <row r="148" spans="1:20" x14ac:dyDescent="0.55000000000000004">
      <c r="A148">
        <v>6.4200000000001201E-2</v>
      </c>
      <c r="B148">
        <v>0.11190000000000257</v>
      </c>
      <c r="C148">
        <v>0.11120000000000255</v>
      </c>
      <c r="N148" s="7" t="s">
        <v>586</v>
      </c>
      <c r="R148" s="7" t="s">
        <v>587</v>
      </c>
    </row>
    <row r="149" spans="1:20" x14ac:dyDescent="0.55000000000000004">
      <c r="A149">
        <v>8.0700000000001673E-2</v>
      </c>
      <c r="B149">
        <v>0.13180000000000219</v>
      </c>
      <c r="C149">
        <v>0.10020000000000223</v>
      </c>
      <c r="N149" t="s">
        <v>566</v>
      </c>
      <c r="R149" t="s">
        <v>566</v>
      </c>
    </row>
    <row r="150" spans="1:20" ht="14.7" thickBot="1" x14ac:dyDescent="0.6">
      <c r="A150">
        <v>7.4700000000001501E-2</v>
      </c>
      <c r="B150">
        <v>0.10510000000000237</v>
      </c>
      <c r="C150">
        <v>0.10920000000000249</v>
      </c>
    </row>
    <row r="151" spans="1:20" x14ac:dyDescent="0.55000000000000004">
      <c r="A151">
        <v>7.5600000000001527E-2</v>
      </c>
      <c r="B151">
        <v>9.1100000000001971E-2</v>
      </c>
      <c r="C151">
        <v>9.0800000000001962E-2</v>
      </c>
      <c r="N151" s="12"/>
      <c r="O151" s="12" t="s">
        <v>532</v>
      </c>
      <c r="P151" s="12" t="s">
        <v>536</v>
      </c>
      <c r="R151" s="12"/>
      <c r="S151" s="12" t="s">
        <v>532</v>
      </c>
      <c r="T151" s="12" t="s">
        <v>538</v>
      </c>
    </row>
    <row r="152" spans="1:20" x14ac:dyDescent="0.55000000000000004">
      <c r="A152">
        <v>7.5400000000001521E-2</v>
      </c>
      <c r="B152">
        <v>0.1202000000000028</v>
      </c>
      <c r="C152">
        <v>0.1129000000000026</v>
      </c>
      <c r="N152" s="10" t="s">
        <v>567</v>
      </c>
      <c r="O152" s="10">
        <v>0.10919861751049995</v>
      </c>
      <c r="P152" s="10">
        <v>0.10798479262570736</v>
      </c>
      <c r="R152" s="10" t="s">
        <v>567</v>
      </c>
      <c r="S152" s="10">
        <v>0.10919861751049995</v>
      </c>
      <c r="T152" s="10">
        <v>9.5874654376859117E-2</v>
      </c>
    </row>
    <row r="153" spans="1:20" x14ac:dyDescent="0.55000000000000004">
      <c r="A153">
        <v>7.3300000000001461E-2</v>
      </c>
      <c r="B153">
        <v>0.12130000000000284</v>
      </c>
      <c r="C153">
        <v>0.11430000000000264</v>
      </c>
      <c r="N153" s="10" t="s">
        <v>545</v>
      </c>
      <c r="O153" s="10">
        <v>1.0669448881914315E-4</v>
      </c>
      <c r="P153" s="10">
        <v>2.0789888806163923E-4</v>
      </c>
      <c r="R153" s="10" t="s">
        <v>545</v>
      </c>
      <c r="S153" s="10">
        <v>1.0669448881914315E-4</v>
      </c>
      <c r="T153" s="10">
        <v>1.2236023427508735E-4</v>
      </c>
    </row>
    <row r="154" spans="1:20" x14ac:dyDescent="0.55000000000000004">
      <c r="A154">
        <v>9.3600000000002043E-2</v>
      </c>
      <c r="B154">
        <v>0.12410000000000292</v>
      </c>
      <c r="C154">
        <v>0.11090000000000254</v>
      </c>
      <c r="N154" s="10" t="s">
        <v>568</v>
      </c>
      <c r="O154" s="10">
        <v>217</v>
      </c>
      <c r="P154" s="10">
        <v>217</v>
      </c>
      <c r="R154" s="10" t="s">
        <v>568</v>
      </c>
      <c r="S154" s="10">
        <v>217</v>
      </c>
      <c r="T154" s="10">
        <v>217</v>
      </c>
    </row>
    <row r="155" spans="1:20" x14ac:dyDescent="0.55000000000000004">
      <c r="A155">
        <v>0.11880000000000276</v>
      </c>
      <c r="B155">
        <v>0.10740000000000244</v>
      </c>
      <c r="C155">
        <v>0.11270000000000259</v>
      </c>
      <c r="N155" s="10" t="s">
        <v>569</v>
      </c>
      <c r="O155" s="10">
        <v>0</v>
      </c>
      <c r="P155" s="10"/>
      <c r="R155" s="10" t="s">
        <v>569</v>
      </c>
      <c r="S155" s="10">
        <v>0</v>
      </c>
      <c r="T155" s="10"/>
    </row>
    <row r="156" spans="1:20" x14ac:dyDescent="0.55000000000000004">
      <c r="A156">
        <v>7.3200000000001458E-2</v>
      </c>
      <c r="B156">
        <v>0.20289999999999436</v>
      </c>
      <c r="C156">
        <v>9.9400000000002209E-2</v>
      </c>
      <c r="N156" s="10" t="s">
        <v>549</v>
      </c>
      <c r="O156" s="10">
        <v>391</v>
      </c>
      <c r="P156" s="10"/>
      <c r="R156" s="10" t="s">
        <v>549</v>
      </c>
      <c r="S156" s="10">
        <v>430</v>
      </c>
      <c r="T156" s="10"/>
    </row>
    <row r="157" spans="1:20" x14ac:dyDescent="0.55000000000000004">
      <c r="A157">
        <v>9.8600000000002186E-2</v>
      </c>
      <c r="B157">
        <v>0.10090000000000225</v>
      </c>
      <c r="C157">
        <v>0.10160000000000227</v>
      </c>
      <c r="N157" s="10" t="s">
        <v>570</v>
      </c>
      <c r="O157" s="10">
        <v>1.0081174125719388</v>
      </c>
      <c r="P157" s="10"/>
      <c r="R157" s="10" t="s">
        <v>570</v>
      </c>
      <c r="S157" s="10">
        <v>12.968616973875971</v>
      </c>
      <c r="T157" s="10"/>
    </row>
    <row r="158" spans="1:20" x14ac:dyDescent="0.55000000000000004">
      <c r="A158">
        <v>8.4400000000001779E-2</v>
      </c>
      <c r="B158">
        <v>0.11890000000000277</v>
      </c>
      <c r="C158">
        <v>9.5000000000002083E-2</v>
      </c>
      <c r="N158" s="10" t="s">
        <v>571</v>
      </c>
      <c r="O158" s="10">
        <v>0.1570107759757341</v>
      </c>
      <c r="P158" s="10"/>
      <c r="R158" s="10" t="s">
        <v>571</v>
      </c>
      <c r="S158" s="10">
        <v>5.4074349401167451E-33</v>
      </c>
      <c r="T158" s="10"/>
    </row>
    <row r="159" spans="1:20" x14ac:dyDescent="0.55000000000000004">
      <c r="A159">
        <v>6.9800000000001361E-2</v>
      </c>
      <c r="B159">
        <v>0.10300000000000231</v>
      </c>
      <c r="C159">
        <v>9.9000000000002197E-2</v>
      </c>
      <c r="N159" s="10" t="s">
        <v>572</v>
      </c>
      <c r="O159" s="10">
        <v>1.6487600408066521</v>
      </c>
      <c r="P159" s="10"/>
      <c r="R159" s="10" t="s">
        <v>572</v>
      </c>
      <c r="S159" s="10">
        <v>1.6484049694330176</v>
      </c>
      <c r="T159" s="10"/>
    </row>
    <row r="160" spans="1:20" x14ac:dyDescent="0.55000000000000004">
      <c r="A160">
        <v>4.6300000000000695E-2</v>
      </c>
      <c r="B160">
        <v>9.9200000000002203E-2</v>
      </c>
      <c r="C160">
        <v>0.11090000000000254</v>
      </c>
      <c r="N160" s="10" t="s">
        <v>573</v>
      </c>
      <c r="O160" s="10">
        <v>0.31402155195146819</v>
      </c>
      <c r="P160" s="10"/>
      <c r="R160" s="10" t="s">
        <v>573</v>
      </c>
      <c r="S160" s="10">
        <v>1.081486988023349E-32</v>
      </c>
      <c r="T160" s="10"/>
    </row>
    <row r="161" spans="1:20" ht="14.7" thickBot="1" x14ac:dyDescent="0.6">
      <c r="A161">
        <v>7.6200000000001544E-2</v>
      </c>
      <c r="B161">
        <v>0.1129000000000026</v>
      </c>
      <c r="C161">
        <v>0.10120000000000226</v>
      </c>
      <c r="N161" s="11" t="s">
        <v>574</v>
      </c>
      <c r="O161" s="11">
        <v>1.9660496792749886</v>
      </c>
      <c r="P161" s="11"/>
      <c r="R161" s="11" t="s">
        <v>574</v>
      </c>
      <c r="S161" s="11">
        <v>1.9654961915713562</v>
      </c>
      <c r="T161" s="11"/>
    </row>
    <row r="162" spans="1:20" x14ac:dyDescent="0.55000000000000004">
      <c r="A162">
        <v>7.1600000000002842E-2</v>
      </c>
      <c r="B162">
        <v>0.10730000000000386</v>
      </c>
      <c r="C162">
        <v>0.11520000000000409</v>
      </c>
    </row>
    <row r="163" spans="1:20" x14ac:dyDescent="0.55000000000000004">
      <c r="A163">
        <v>4.7500000000000327E-2</v>
      </c>
      <c r="B163">
        <v>9.7700000000001758E-2</v>
      </c>
      <c r="C163">
        <v>9.0300000000001546E-2</v>
      </c>
      <c r="N163" t="s">
        <v>575</v>
      </c>
      <c r="O163" t="str">
        <f>IF(O160&lt;$O$61, "Sig Diff", IF(O160&gt;$O$61, "No Sig Diff", "Error"))</f>
        <v>No Sig Diff</v>
      </c>
      <c r="R163" s="8" t="s">
        <v>575</v>
      </c>
      <c r="S163" s="8" t="str">
        <f>IF(S160&lt;$O$61, "Sig Diff", IF(S160&gt;$O$61, "No Sig Diff", "Error"))</f>
        <v>Sig Diff</v>
      </c>
    </row>
    <row r="164" spans="1:20" x14ac:dyDescent="0.55000000000000004">
      <c r="A164">
        <v>9.5700000000003532E-2</v>
      </c>
      <c r="B164">
        <v>0.10570000000000382</v>
      </c>
      <c r="C164">
        <v>0.11740000000000415</v>
      </c>
    </row>
    <row r="165" spans="1:20" x14ac:dyDescent="0.55000000000000004">
      <c r="A165">
        <v>7.5000000000001107E-2</v>
      </c>
      <c r="B165">
        <v>0.11860000000000236</v>
      </c>
      <c r="C165">
        <v>0.11530000000000226</v>
      </c>
      <c r="N165" s="7" t="s">
        <v>588</v>
      </c>
      <c r="R165" s="7" t="s">
        <v>589</v>
      </c>
    </row>
    <row r="166" spans="1:20" x14ac:dyDescent="0.55000000000000004">
      <c r="A166">
        <v>9.010000000000154E-2</v>
      </c>
      <c r="B166">
        <v>0.11240000000000218</v>
      </c>
      <c r="C166">
        <v>0.10310000000000191</v>
      </c>
      <c r="N166" t="s">
        <v>566</v>
      </c>
      <c r="R166" t="s">
        <v>566</v>
      </c>
    </row>
    <row r="167" spans="1:20" ht="14.7" thickBot="1" x14ac:dyDescent="0.6">
      <c r="A167">
        <v>9.6100000000003544E-2</v>
      </c>
      <c r="B167">
        <v>0.10360000000000376</v>
      </c>
      <c r="C167">
        <v>0.10290000000000374</v>
      </c>
    </row>
    <row r="168" spans="1:20" x14ac:dyDescent="0.55000000000000004">
      <c r="A168">
        <v>7.5300000000002948E-2</v>
      </c>
      <c r="B168">
        <v>0.11500000000000409</v>
      </c>
      <c r="C168">
        <v>0.11690000000000414</v>
      </c>
      <c r="N168" s="12"/>
      <c r="O168" s="12" t="s">
        <v>534</v>
      </c>
      <c r="P168" s="12" t="s">
        <v>536</v>
      </c>
      <c r="R168" s="12"/>
      <c r="S168" s="12" t="s">
        <v>534</v>
      </c>
      <c r="T168" s="12" t="s">
        <v>538</v>
      </c>
    </row>
    <row r="169" spans="1:20" x14ac:dyDescent="0.55000000000000004">
      <c r="A169">
        <v>8.900000000000334E-2</v>
      </c>
      <c r="B169">
        <v>0.12950000000000386</v>
      </c>
      <c r="C169">
        <v>0.12280000000000431</v>
      </c>
      <c r="N169" s="10" t="s">
        <v>567</v>
      </c>
      <c r="O169" s="10">
        <v>0.13031152073630545</v>
      </c>
      <c r="P169" s="10">
        <v>0.10798479262570736</v>
      </c>
      <c r="R169" s="10" t="s">
        <v>567</v>
      </c>
      <c r="S169" s="10">
        <v>0.13031152073630545</v>
      </c>
      <c r="T169" s="10">
        <v>9.5874654376859117E-2</v>
      </c>
    </row>
    <row r="170" spans="1:20" x14ac:dyDescent="0.55000000000000004">
      <c r="A170">
        <v>8.270000000000316E-2</v>
      </c>
      <c r="B170">
        <v>9.6300000000003549E-2</v>
      </c>
      <c r="C170">
        <v>0.11880000000000419</v>
      </c>
      <c r="N170" s="10" t="s">
        <v>545</v>
      </c>
      <c r="O170" s="10">
        <v>1.4836145425688309E-3</v>
      </c>
      <c r="P170" s="10">
        <v>2.0789888806163923E-4</v>
      </c>
      <c r="R170" s="10" t="s">
        <v>545</v>
      </c>
      <c r="S170" s="10">
        <v>1.4836145425688309E-3</v>
      </c>
      <c r="T170" s="10">
        <v>1.2236023427508735E-4</v>
      </c>
    </row>
    <row r="171" spans="1:20" x14ac:dyDescent="0.55000000000000004">
      <c r="A171">
        <v>7.1000000000002825E-2</v>
      </c>
      <c r="B171">
        <v>0.11000000000000394</v>
      </c>
      <c r="C171">
        <v>0.10040000000000367</v>
      </c>
      <c r="N171" s="10" t="s">
        <v>568</v>
      </c>
      <c r="O171" s="10">
        <v>217</v>
      </c>
      <c r="P171" s="10">
        <v>217</v>
      </c>
      <c r="R171" s="10" t="s">
        <v>568</v>
      </c>
      <c r="S171" s="10">
        <v>217</v>
      </c>
      <c r="T171" s="10">
        <v>217</v>
      </c>
    </row>
    <row r="172" spans="1:20" x14ac:dyDescent="0.55000000000000004">
      <c r="A172">
        <v>9.4900000000003509E-2</v>
      </c>
      <c r="B172">
        <v>0.10210000000000372</v>
      </c>
      <c r="C172">
        <v>9.1000000000003398E-2</v>
      </c>
      <c r="N172" s="10" t="s">
        <v>569</v>
      </c>
      <c r="O172" s="10">
        <v>0</v>
      </c>
      <c r="P172" s="10"/>
      <c r="R172" s="10" t="s">
        <v>569</v>
      </c>
      <c r="S172" s="10">
        <v>0</v>
      </c>
      <c r="T172" s="10"/>
    </row>
    <row r="173" spans="1:20" x14ac:dyDescent="0.55000000000000004">
      <c r="A173">
        <v>8.5800000000003249E-2</v>
      </c>
      <c r="B173">
        <v>0.11770000000000416</v>
      </c>
      <c r="C173">
        <v>0.1226000000000043</v>
      </c>
      <c r="N173" s="10" t="s">
        <v>549</v>
      </c>
      <c r="O173" s="10">
        <v>275</v>
      </c>
      <c r="P173" s="10"/>
      <c r="R173" s="10" t="s">
        <v>549</v>
      </c>
      <c r="S173" s="10">
        <v>251</v>
      </c>
      <c r="T173" s="10"/>
    </row>
    <row r="174" spans="1:20" x14ac:dyDescent="0.55000000000000004">
      <c r="A174">
        <v>6.700000000000271E-2</v>
      </c>
      <c r="B174">
        <v>0.10220000000000372</v>
      </c>
      <c r="C174">
        <v>7.5400000000002951E-2</v>
      </c>
      <c r="N174" s="10" t="s">
        <v>570</v>
      </c>
      <c r="O174" s="10">
        <v>7.9968182464631576</v>
      </c>
      <c r="P174" s="10"/>
      <c r="R174" s="10" t="s">
        <v>570</v>
      </c>
      <c r="S174" s="10">
        <v>12.658554977263755</v>
      </c>
      <c r="T174" s="10"/>
    </row>
    <row r="175" spans="1:20" x14ac:dyDescent="0.55000000000000004">
      <c r="A175">
        <v>9.8100000000002172E-2</v>
      </c>
      <c r="B175">
        <v>0.1096000000000025</v>
      </c>
      <c r="C175">
        <v>0.1167000000000027</v>
      </c>
      <c r="N175" s="10" t="s">
        <v>571</v>
      </c>
      <c r="O175" s="10">
        <v>1.7834124028086314E-14</v>
      </c>
      <c r="P175" s="10"/>
      <c r="R175" s="10" t="s">
        <v>571</v>
      </c>
      <c r="S175" s="10">
        <v>4.9302741030295276E-29</v>
      </c>
      <c r="T175" s="10"/>
    </row>
    <row r="176" spans="1:20" x14ac:dyDescent="0.55000000000000004">
      <c r="A176">
        <v>7.430000000000149E-2</v>
      </c>
      <c r="B176">
        <v>0.11050000000000253</v>
      </c>
      <c r="C176">
        <v>0.11240000000000258</v>
      </c>
      <c r="N176" s="10" t="s">
        <v>572</v>
      </c>
      <c r="O176" s="10">
        <v>1.650413432556264</v>
      </c>
      <c r="P176" s="10"/>
      <c r="R176" s="10" t="s">
        <v>572</v>
      </c>
      <c r="S176" s="10">
        <v>1.6509470251874321</v>
      </c>
      <c r="T176" s="10"/>
    </row>
    <row r="177" spans="1:20" x14ac:dyDescent="0.55000000000000004">
      <c r="A177">
        <v>0.10080000000000225</v>
      </c>
      <c r="B177">
        <v>9.8800000000002192E-2</v>
      </c>
      <c r="C177">
        <v>8.7300000000001862E-2</v>
      </c>
      <c r="N177" s="10" t="s">
        <v>573</v>
      </c>
      <c r="O177" s="10">
        <v>3.5668248056172628E-14</v>
      </c>
      <c r="P177" s="10"/>
      <c r="R177" s="10" t="s">
        <v>573</v>
      </c>
      <c r="S177" s="10">
        <v>9.8605482060590552E-29</v>
      </c>
      <c r="T177" s="10"/>
    </row>
    <row r="178" spans="1:20" ht="14.7" thickBot="1" x14ac:dyDescent="0.6">
      <c r="A178">
        <v>8.5200000000001802E-2</v>
      </c>
      <c r="B178">
        <v>0.12280000000000288</v>
      </c>
      <c r="C178">
        <v>0.10200000000000228</v>
      </c>
      <c r="N178" s="11" t="s">
        <v>574</v>
      </c>
      <c r="O178" s="11">
        <v>1.9686278708475058</v>
      </c>
      <c r="P178" s="11"/>
      <c r="R178" s="11" t="s">
        <v>574</v>
      </c>
      <c r="S178" s="11">
        <v>1.9694602272245452</v>
      </c>
      <c r="T178" s="11"/>
    </row>
    <row r="179" spans="1:20" x14ac:dyDescent="0.55000000000000004">
      <c r="A179">
        <v>7.4600000000001498E-2</v>
      </c>
      <c r="B179">
        <v>0.13340000000000202</v>
      </c>
      <c r="C179">
        <v>0.12120000000000283</v>
      </c>
    </row>
    <row r="180" spans="1:20" x14ac:dyDescent="0.55000000000000004">
      <c r="A180">
        <v>8.1600000000001699E-2</v>
      </c>
      <c r="B180">
        <v>9.7800000000002163E-2</v>
      </c>
      <c r="C180">
        <v>0.10490000000000237</v>
      </c>
      <c r="N180" s="8" t="s">
        <v>575</v>
      </c>
      <c r="O180" s="8" t="str">
        <f>IF(O177&lt;$O$61, "Sig Diff", IF(O177&gt;$O$61, "No Sig Diff", "Error"))</f>
        <v>Sig Diff</v>
      </c>
      <c r="R180" s="8" t="s">
        <v>575</v>
      </c>
      <c r="S180" s="8" t="str">
        <f>IF(S177&lt;$O$61, "Sig Diff", IF(S177&gt;$O$61, "No Sig Diff", "Error"))</f>
        <v>Sig Diff</v>
      </c>
    </row>
    <row r="181" spans="1:20" x14ac:dyDescent="0.55000000000000004">
      <c r="A181">
        <v>8.3900000000003194E-2</v>
      </c>
      <c r="B181">
        <v>9.2600000000003443E-2</v>
      </c>
      <c r="C181">
        <v>0.10000000000000366</v>
      </c>
    </row>
    <row r="182" spans="1:20" x14ac:dyDescent="0.55000000000000004">
      <c r="A182">
        <v>7.220000000000143E-2</v>
      </c>
      <c r="B182">
        <v>0.29309999999998443</v>
      </c>
      <c r="C182">
        <v>0.11400000000000263</v>
      </c>
      <c r="N182" s="7" t="s">
        <v>590</v>
      </c>
    </row>
    <row r="183" spans="1:20" x14ac:dyDescent="0.55000000000000004">
      <c r="A183">
        <v>7.6000000000001539E-2</v>
      </c>
      <c r="B183">
        <v>0.1167000000000027</v>
      </c>
      <c r="C183">
        <v>0.11430000000000264</v>
      </c>
      <c r="N183" t="s">
        <v>566</v>
      </c>
    </row>
    <row r="184" spans="1:20" ht="14.7" thickBot="1" x14ac:dyDescent="0.6">
      <c r="A184">
        <v>9.5300000000002091E-2</v>
      </c>
      <c r="B184">
        <v>0.23529999999999079</v>
      </c>
      <c r="C184">
        <v>0.12050000000000281</v>
      </c>
    </row>
    <row r="185" spans="1:20" x14ac:dyDescent="0.55000000000000004">
      <c r="A185">
        <v>8.1800000000001705E-2</v>
      </c>
      <c r="B185">
        <v>0.11410000000000263</v>
      </c>
      <c r="C185">
        <v>0.10090000000000225</v>
      </c>
      <c r="N185" s="12"/>
      <c r="O185" s="12" t="s">
        <v>536</v>
      </c>
      <c r="P185" s="12" t="s">
        <v>538</v>
      </c>
    </row>
    <row r="186" spans="1:20" x14ac:dyDescent="0.55000000000000004">
      <c r="A186">
        <v>8.9800000000001934E-2</v>
      </c>
      <c r="B186">
        <v>0.10520000000000237</v>
      </c>
      <c r="C186">
        <v>0.10210000000000229</v>
      </c>
      <c r="N186" s="10" t="s">
        <v>567</v>
      </c>
      <c r="O186" s="10">
        <v>0.10798479262570736</v>
      </c>
      <c r="P186" s="10">
        <v>9.5874654376859117E-2</v>
      </c>
    </row>
    <row r="187" spans="1:20" x14ac:dyDescent="0.55000000000000004">
      <c r="A187">
        <v>7.8300000000001604E-2</v>
      </c>
      <c r="B187">
        <v>0.10800000000000246</v>
      </c>
      <c r="C187">
        <v>0.11090000000000254</v>
      </c>
      <c r="N187" s="10" t="s">
        <v>545</v>
      </c>
      <c r="O187" s="10">
        <v>2.0789888806163923E-4</v>
      </c>
      <c r="P187" s="10">
        <v>1.2236023427508735E-4</v>
      </c>
    </row>
    <row r="188" spans="1:20" x14ac:dyDescent="0.55000000000000004">
      <c r="A188">
        <v>8.0400000000001665E-2</v>
      </c>
      <c r="B188">
        <v>0.10040000000000224</v>
      </c>
      <c r="C188">
        <v>9.1000000000001968E-2</v>
      </c>
      <c r="N188" s="10" t="s">
        <v>568</v>
      </c>
      <c r="O188" s="10">
        <v>217</v>
      </c>
      <c r="P188" s="10">
        <v>217</v>
      </c>
    </row>
    <row r="189" spans="1:20" x14ac:dyDescent="0.55000000000000004">
      <c r="A189">
        <v>7.0200000000001372E-2</v>
      </c>
      <c r="B189">
        <v>0.11850000000000276</v>
      </c>
      <c r="C189">
        <v>0.11150000000000256</v>
      </c>
      <c r="N189" s="10" t="s">
        <v>569</v>
      </c>
      <c r="O189" s="10">
        <v>0</v>
      </c>
      <c r="P189" s="10"/>
    </row>
    <row r="190" spans="1:20" x14ac:dyDescent="0.55000000000000004">
      <c r="A190">
        <v>6.5800000000001246E-2</v>
      </c>
      <c r="B190">
        <v>9.8700000000002189E-2</v>
      </c>
      <c r="C190">
        <v>0.10890000000000248</v>
      </c>
      <c r="N190" s="10" t="s">
        <v>549</v>
      </c>
      <c r="O190" s="10">
        <v>405</v>
      </c>
      <c r="P190" s="10"/>
    </row>
    <row r="191" spans="1:20" x14ac:dyDescent="0.55000000000000004">
      <c r="A191">
        <v>7.9100000000001627E-2</v>
      </c>
      <c r="B191">
        <v>0.11350000000000261</v>
      </c>
      <c r="C191">
        <v>0.11540000000000267</v>
      </c>
      <c r="N191" s="10" t="s">
        <v>570</v>
      </c>
      <c r="O191" s="10">
        <v>9.8163844038693213</v>
      </c>
      <c r="P191" s="10"/>
    </row>
    <row r="192" spans="1:20" x14ac:dyDescent="0.55000000000000004">
      <c r="A192">
        <v>0.1025000000000023</v>
      </c>
      <c r="B192">
        <v>0.11450000000000264</v>
      </c>
      <c r="C192">
        <v>8.9800000000001934E-2</v>
      </c>
      <c r="N192" s="10" t="s">
        <v>571</v>
      </c>
      <c r="O192" s="10">
        <v>7.5813903956796128E-21</v>
      </c>
      <c r="P192" s="10"/>
    </row>
    <row r="193" spans="1:16" x14ac:dyDescent="0.55000000000000004">
      <c r="A193">
        <v>6.5000000000001223E-2</v>
      </c>
      <c r="B193">
        <v>0.11910000000000277</v>
      </c>
      <c r="C193">
        <v>0.12180000000000285</v>
      </c>
      <c r="N193" s="10" t="s">
        <v>572</v>
      </c>
      <c r="O193" s="10">
        <v>1.6486246931765207</v>
      </c>
      <c r="P193" s="10"/>
    </row>
    <row r="194" spans="1:16" x14ac:dyDescent="0.55000000000000004">
      <c r="A194">
        <v>8.8700000000001902E-2</v>
      </c>
      <c r="B194">
        <v>0.11690000000000271</v>
      </c>
      <c r="C194">
        <v>0.11410000000000263</v>
      </c>
      <c r="N194" s="10" t="s">
        <v>573</v>
      </c>
      <c r="O194" s="10">
        <v>1.5162780791359226E-20</v>
      </c>
      <c r="P194" s="10"/>
    </row>
    <row r="195" spans="1:16" ht="14.7" thickBot="1" x14ac:dyDescent="0.6">
      <c r="A195">
        <v>8.270000000000173E-2</v>
      </c>
      <c r="B195">
        <v>0.1129000000000026</v>
      </c>
      <c r="C195">
        <v>0.10860000000000247</v>
      </c>
      <c r="N195" s="11" t="s">
        <v>574</v>
      </c>
      <c r="O195" s="11">
        <v>1.9658386906356404</v>
      </c>
      <c r="P195" s="11"/>
    </row>
    <row r="196" spans="1:16" x14ac:dyDescent="0.55000000000000004">
      <c r="A196">
        <v>7.4600000000001498E-2</v>
      </c>
      <c r="B196">
        <v>8.7300000000001862E-2</v>
      </c>
      <c r="C196">
        <v>8.4500000000001782E-2</v>
      </c>
    </row>
    <row r="197" spans="1:16" x14ac:dyDescent="0.55000000000000004">
      <c r="A197">
        <v>7.5800000000001533E-2</v>
      </c>
      <c r="B197">
        <v>0.11940000000000278</v>
      </c>
      <c r="C197">
        <v>0.11110000000000254</v>
      </c>
      <c r="N197" s="8" t="s">
        <v>575</v>
      </c>
      <c r="O197" s="8" t="str">
        <f>IF(O194&lt;$O$61, "Sig Diff", IF(O194&gt;$O$61, "No Sig Diff", "Error"))</f>
        <v>Sig Diff</v>
      </c>
    </row>
    <row r="198" spans="1:16" x14ac:dyDescent="0.55000000000000004">
      <c r="A198">
        <v>8.5800000000001819E-2</v>
      </c>
      <c r="B198">
        <v>0.11520000000000266</v>
      </c>
      <c r="C198">
        <v>9.6800000000002134E-2</v>
      </c>
    </row>
    <row r="199" spans="1:16" x14ac:dyDescent="0.55000000000000004">
      <c r="A199">
        <v>8.1600000000001699E-2</v>
      </c>
      <c r="B199">
        <v>0.12100000000000283</v>
      </c>
      <c r="C199">
        <v>0.11200000000000257</v>
      </c>
    </row>
    <row r="200" spans="1:16" x14ac:dyDescent="0.55000000000000004">
      <c r="A200">
        <v>7.7400000000001579E-2</v>
      </c>
      <c r="B200">
        <v>0.1199000000000028</v>
      </c>
      <c r="C200">
        <v>0.10850000000000247</v>
      </c>
    </row>
    <row r="201" spans="1:16" x14ac:dyDescent="0.55000000000000004">
      <c r="A201">
        <v>9.1900000000001994E-2</v>
      </c>
      <c r="B201">
        <v>0.10130000000000226</v>
      </c>
      <c r="C201">
        <v>9.8600000000002186E-2</v>
      </c>
    </row>
    <row r="202" spans="1:16" x14ac:dyDescent="0.55000000000000004">
      <c r="A202">
        <v>8.270000000000173E-2</v>
      </c>
      <c r="B202">
        <v>0.10920000000000249</v>
      </c>
      <c r="C202">
        <v>0.11900000000000277</v>
      </c>
    </row>
    <row r="203" spans="1:16" x14ac:dyDescent="0.55000000000000004">
      <c r="A203">
        <v>7.6000000000001539E-2</v>
      </c>
      <c r="B203">
        <v>0.10450000000000235</v>
      </c>
      <c r="C203">
        <v>0.11550000000000267</v>
      </c>
    </row>
    <row r="204" spans="1:16" x14ac:dyDescent="0.55000000000000004">
      <c r="A204">
        <v>0.10840000000000247</v>
      </c>
      <c r="B204">
        <v>9.8000000000002169E-2</v>
      </c>
      <c r="C204">
        <v>0.10760000000000244</v>
      </c>
    </row>
    <row r="205" spans="1:16" x14ac:dyDescent="0.55000000000000004">
      <c r="A205">
        <v>0.12120000000000283</v>
      </c>
      <c r="B205">
        <v>0.11480000000000265</v>
      </c>
      <c r="C205">
        <v>0.11710000000000272</v>
      </c>
    </row>
    <row r="206" spans="1:16" x14ac:dyDescent="0.55000000000000004">
      <c r="A206">
        <v>9.1900000000001994E-2</v>
      </c>
      <c r="B206">
        <v>8.8700000000001902E-2</v>
      </c>
      <c r="C206">
        <v>8.9800000000001934E-2</v>
      </c>
    </row>
    <row r="207" spans="1:16" x14ac:dyDescent="0.55000000000000004">
      <c r="A207">
        <v>8.6500000000001839E-2</v>
      </c>
      <c r="B207">
        <v>9.7300000000002149E-2</v>
      </c>
      <c r="C207">
        <v>0.10050000000000224</v>
      </c>
    </row>
    <row r="208" spans="1:16" x14ac:dyDescent="0.55000000000000004">
      <c r="A208">
        <v>6.8400000000001321E-2</v>
      </c>
      <c r="B208">
        <v>0.10980000000000251</v>
      </c>
      <c r="C208">
        <v>0.1165000000000027</v>
      </c>
    </row>
    <row r="209" spans="1:3" x14ac:dyDescent="0.55000000000000004">
      <c r="A209">
        <v>7.0900000000002822E-2</v>
      </c>
      <c r="B209">
        <v>0.12290000000000431</v>
      </c>
      <c r="C209">
        <v>0.12380000000000434</v>
      </c>
    </row>
    <row r="210" spans="1:3" x14ac:dyDescent="0.55000000000000004">
      <c r="A210">
        <v>8.1100000000003114E-2</v>
      </c>
      <c r="B210">
        <v>0.10410000000000377</v>
      </c>
      <c r="C210">
        <v>0.10210000000000372</v>
      </c>
    </row>
    <row r="211" spans="1:3" x14ac:dyDescent="0.55000000000000004">
      <c r="A211">
        <v>7.6500000000002982E-2</v>
      </c>
      <c r="B211">
        <v>0.112000000000004</v>
      </c>
      <c r="C211">
        <v>0.1225000000000043</v>
      </c>
    </row>
    <row r="212" spans="1:3" x14ac:dyDescent="0.55000000000000004">
      <c r="A212">
        <v>7.9100000000003057E-2</v>
      </c>
      <c r="B212">
        <v>0.11980000000000422</v>
      </c>
      <c r="C212">
        <v>0.112000000000004</v>
      </c>
    </row>
    <row r="213" spans="1:3" x14ac:dyDescent="0.55000000000000004">
      <c r="A213">
        <v>7.0900000000002822E-2</v>
      </c>
      <c r="B213">
        <v>0.31749999999998318</v>
      </c>
      <c r="C213">
        <v>0.10570000000000382</v>
      </c>
    </row>
    <row r="214" spans="1:3" x14ac:dyDescent="0.55000000000000004">
      <c r="A214">
        <v>6.9300000000002776E-2</v>
      </c>
      <c r="B214">
        <v>0.11000000000000394</v>
      </c>
      <c r="C214">
        <v>9.8300000000003607E-2</v>
      </c>
    </row>
    <row r="215" spans="1:3" x14ac:dyDescent="0.55000000000000004">
      <c r="A215">
        <v>7.4600000000002928E-2</v>
      </c>
      <c r="B215">
        <v>0.11790000000000417</v>
      </c>
      <c r="C215">
        <v>0.10220000000000372</v>
      </c>
    </row>
    <row r="216" spans="1:3" x14ac:dyDescent="0.55000000000000004">
      <c r="A216">
        <v>8.2600000000003157E-2</v>
      </c>
      <c r="B216">
        <v>0.11720000000000415</v>
      </c>
      <c r="C216">
        <v>0.11230000000000401</v>
      </c>
    </row>
    <row r="217" spans="1:3" x14ac:dyDescent="0.55000000000000004">
      <c r="A217">
        <v>8.1600000000003128E-2</v>
      </c>
      <c r="B217">
        <v>0.20959999999999504</v>
      </c>
      <c r="C217">
        <v>0.10720000000000386</v>
      </c>
    </row>
    <row r="218" spans="1:3" x14ac:dyDescent="0.55000000000000004">
      <c r="A218">
        <v>9.9500000000003641E-2</v>
      </c>
      <c r="B218">
        <v>0.1346000000000033</v>
      </c>
      <c r="C218">
        <v>0.1155000000000041</v>
      </c>
    </row>
    <row r="219" spans="1:3" x14ac:dyDescent="0.55000000000000004">
      <c r="A219">
        <v>8.1100000000003114E-2</v>
      </c>
      <c r="B219">
        <v>0.11320000000000403</v>
      </c>
      <c r="C219">
        <v>0.10810000000000389</v>
      </c>
    </row>
    <row r="220" spans="1:3" x14ac:dyDescent="0.55000000000000004">
      <c r="A220">
        <v>9.4900000000003509E-2</v>
      </c>
      <c r="B220">
        <v>0.10920000000000392</v>
      </c>
      <c r="C220">
        <v>0.10810000000000389</v>
      </c>
    </row>
    <row r="221" spans="1:3" x14ac:dyDescent="0.55000000000000004">
      <c r="A221">
        <v>9.4600000000003501E-2</v>
      </c>
      <c r="B221">
        <v>0.10210000000000372</v>
      </c>
      <c r="C221">
        <v>9.5300000000003521E-2</v>
      </c>
    </row>
    <row r="222" spans="1:3" x14ac:dyDescent="0.55000000000000004">
      <c r="A222">
        <v>5.7400000000002442E-2</v>
      </c>
      <c r="B222">
        <v>9.3600000000003472E-2</v>
      </c>
      <c r="C222">
        <v>9.3800000000003478E-2</v>
      </c>
    </row>
    <row r="223" spans="1:3" x14ac:dyDescent="0.55000000000000004">
      <c r="A223">
        <v>7.2400000000002865E-2</v>
      </c>
      <c r="B223">
        <v>8.900000000000334E-2</v>
      </c>
      <c r="C223">
        <v>9.980000000000365E-2</v>
      </c>
    </row>
    <row r="224" spans="1:3" x14ac:dyDescent="0.55000000000000004">
      <c r="A224">
        <v>6.980000000000279E-2</v>
      </c>
      <c r="B224">
        <v>9.7200000000003575E-2</v>
      </c>
      <c r="C224">
        <v>8.3600000000003186E-2</v>
      </c>
    </row>
    <row r="225" spans="1:3" x14ac:dyDescent="0.55000000000000004">
      <c r="A225">
        <v>7.8900000000003051E-2</v>
      </c>
      <c r="B225">
        <v>0.10940000000000392</v>
      </c>
      <c r="C225">
        <v>0.11100000000000397</v>
      </c>
    </row>
    <row r="226" spans="1:3" x14ac:dyDescent="0.55000000000000004">
      <c r="A226">
        <v>6.6200000000002687E-2</v>
      </c>
      <c r="B226">
        <v>0.112200000000004</v>
      </c>
      <c r="C226">
        <v>0.10010000000000366</v>
      </c>
    </row>
    <row r="227" spans="1:3" x14ac:dyDescent="0.55000000000000004">
      <c r="A227">
        <v>6.0100000000002519E-2</v>
      </c>
      <c r="B227">
        <v>9.1600000000003415E-2</v>
      </c>
      <c r="C227">
        <v>9.2200000000003432E-2</v>
      </c>
    </row>
    <row r="228" spans="1:3" x14ac:dyDescent="0.55000000000000004">
      <c r="A228">
        <v>8.5700000000003246E-2</v>
      </c>
      <c r="B228">
        <v>0.13600000000000315</v>
      </c>
      <c r="C228">
        <v>0.11570000000000411</v>
      </c>
    </row>
    <row r="229" spans="1:3" x14ac:dyDescent="0.55000000000000004">
      <c r="A229">
        <v>4.7499999999656595E-2</v>
      </c>
      <c r="B229">
        <v>0.10109999999953168</v>
      </c>
      <c r="C229">
        <v>9.7799999999539367E-2</v>
      </c>
    </row>
    <row r="230" spans="1:3" x14ac:dyDescent="0.55000000000000004">
      <c r="A230">
        <v>8.2099999999575957E-2</v>
      </c>
      <c r="B230">
        <v>0.11869999999949066</v>
      </c>
      <c r="C230">
        <v>0.10969999999951163</v>
      </c>
    </row>
    <row r="231" spans="1:3" x14ac:dyDescent="0.55000000000000004">
      <c r="A231">
        <v>6.5599999999614411E-2</v>
      </c>
      <c r="B231">
        <v>0.10819999999951513</v>
      </c>
      <c r="C231">
        <v>9.9699999999534938E-2</v>
      </c>
    </row>
    <row r="232" spans="1:3" x14ac:dyDescent="0.55000000000000004">
      <c r="A232">
        <v>7.1799999999599962E-2</v>
      </c>
      <c r="B232">
        <v>0.12389999999947854</v>
      </c>
      <c r="C232">
        <v>0.12759999999946992</v>
      </c>
    </row>
    <row r="233" spans="1:3" x14ac:dyDescent="0.55000000000000004">
      <c r="A233">
        <v>8.2099999999575957E-2</v>
      </c>
      <c r="B233">
        <v>0.10309999999952701</v>
      </c>
      <c r="C233">
        <v>0.10449999999952375</v>
      </c>
    </row>
    <row r="234" spans="1:3" x14ac:dyDescent="0.55000000000000004">
      <c r="A234">
        <v>8.2599999999574791E-2</v>
      </c>
      <c r="B234">
        <v>9.3299999999549854E-2</v>
      </c>
      <c r="C234">
        <v>0.10519999999952212</v>
      </c>
    </row>
    <row r="235" spans="1:3" x14ac:dyDescent="0.55000000000000004">
      <c r="A235">
        <v>7.5799999999590639E-2</v>
      </c>
      <c r="B235">
        <v>0.13169999999946036</v>
      </c>
      <c r="C235">
        <v>0.10629999999951956</v>
      </c>
    </row>
    <row r="236" spans="1:3" x14ac:dyDescent="0.55000000000000004">
      <c r="A236">
        <v>9.0799999999555681E-2</v>
      </c>
      <c r="B236">
        <v>0.11019999999951047</v>
      </c>
      <c r="C236">
        <v>0.11259999999950487</v>
      </c>
    </row>
    <row r="237" spans="1:3" x14ac:dyDescent="0.55000000000000004">
      <c r="A237">
        <v>7.6199999999589707E-2</v>
      </c>
      <c r="B237">
        <v>0.10739999999951699</v>
      </c>
      <c r="C237">
        <v>0.12239999999948203</v>
      </c>
    </row>
    <row r="238" spans="1:3" x14ac:dyDescent="0.55000000000000004">
      <c r="A238">
        <v>6.4499999999616975E-2</v>
      </c>
      <c r="B238">
        <v>0.11869999999949066</v>
      </c>
      <c r="C238">
        <v>9.6099999999543328E-2</v>
      </c>
    </row>
    <row r="239" spans="1:3" x14ac:dyDescent="0.55000000000000004">
      <c r="A239">
        <v>8.8399999999561274E-2</v>
      </c>
      <c r="B239">
        <v>9.4999999999545892E-2</v>
      </c>
      <c r="C239">
        <v>0.11139999999950767</v>
      </c>
    </row>
    <row r="240" spans="1:3" x14ac:dyDescent="0.55000000000000004">
      <c r="A240">
        <v>6.0699999999625831E-2</v>
      </c>
      <c r="B240">
        <v>0.10089999999953214</v>
      </c>
      <c r="C240">
        <v>9.8799999999537036E-2</v>
      </c>
    </row>
    <row r="241" spans="1:3" x14ac:dyDescent="0.55000000000000004">
      <c r="A241">
        <v>7.6299999999589474E-2</v>
      </c>
      <c r="B241">
        <v>0.11189999999950651</v>
      </c>
      <c r="C241">
        <v>0.11079999999950907</v>
      </c>
    </row>
    <row r="242" spans="1:3" x14ac:dyDescent="0.55000000000000004">
      <c r="A242">
        <v>5.2499999999644942E-2</v>
      </c>
      <c r="B242">
        <v>0.11929999999948926</v>
      </c>
      <c r="C242">
        <v>0.1112999999995079</v>
      </c>
    </row>
    <row r="243" spans="1:3" x14ac:dyDescent="0.55000000000000004">
      <c r="A243">
        <v>8.7499999999563371E-2</v>
      </c>
      <c r="B243">
        <v>8.55999999995678E-2</v>
      </c>
      <c r="C243">
        <v>9.309999999955032E-2</v>
      </c>
    </row>
    <row r="244" spans="1:3" x14ac:dyDescent="0.55000000000000004">
      <c r="A244">
        <v>8.2299999999575491E-2</v>
      </c>
      <c r="B244">
        <v>0.10339999999952632</v>
      </c>
      <c r="C244">
        <v>0.10519999999952212</v>
      </c>
    </row>
    <row r="245" spans="1:3" x14ac:dyDescent="0.55000000000000004">
      <c r="A245">
        <v>8.2899999999574092E-2</v>
      </c>
      <c r="B245">
        <v>0.12029999999948693</v>
      </c>
      <c r="C245">
        <v>0.11079999999950907</v>
      </c>
    </row>
    <row r="246" spans="1:3" x14ac:dyDescent="0.55000000000000004">
      <c r="A246">
        <v>8.7199999999564071E-2</v>
      </c>
      <c r="B246">
        <v>0.10609999999952002</v>
      </c>
      <c r="C246">
        <v>0.11879999999949042</v>
      </c>
    </row>
    <row r="247" spans="1:3" x14ac:dyDescent="0.55000000000000004">
      <c r="A247">
        <v>8.3500000000003544E-2</v>
      </c>
      <c r="B247">
        <v>0.11890000000000456</v>
      </c>
      <c r="C247">
        <v>0.11910000000000456</v>
      </c>
    </row>
    <row r="248" spans="1:3" x14ac:dyDescent="0.55000000000000004">
      <c r="A248">
        <v>5.9300000000002857E-2</v>
      </c>
      <c r="B248">
        <v>9.5100000000003876E-2</v>
      </c>
      <c r="C248">
        <v>8.2500000000003515E-2</v>
      </c>
    </row>
    <row r="249" spans="1:3" x14ac:dyDescent="0.55000000000000004">
      <c r="A249">
        <v>9.5399999962947069E-2</v>
      </c>
      <c r="B249">
        <v>9.0099999962946917E-2</v>
      </c>
      <c r="C249">
        <v>8.9699999962946905E-2</v>
      </c>
    </row>
    <row r="250" spans="1:3" x14ac:dyDescent="0.55000000000000004">
      <c r="A250">
        <v>7.239999996294641E-2</v>
      </c>
      <c r="B250">
        <v>0.12039999996294778</v>
      </c>
      <c r="C250">
        <v>0.11679999996294768</v>
      </c>
    </row>
    <row r="251" spans="1:3" x14ac:dyDescent="0.55000000000000004">
      <c r="A251">
        <v>7.3599999960615864E-2</v>
      </c>
      <c r="B251">
        <v>0.12349999996061729</v>
      </c>
      <c r="C251">
        <v>0.1270999999606171</v>
      </c>
    </row>
    <row r="252" spans="1:3" x14ac:dyDescent="0.55000000000000004">
      <c r="A252">
        <v>8.6999999960616248E-2</v>
      </c>
      <c r="B252">
        <v>0.1343999999606163</v>
      </c>
      <c r="C252">
        <v>0.12779999996061703</v>
      </c>
    </row>
    <row r="253" spans="1:3" x14ac:dyDescent="0.55000000000000004">
      <c r="A253">
        <v>7.9799999960616042E-2</v>
      </c>
      <c r="B253">
        <v>0.13329999996061642</v>
      </c>
      <c r="C253">
        <v>9.5999999960616506E-2</v>
      </c>
    </row>
    <row r="254" spans="1:3" x14ac:dyDescent="0.55000000000000004">
      <c r="A254">
        <v>0.12129999996061723</v>
      </c>
      <c r="B254">
        <v>0.10099999996061665</v>
      </c>
      <c r="C254">
        <v>0.11229999996061697</v>
      </c>
    </row>
    <row r="255" spans="1:3" x14ac:dyDescent="0.55000000000000004">
      <c r="A255">
        <v>8.2599999960616122E-2</v>
      </c>
      <c r="B255">
        <v>0.11599999996061708</v>
      </c>
      <c r="C255">
        <v>0.11079999996061693</v>
      </c>
    </row>
    <row r="256" spans="1:3" x14ac:dyDescent="0.55000000000000004">
      <c r="A256">
        <v>9.1499999960616377E-2</v>
      </c>
      <c r="B256">
        <v>0.10029999996061663</v>
      </c>
      <c r="C256">
        <v>8.9799999960616328E-2</v>
      </c>
    </row>
    <row r="257" spans="1:3" x14ac:dyDescent="0.55000000000000004">
      <c r="A257">
        <v>6.8799999960615726E-2</v>
      </c>
      <c r="B257">
        <v>9.5599999960616494E-2</v>
      </c>
      <c r="C257">
        <v>0.10949999996061689</v>
      </c>
    </row>
    <row r="258" spans="1:3" x14ac:dyDescent="0.55000000000000004">
      <c r="A258">
        <v>9.0199999960616339E-2</v>
      </c>
      <c r="B258">
        <v>0.10169999996061667</v>
      </c>
      <c r="C258">
        <v>9.7699999960616554E-2</v>
      </c>
    </row>
    <row r="259" spans="1:3" x14ac:dyDescent="0.55000000000000004">
      <c r="A259">
        <v>6.2799999960615555E-2</v>
      </c>
      <c r="B259">
        <v>8.3099999960616136E-2</v>
      </c>
      <c r="C259">
        <v>8.6999999960616248E-2</v>
      </c>
    </row>
    <row r="260" spans="1:3" x14ac:dyDescent="0.55000000000000004">
      <c r="A260">
        <v>9.0799999960616357E-2</v>
      </c>
      <c r="B260">
        <v>0.11249999996061698</v>
      </c>
      <c r="C260">
        <v>0.11089999996061693</v>
      </c>
    </row>
    <row r="261" spans="1:3" x14ac:dyDescent="0.55000000000000004">
      <c r="A261">
        <v>6.8599999960615721E-2</v>
      </c>
      <c r="B261">
        <v>0.11999999996061719</v>
      </c>
      <c r="C261">
        <v>0.1252999999606173</v>
      </c>
    </row>
    <row r="262" spans="1:3" x14ac:dyDescent="0.55000000000000004">
      <c r="A262">
        <v>8.1699999960616096E-2</v>
      </c>
      <c r="B262">
        <v>0.10369999996061673</v>
      </c>
      <c r="C262">
        <v>0.10609999996061679</v>
      </c>
    </row>
    <row r="263" spans="1:3" x14ac:dyDescent="0.55000000000000004">
      <c r="A263">
        <v>9.5399999960616488E-2</v>
      </c>
      <c r="B263">
        <v>9.9599999960616609E-2</v>
      </c>
      <c r="C263">
        <v>0.10519999996061677</v>
      </c>
    </row>
    <row r="264" spans="1:3" x14ac:dyDescent="0.55000000000000004">
      <c r="A264">
        <v>7.7499999962946556E-2</v>
      </c>
      <c r="B264">
        <v>0.10629999996294738</v>
      </c>
      <c r="C264">
        <v>0.10179999996294725</v>
      </c>
    </row>
    <row r="265" spans="1:3" x14ac:dyDescent="0.55000000000000004">
      <c r="A265">
        <v>8.3899999962946739E-2</v>
      </c>
      <c r="B265">
        <v>0.1359999999629467</v>
      </c>
      <c r="C265">
        <v>0.10999999996294749</v>
      </c>
    </row>
    <row r="266" spans="1:3" x14ac:dyDescent="0.55000000000000004">
      <c r="A266">
        <v>9.0499999962946928E-2</v>
      </c>
      <c r="B266">
        <v>9.4199999962947034E-2</v>
      </c>
      <c r="C266">
        <v>9.5899999962947083E-2</v>
      </c>
    </row>
    <row r="267" spans="1:3" x14ac:dyDescent="0.55000000000000004">
      <c r="A267">
        <v>7.2199999962946404E-2</v>
      </c>
      <c r="B267">
        <v>0.10849999996294744</v>
      </c>
      <c r="C267">
        <v>0.1102999999629475</v>
      </c>
    </row>
    <row r="268" spans="1:3" x14ac:dyDescent="0.55000000000000004">
      <c r="A268">
        <v>7.589999996294651E-2</v>
      </c>
      <c r="B268">
        <v>0.1070999999629474</v>
      </c>
      <c r="C268">
        <v>0.11619999996294766</v>
      </c>
    </row>
    <row r="269" spans="1:3" x14ac:dyDescent="0.55000000000000004">
      <c r="A269">
        <v>0.10579999996294737</v>
      </c>
      <c r="B269">
        <v>0.10029999996294721</v>
      </c>
      <c r="C269">
        <v>0.12669999996294773</v>
      </c>
    </row>
    <row r="270" spans="1:3" x14ac:dyDescent="0.55000000000000004">
      <c r="A270">
        <v>6.5199999962946203E-2</v>
      </c>
      <c r="B270">
        <v>8.9799999962946908E-2</v>
      </c>
      <c r="C270">
        <v>8.9799999962946908E-2</v>
      </c>
    </row>
    <row r="271" spans="1:3" x14ac:dyDescent="0.55000000000000004">
      <c r="A271">
        <v>8.5899999962946796E-2</v>
      </c>
      <c r="B271">
        <v>0.11539999996294764</v>
      </c>
      <c r="C271">
        <v>0.1172999999629477</v>
      </c>
    </row>
    <row r="272" spans="1:3" x14ac:dyDescent="0.55000000000000004">
      <c r="A272">
        <v>9.229999996294698E-2</v>
      </c>
      <c r="B272">
        <v>0.10639999996294738</v>
      </c>
      <c r="C272">
        <v>0.11149999996294753</v>
      </c>
    </row>
    <row r="273" spans="1:10" x14ac:dyDescent="0.55000000000000004">
      <c r="A273">
        <v>6.8799999962946307E-2</v>
      </c>
      <c r="B273">
        <v>9.7499999962947129E-2</v>
      </c>
      <c r="C273">
        <v>0.1069999999629474</v>
      </c>
      <c r="D273">
        <v>6.8799999962946307E-2</v>
      </c>
      <c r="E273">
        <v>9.7499999962947129E-2</v>
      </c>
      <c r="F273">
        <v>0.1069999999629474</v>
      </c>
      <c r="G273">
        <v>6.8799999962946307E-2</v>
      </c>
      <c r="H273">
        <v>0.10719999996294741</v>
      </c>
      <c r="I273">
        <v>8.9799999962946908E-2</v>
      </c>
      <c r="J273">
        <v>8.3199999962946719E-2</v>
      </c>
    </row>
    <row r="274" spans="1:10" x14ac:dyDescent="0.55000000000000004">
      <c r="A274">
        <v>6.7499999962946269E-2</v>
      </c>
      <c r="B274">
        <v>9.7499999962947129E-2</v>
      </c>
      <c r="C274">
        <v>0.10119999996294723</v>
      </c>
      <c r="D274">
        <v>6.7499999962946269E-2</v>
      </c>
      <c r="E274">
        <v>9.7499999962947129E-2</v>
      </c>
      <c r="F274">
        <v>0.10119999996294723</v>
      </c>
      <c r="G274">
        <v>6.7499999962946269E-2</v>
      </c>
      <c r="H274">
        <v>0.11009999996294749</v>
      </c>
      <c r="I274">
        <v>8.7399999962946839E-2</v>
      </c>
      <c r="J274">
        <v>8.7499999962946842E-2</v>
      </c>
    </row>
    <row r="275" spans="1:10" x14ac:dyDescent="0.55000000000000004">
      <c r="A275">
        <v>7.1100000000002828E-2</v>
      </c>
      <c r="B275">
        <v>0.10090000000000368</v>
      </c>
      <c r="C275">
        <v>0.10190000000000371</v>
      </c>
      <c r="D275">
        <v>7.1100000000002828E-2</v>
      </c>
      <c r="E275">
        <v>0.10090000000000368</v>
      </c>
      <c r="F275">
        <v>0.10190000000000371</v>
      </c>
      <c r="G275">
        <v>7.1100000000002828E-2</v>
      </c>
      <c r="H275">
        <v>0.11310000000000403</v>
      </c>
      <c r="I275">
        <v>0.10620000000000383</v>
      </c>
      <c r="J275">
        <v>9.8500000000003612E-2</v>
      </c>
    </row>
    <row r="276" spans="1:10" x14ac:dyDescent="0.55000000000000004">
      <c r="A276">
        <v>9.1499999962946957E-2</v>
      </c>
      <c r="B276">
        <v>0.10249999996294727</v>
      </c>
      <c r="C276">
        <v>0.10779999996294742</v>
      </c>
    </row>
    <row r="277" spans="1:10" x14ac:dyDescent="0.55000000000000004">
      <c r="A277">
        <v>6.8599999962946301E-2</v>
      </c>
      <c r="B277">
        <v>0.11199999996294754</v>
      </c>
      <c r="C277">
        <v>0.12189999996294783</v>
      </c>
      <c r="D277">
        <v>6.8599999962946301E-2</v>
      </c>
      <c r="E277">
        <v>0.11199999996294754</v>
      </c>
      <c r="F277">
        <v>0.12189999996294783</v>
      </c>
      <c r="G277">
        <v>6.8599999962946301E-2</v>
      </c>
      <c r="H277">
        <v>0.11229999996294755</v>
      </c>
      <c r="I277">
        <v>8.8899999962946882E-2</v>
      </c>
      <c r="J277">
        <v>8.7699999962946848E-2</v>
      </c>
    </row>
    <row r="278" spans="1:10" x14ac:dyDescent="0.55000000000000004">
      <c r="A278">
        <v>6.6699999962946246E-2</v>
      </c>
      <c r="B278">
        <v>0.10159999996294725</v>
      </c>
      <c r="C278">
        <v>0.10889999996294746</v>
      </c>
      <c r="D278">
        <v>6.6699999962946246E-2</v>
      </c>
      <c r="E278">
        <v>0.10159999996294725</v>
      </c>
      <c r="F278">
        <v>0.10889999996294746</v>
      </c>
      <c r="G278">
        <v>6.6699999962946246E-2</v>
      </c>
      <c r="H278">
        <v>0.20749999996293883</v>
      </c>
      <c r="I278">
        <v>0.10409999996294732</v>
      </c>
      <c r="J278">
        <v>8.8099999962946859E-2</v>
      </c>
    </row>
    <row r="279" spans="1:10" x14ac:dyDescent="0.55000000000000004">
      <c r="A279">
        <v>7.5700000000002959E-2</v>
      </c>
      <c r="B279">
        <v>0.10230000000000372</v>
      </c>
      <c r="C279">
        <v>0.1051000000000038</v>
      </c>
      <c r="D279">
        <v>7.5700000000002959E-2</v>
      </c>
      <c r="E279">
        <v>0.10230000000000372</v>
      </c>
      <c r="F279">
        <v>0.1051000000000038</v>
      </c>
      <c r="G279">
        <v>7.5700000000002959E-2</v>
      </c>
      <c r="H279">
        <v>0.11030000000000395</v>
      </c>
      <c r="I279">
        <v>9.4000000000003484E-2</v>
      </c>
      <c r="J279">
        <v>9.1900000000003423E-2</v>
      </c>
    </row>
    <row r="280" spans="1:10" x14ac:dyDescent="0.55000000000000004">
      <c r="A280">
        <v>7.2699999962946418E-2</v>
      </c>
      <c r="B280">
        <v>0.11899999996294774</v>
      </c>
      <c r="C280">
        <v>0.1103999999629475</v>
      </c>
      <c r="D280">
        <v>7.2699999962946418E-2</v>
      </c>
      <c r="E280">
        <v>0.11899999996294774</v>
      </c>
      <c r="F280">
        <v>0.1103999999629475</v>
      </c>
      <c r="G280">
        <v>7.2699999962946418E-2</v>
      </c>
      <c r="H280">
        <v>0.11789999996294771</v>
      </c>
      <c r="I280">
        <v>0.1033999999629473</v>
      </c>
      <c r="J280">
        <v>0.10199999996294726</v>
      </c>
    </row>
    <row r="281" spans="1:10" x14ac:dyDescent="0.55000000000000004">
      <c r="A281">
        <v>9.3300000000003463E-2</v>
      </c>
      <c r="B281">
        <v>0.11430000000000407</v>
      </c>
      <c r="C281">
        <v>0.1014000000000037</v>
      </c>
      <c r="D281">
        <v>9.3300000000003463E-2</v>
      </c>
      <c r="E281">
        <v>0.11430000000000407</v>
      </c>
      <c r="F281">
        <v>0.1014000000000037</v>
      </c>
      <c r="G281">
        <v>9.3300000000003463E-2</v>
      </c>
      <c r="H281">
        <v>0.11400000000000406</v>
      </c>
      <c r="I281">
        <v>8.2900000000003166E-2</v>
      </c>
      <c r="J281">
        <v>8.9900000000003366E-2</v>
      </c>
    </row>
    <row r="282" spans="1:10" x14ac:dyDescent="0.55000000000000004">
      <c r="A282">
        <v>7.780000000000302E-2</v>
      </c>
      <c r="B282">
        <v>9.3300000000003463E-2</v>
      </c>
      <c r="C282">
        <v>0.10920000000000392</v>
      </c>
      <c r="D282">
        <v>7.780000000000302E-2</v>
      </c>
      <c r="E282">
        <v>9.3300000000003463E-2</v>
      </c>
      <c r="F282">
        <v>0.10920000000000392</v>
      </c>
      <c r="G282">
        <v>7.780000000000302E-2</v>
      </c>
      <c r="H282">
        <v>0.1155000000000041</v>
      </c>
      <c r="I282">
        <v>8.6800000000003277E-2</v>
      </c>
      <c r="J282">
        <v>8.2800000000003163E-2</v>
      </c>
    </row>
    <row r="283" spans="1:10" x14ac:dyDescent="0.55000000000000004">
      <c r="A283">
        <v>7.0000000000002796E-2</v>
      </c>
      <c r="B283">
        <v>0.11090000000000397</v>
      </c>
      <c r="C283">
        <v>0.10550000000000381</v>
      </c>
      <c r="D283">
        <v>7.0000000000002796E-2</v>
      </c>
      <c r="E283">
        <v>0.11090000000000397</v>
      </c>
      <c r="F283">
        <v>0.10550000000000381</v>
      </c>
      <c r="G283">
        <v>7.0000000000002796E-2</v>
      </c>
      <c r="H283">
        <v>0.11530000000000409</v>
      </c>
      <c r="I283">
        <v>0.10910000000000392</v>
      </c>
      <c r="J283">
        <v>9.4900000000003509E-2</v>
      </c>
    </row>
    <row r="284" spans="1:10" x14ac:dyDescent="0.55000000000000004">
      <c r="A284">
        <v>5.4100000000002348E-2</v>
      </c>
      <c r="B284">
        <v>9.8300000000003607E-2</v>
      </c>
      <c r="C284">
        <v>0.1017000000000037</v>
      </c>
      <c r="D284">
        <v>5.4100000000002348E-2</v>
      </c>
      <c r="E284">
        <v>9.8300000000003607E-2</v>
      </c>
      <c r="F284">
        <v>0.1017000000000037</v>
      </c>
      <c r="G284">
        <v>5.4100000000002348E-2</v>
      </c>
      <c r="H284">
        <v>0.10730000000000386</v>
      </c>
      <c r="I284">
        <v>8.6500000000003269E-2</v>
      </c>
      <c r="J284">
        <v>8.9800000000003363E-2</v>
      </c>
    </row>
    <row r="285" spans="1:10" x14ac:dyDescent="0.55000000000000004">
      <c r="A285">
        <v>7.5400000000002951E-2</v>
      </c>
      <c r="B285">
        <v>0.1014000000000037</v>
      </c>
      <c r="C285">
        <v>0.1052000000000038</v>
      </c>
      <c r="D285">
        <v>7.5400000000002951E-2</v>
      </c>
      <c r="E285">
        <v>0.1014000000000037</v>
      </c>
      <c r="F285">
        <v>0.1052000000000038</v>
      </c>
      <c r="G285">
        <v>7.5400000000002951E-2</v>
      </c>
      <c r="H285">
        <v>0.10330000000000375</v>
      </c>
      <c r="I285">
        <v>9.0100000000003372E-2</v>
      </c>
      <c r="J285">
        <v>8.5100000000003229E-2</v>
      </c>
    </row>
    <row r="286" spans="1:10" x14ac:dyDescent="0.55000000000000004">
      <c r="A286">
        <v>5.4899999962945915E-2</v>
      </c>
      <c r="B286">
        <v>8.7399999962946839E-2</v>
      </c>
      <c r="C286">
        <v>0.11009999996294749</v>
      </c>
      <c r="D286">
        <v>5.4899999962945915E-2</v>
      </c>
      <c r="E286">
        <v>8.7399999962946839E-2</v>
      </c>
      <c r="F286">
        <v>0.11009999996294749</v>
      </c>
      <c r="G286">
        <v>5.4899999962945915E-2</v>
      </c>
      <c r="H286">
        <v>0.17039999996294292</v>
      </c>
      <c r="I286">
        <v>9.8099999962947146E-2</v>
      </c>
      <c r="J286">
        <v>6.8199999962946289E-2</v>
      </c>
    </row>
    <row r="287" spans="1:10" x14ac:dyDescent="0.55000000000000004">
      <c r="A287">
        <v>7.2199999962946404E-2</v>
      </c>
      <c r="B287">
        <v>0.13109999996294724</v>
      </c>
      <c r="C287">
        <v>9.1899999962946968E-2</v>
      </c>
    </row>
    <row r="288" spans="1:10" x14ac:dyDescent="0.55000000000000004">
      <c r="A288">
        <v>7.2400000000002865E-2</v>
      </c>
      <c r="B288">
        <v>0.10480000000000379</v>
      </c>
      <c r="C288">
        <v>0.10280000000000374</v>
      </c>
      <c r="D288">
        <v>7.2400000000002865E-2</v>
      </c>
      <c r="E288">
        <v>0.10480000000000379</v>
      </c>
      <c r="F288">
        <v>0.10280000000000374</v>
      </c>
      <c r="G288">
        <v>7.2400000000002865E-2</v>
      </c>
      <c r="H288">
        <v>0.11500000000000409</v>
      </c>
      <c r="I288">
        <v>8.3500000000003183E-2</v>
      </c>
      <c r="J288">
        <v>8.3300000000003177E-2</v>
      </c>
    </row>
    <row r="289" spans="1:10" x14ac:dyDescent="0.55000000000000004">
      <c r="A289">
        <v>8.340000000000318E-2</v>
      </c>
      <c r="B289">
        <v>0.1050000000000038</v>
      </c>
      <c r="C289">
        <v>0.12840000000000398</v>
      </c>
      <c r="D289">
        <v>8.340000000000318E-2</v>
      </c>
      <c r="E289">
        <v>0.1050000000000038</v>
      </c>
      <c r="F289">
        <v>0.12840000000000398</v>
      </c>
      <c r="G289">
        <v>8.340000000000318E-2</v>
      </c>
      <c r="H289">
        <v>0.12630000000000421</v>
      </c>
      <c r="I289">
        <v>0.12380000000000434</v>
      </c>
      <c r="J289">
        <v>9.5700000000003532E-2</v>
      </c>
    </row>
    <row r="290" spans="1:10" x14ac:dyDescent="0.55000000000000004">
      <c r="A290">
        <v>9.4800000000003506E-2</v>
      </c>
      <c r="B290">
        <v>0.11450000000000407</v>
      </c>
      <c r="C290">
        <v>0.11320000000000403</v>
      </c>
      <c r="D290">
        <v>9.4800000000003506E-2</v>
      </c>
      <c r="E290">
        <v>0.11450000000000407</v>
      </c>
      <c r="F290">
        <v>0.11320000000000403</v>
      </c>
      <c r="G290">
        <v>9.4800000000003506E-2</v>
      </c>
      <c r="H290">
        <v>0.1292000000000039</v>
      </c>
      <c r="I290">
        <v>0.10400000000000377</v>
      </c>
      <c r="J290">
        <v>0.1017000000000037</v>
      </c>
    </row>
    <row r="291" spans="1:10" x14ac:dyDescent="0.55000000000000004">
      <c r="A291">
        <v>6.560000000000267E-2</v>
      </c>
      <c r="B291">
        <v>9.6900000000003567E-2</v>
      </c>
      <c r="C291">
        <v>8.4200000000003203E-2</v>
      </c>
      <c r="D291">
        <v>6.560000000000267E-2</v>
      </c>
      <c r="E291">
        <v>9.6900000000003567E-2</v>
      </c>
      <c r="F291">
        <v>8.4200000000003203E-2</v>
      </c>
      <c r="G291">
        <v>6.560000000000267E-2</v>
      </c>
      <c r="H291">
        <v>0.10780000000000388</v>
      </c>
      <c r="I291">
        <v>9.11000000000034E-2</v>
      </c>
      <c r="J291">
        <v>8.8200000000003317E-2</v>
      </c>
    </row>
    <row r="292" spans="1:10" x14ac:dyDescent="0.55000000000000004">
      <c r="A292">
        <v>8.9100000000003343E-2</v>
      </c>
      <c r="B292">
        <v>0.11260000000000402</v>
      </c>
      <c r="C292">
        <v>0.1190000000000042</v>
      </c>
      <c r="D292">
        <v>8.9100000000003343E-2</v>
      </c>
      <c r="E292">
        <v>0.11260000000000402</v>
      </c>
      <c r="F292">
        <v>0.1190000000000042</v>
      </c>
      <c r="G292">
        <v>8.9100000000003343E-2</v>
      </c>
      <c r="H292">
        <v>0.1156000000000041</v>
      </c>
      <c r="I292">
        <v>0.12290000000000431</v>
      </c>
      <c r="J292">
        <v>9.770000000000359E-2</v>
      </c>
    </row>
    <row r="293" spans="1:10" x14ac:dyDescent="0.55000000000000004">
      <c r="A293">
        <v>8.7800000000003306E-2</v>
      </c>
      <c r="B293">
        <v>0.13620000000000312</v>
      </c>
      <c r="C293">
        <v>0.1156000000000041</v>
      </c>
      <c r="D293">
        <v>8.7800000000003306E-2</v>
      </c>
      <c r="E293">
        <v>0.13620000000000312</v>
      </c>
      <c r="F293">
        <v>0.1156000000000041</v>
      </c>
      <c r="G293">
        <v>8.7800000000003306E-2</v>
      </c>
      <c r="H293">
        <v>0.11600000000000411</v>
      </c>
      <c r="I293">
        <v>0.11570000000000411</v>
      </c>
      <c r="J293">
        <v>0.10220000000000372</v>
      </c>
    </row>
    <row r="294" spans="1:10" x14ac:dyDescent="0.55000000000000004">
      <c r="A294">
        <v>0.10760000000000387</v>
      </c>
      <c r="B294">
        <v>0.10000000000000366</v>
      </c>
      <c r="C294">
        <v>0.11710000000000415</v>
      </c>
      <c r="D294">
        <v>0.10760000000000387</v>
      </c>
      <c r="E294">
        <v>0.10000000000000366</v>
      </c>
      <c r="F294">
        <v>0.11710000000000415</v>
      </c>
      <c r="G294">
        <v>0.10760000000000387</v>
      </c>
      <c r="H294">
        <v>0.12430000000000435</v>
      </c>
      <c r="I294">
        <v>0.11750000000000416</v>
      </c>
      <c r="J294">
        <v>0.10280000000000374</v>
      </c>
    </row>
    <row r="295" spans="1:10" x14ac:dyDescent="0.55000000000000004">
      <c r="A295">
        <v>7.7600000000003014E-2</v>
      </c>
      <c r="B295">
        <v>0.10670000000000385</v>
      </c>
      <c r="C295">
        <v>0.1084000000000039</v>
      </c>
      <c r="D295">
        <v>7.7600000000003014E-2</v>
      </c>
      <c r="E295">
        <v>0.10670000000000385</v>
      </c>
      <c r="F295">
        <v>0.1084000000000039</v>
      </c>
      <c r="G295">
        <v>7.7600000000003014E-2</v>
      </c>
      <c r="H295">
        <v>0.12040000000000424</v>
      </c>
      <c r="I295">
        <v>0.10120000000000369</v>
      </c>
      <c r="J295">
        <v>9.5500000000003527E-2</v>
      </c>
    </row>
    <row r="296" spans="1:10" x14ac:dyDescent="0.55000000000000004">
      <c r="A296">
        <v>8.0200000000003088E-2</v>
      </c>
      <c r="B296">
        <v>0.10220000000000372</v>
      </c>
      <c r="C296">
        <v>0.10910000000000392</v>
      </c>
      <c r="D296">
        <v>8.0200000000003088E-2</v>
      </c>
      <c r="E296">
        <v>0.10220000000000372</v>
      </c>
      <c r="F296">
        <v>0.10910000000000392</v>
      </c>
      <c r="G296">
        <v>8.0200000000003088E-2</v>
      </c>
      <c r="H296">
        <v>0.11730000000000415</v>
      </c>
      <c r="I296">
        <v>0.11730000000000415</v>
      </c>
      <c r="J296">
        <v>0.10040000000000367</v>
      </c>
    </row>
    <row r="297" spans="1:10" x14ac:dyDescent="0.55000000000000004">
      <c r="A297">
        <v>9.1300000000003406E-2</v>
      </c>
      <c r="B297">
        <v>0.10820000000000389</v>
      </c>
      <c r="C297">
        <v>0.11070000000000396</v>
      </c>
      <c r="D297">
        <v>9.1300000000003406E-2</v>
      </c>
      <c r="E297">
        <v>0.10820000000000389</v>
      </c>
      <c r="F297">
        <v>0.11070000000000396</v>
      </c>
      <c r="G297">
        <v>9.1300000000003406E-2</v>
      </c>
      <c r="H297">
        <v>0.12090000000000425</v>
      </c>
      <c r="I297">
        <v>0.11650000000000413</v>
      </c>
      <c r="J297">
        <v>0.10020000000000366</v>
      </c>
    </row>
    <row r="298" spans="1:10" x14ac:dyDescent="0.55000000000000004">
      <c r="A298">
        <v>7.2300000000002862E-2</v>
      </c>
      <c r="B298">
        <v>9.6300000000003549E-2</v>
      </c>
      <c r="C298">
        <v>0.10890000000000391</v>
      </c>
      <c r="D298">
        <v>7.2300000000002862E-2</v>
      </c>
      <c r="E298">
        <v>9.6300000000003549E-2</v>
      </c>
      <c r="F298">
        <v>0.10890000000000391</v>
      </c>
      <c r="G298">
        <v>7.2300000000002862E-2</v>
      </c>
      <c r="H298">
        <v>0.10600000000000383</v>
      </c>
      <c r="I298">
        <v>0.11310000000000403</v>
      </c>
      <c r="J298">
        <v>8.2800000000003163E-2</v>
      </c>
    </row>
    <row r="299" spans="1:10" x14ac:dyDescent="0.55000000000000004">
      <c r="A299">
        <v>7.8800000000003048E-2</v>
      </c>
      <c r="B299">
        <v>9.7800000000003592E-2</v>
      </c>
      <c r="C299">
        <v>0.1017000000000037</v>
      </c>
      <c r="D299">
        <v>7.8800000000003048E-2</v>
      </c>
      <c r="E299">
        <v>9.7800000000003592E-2</v>
      </c>
      <c r="F299">
        <v>0.1017000000000037</v>
      </c>
      <c r="G299">
        <v>7.8800000000003048E-2</v>
      </c>
      <c r="H299">
        <v>0.11240000000000401</v>
      </c>
      <c r="I299">
        <v>9.6000000000003541E-2</v>
      </c>
      <c r="J299">
        <v>9.1200000000003403E-2</v>
      </c>
    </row>
    <row r="300" spans="1:10" x14ac:dyDescent="0.55000000000000004">
      <c r="A300">
        <v>8.0500000000003097E-2</v>
      </c>
      <c r="B300">
        <v>0.10450000000000378</v>
      </c>
      <c r="C300">
        <v>0.10370000000000376</v>
      </c>
      <c r="D300">
        <v>8.0500000000003097E-2</v>
      </c>
      <c r="E300">
        <v>0.10450000000000378</v>
      </c>
      <c r="F300">
        <v>0.10370000000000376</v>
      </c>
      <c r="G300">
        <v>8.0500000000003097E-2</v>
      </c>
      <c r="H300">
        <v>0.11310000000000403</v>
      </c>
      <c r="I300">
        <v>9.1500000000003412E-2</v>
      </c>
      <c r="J300">
        <v>8.5100000000003229E-2</v>
      </c>
    </row>
    <row r="301" spans="1:10" x14ac:dyDescent="0.55000000000000004">
      <c r="A301">
        <v>8.8800000000003335E-2</v>
      </c>
      <c r="B301">
        <v>0.10210000000000372</v>
      </c>
      <c r="C301">
        <v>0.11480000000000408</v>
      </c>
      <c r="D301">
        <v>8.8800000000003335E-2</v>
      </c>
      <c r="E301">
        <v>0.10210000000000372</v>
      </c>
      <c r="F301">
        <v>0.11480000000000408</v>
      </c>
      <c r="G301">
        <v>8.8800000000003335E-2</v>
      </c>
      <c r="H301">
        <v>0.12680000000000416</v>
      </c>
      <c r="I301">
        <v>0.10960000000000393</v>
      </c>
      <c r="J301">
        <v>0.10820000000000389</v>
      </c>
    </row>
    <row r="302" spans="1:10" x14ac:dyDescent="0.55000000000000004">
      <c r="A302">
        <v>9.6100000000003544E-2</v>
      </c>
      <c r="B302">
        <v>0.10830000000000389</v>
      </c>
      <c r="C302">
        <v>0.12280000000000431</v>
      </c>
      <c r="D302">
        <v>9.6100000000003544E-2</v>
      </c>
      <c r="E302">
        <v>0.10830000000000389</v>
      </c>
      <c r="F302">
        <v>0.12280000000000431</v>
      </c>
      <c r="G302">
        <v>9.6100000000003544E-2</v>
      </c>
      <c r="H302">
        <v>0.32129999999998277</v>
      </c>
      <c r="I302">
        <v>0.12130000000000427</v>
      </c>
      <c r="J302">
        <v>7.9600000000003071E-2</v>
      </c>
    </row>
    <row r="303" spans="1:10" x14ac:dyDescent="0.55000000000000004">
      <c r="A303">
        <v>0.10380000000000376</v>
      </c>
      <c r="B303">
        <v>9.8900000000003624E-2</v>
      </c>
      <c r="C303">
        <v>8.7900000000003309E-2</v>
      </c>
      <c r="D303">
        <v>0.10380000000000376</v>
      </c>
      <c r="E303">
        <v>9.8900000000003624E-2</v>
      </c>
      <c r="F303">
        <v>8.7900000000003309E-2</v>
      </c>
      <c r="G303">
        <v>0.10380000000000376</v>
      </c>
      <c r="H303">
        <v>0.12010000000000423</v>
      </c>
      <c r="I303">
        <v>7.920000000000306E-2</v>
      </c>
      <c r="J303">
        <v>7.850000000000304E-2</v>
      </c>
    </row>
    <row r="304" spans="1:10" x14ac:dyDescent="0.55000000000000004">
      <c r="A304">
        <v>8.3200000000003174E-2</v>
      </c>
      <c r="B304">
        <v>0.12520000000000434</v>
      </c>
      <c r="C304">
        <v>0.11140000000000398</v>
      </c>
      <c r="D304">
        <v>8.3200000000003174E-2</v>
      </c>
      <c r="E304">
        <v>0.12520000000000434</v>
      </c>
      <c r="F304">
        <v>0.11140000000000398</v>
      </c>
      <c r="G304">
        <v>8.3200000000003174E-2</v>
      </c>
      <c r="H304">
        <v>0.1155000000000041</v>
      </c>
      <c r="I304">
        <v>9.3500000000003469E-2</v>
      </c>
      <c r="J304">
        <v>8.8400000000003323E-2</v>
      </c>
    </row>
    <row r="305" spans="1:10" x14ac:dyDescent="0.55000000000000004">
      <c r="A305">
        <v>7.9400000000003065E-2</v>
      </c>
      <c r="B305">
        <v>0.11940000000000421</v>
      </c>
      <c r="C305">
        <v>0.11830000000000418</v>
      </c>
      <c r="D305">
        <v>7.9400000000003065E-2</v>
      </c>
      <c r="E305">
        <v>0.11940000000000421</v>
      </c>
      <c r="F305">
        <v>0.11830000000000418</v>
      </c>
      <c r="G305">
        <v>7.9400000000003065E-2</v>
      </c>
      <c r="H305">
        <v>0.12120000000000426</v>
      </c>
      <c r="I305">
        <v>0.11050000000000396</v>
      </c>
      <c r="J305">
        <v>0.10030000000000366</v>
      </c>
    </row>
    <row r="306" spans="1:10" x14ac:dyDescent="0.55000000000000004">
      <c r="A306">
        <v>0.10819999996294744</v>
      </c>
      <c r="B306">
        <v>0.11649999996294767</v>
      </c>
      <c r="C306">
        <v>0.11779999996294771</v>
      </c>
    </row>
    <row r="307" spans="1:10" x14ac:dyDescent="0.55000000000000004">
      <c r="A307">
        <v>0.1035999999629473</v>
      </c>
      <c r="B307">
        <v>0.1210999999629478</v>
      </c>
      <c r="C307">
        <v>0.10749999996294742</v>
      </c>
    </row>
    <row r="308" spans="1:10" x14ac:dyDescent="0.55000000000000004">
      <c r="A308">
        <v>0.10419999996294732</v>
      </c>
      <c r="B308">
        <v>9.8299999962947152E-2</v>
      </c>
      <c r="C308">
        <v>9.8199999962947149E-2</v>
      </c>
    </row>
    <row r="309" spans="1:10" x14ac:dyDescent="0.55000000000000004">
      <c r="A309">
        <v>0.10940000000000392</v>
      </c>
      <c r="B309">
        <v>0.12100000000000426</v>
      </c>
      <c r="C309">
        <v>9.1300000000003406E-2</v>
      </c>
      <c r="D309">
        <v>0.10940000000000392</v>
      </c>
      <c r="E309">
        <v>0.12100000000000426</v>
      </c>
      <c r="F309">
        <v>9.1300000000003406E-2</v>
      </c>
      <c r="G309">
        <v>0.10940000000000392</v>
      </c>
      <c r="H309">
        <v>0.11170000000000399</v>
      </c>
      <c r="I309">
        <v>0.12830000000000399</v>
      </c>
      <c r="J309">
        <v>0.10000000000000366</v>
      </c>
    </row>
    <row r="310" spans="1:10" x14ac:dyDescent="0.55000000000000004">
      <c r="A310">
        <v>9.64999999629471E-2</v>
      </c>
      <c r="B310">
        <v>0.10779999996294742</v>
      </c>
      <c r="C310">
        <v>0.10649999996294739</v>
      </c>
    </row>
    <row r="311" spans="1:10" x14ac:dyDescent="0.55000000000000004">
      <c r="A311">
        <v>8.200000000000314E-2</v>
      </c>
      <c r="B311">
        <v>0.11820000000000418</v>
      </c>
      <c r="C311">
        <v>0.11370000000000405</v>
      </c>
      <c r="D311">
        <v>8.200000000000314E-2</v>
      </c>
      <c r="E311">
        <v>0.11820000000000418</v>
      </c>
      <c r="F311">
        <v>0.11370000000000405</v>
      </c>
      <c r="G311">
        <v>8.200000000000314E-2</v>
      </c>
      <c r="H311">
        <v>0.26749999999998869</v>
      </c>
      <c r="I311">
        <v>0.11000000000000394</v>
      </c>
      <c r="J311">
        <v>0.11060000000000396</v>
      </c>
    </row>
    <row r="312" spans="1:10" x14ac:dyDescent="0.55000000000000004">
      <c r="A312">
        <v>0.4589999999999676</v>
      </c>
      <c r="B312">
        <v>0.1015000000000037</v>
      </c>
      <c r="C312">
        <v>0.10720000000000386</v>
      </c>
      <c r="D312">
        <v>0.4589999999999676</v>
      </c>
      <c r="E312">
        <v>0.1015000000000037</v>
      </c>
      <c r="F312">
        <v>0.10720000000000386</v>
      </c>
      <c r="G312">
        <v>0.4589999999999676</v>
      </c>
      <c r="H312">
        <v>0.10550000000000381</v>
      </c>
      <c r="I312">
        <v>7.7100000000002999E-2</v>
      </c>
      <c r="J312">
        <v>8.1400000000003123E-2</v>
      </c>
    </row>
    <row r="313" spans="1:10" x14ac:dyDescent="0.55000000000000004">
      <c r="A313">
        <v>7.6700000000002988E-2</v>
      </c>
      <c r="B313">
        <v>0.12180000000000428</v>
      </c>
      <c r="C313">
        <v>9.5600000000003529E-2</v>
      </c>
      <c r="D313">
        <v>7.6700000000002988E-2</v>
      </c>
      <c r="E313">
        <v>0.12180000000000428</v>
      </c>
      <c r="F313">
        <v>9.5600000000003529E-2</v>
      </c>
      <c r="G313">
        <v>7.6700000000002988E-2</v>
      </c>
      <c r="H313">
        <v>0.10420000000000378</v>
      </c>
      <c r="I313">
        <v>0.10750000000000387</v>
      </c>
      <c r="J313">
        <v>9.9700000000003647E-2</v>
      </c>
    </row>
    <row r="314" spans="1:10" x14ac:dyDescent="0.55000000000000004">
      <c r="A314">
        <v>8.1600000000003128E-2</v>
      </c>
      <c r="B314">
        <v>0.10090000000000368</v>
      </c>
      <c r="C314">
        <v>0.1050000000000038</v>
      </c>
      <c r="D314">
        <v>8.1600000000003128E-2</v>
      </c>
      <c r="E314">
        <v>0.10090000000000368</v>
      </c>
      <c r="F314">
        <v>0.1050000000000038</v>
      </c>
      <c r="G314">
        <v>8.1600000000003128E-2</v>
      </c>
      <c r="H314">
        <v>0.11080000000000396</v>
      </c>
      <c r="I314">
        <v>8.7400000000003294E-2</v>
      </c>
      <c r="J314">
        <v>8.6600000000003272E-2</v>
      </c>
    </row>
    <row r="315" spans="1:10" x14ac:dyDescent="0.55000000000000004">
      <c r="A315">
        <v>9.6900000000003567E-2</v>
      </c>
      <c r="B315">
        <v>0.10900000000000391</v>
      </c>
      <c r="C315">
        <v>9.910000000000363E-2</v>
      </c>
      <c r="D315">
        <v>9.6900000000003567E-2</v>
      </c>
      <c r="E315">
        <v>0.10900000000000391</v>
      </c>
      <c r="F315">
        <v>9.910000000000363E-2</v>
      </c>
      <c r="G315">
        <v>9.6900000000003567E-2</v>
      </c>
      <c r="H315">
        <v>0.11980000000000422</v>
      </c>
      <c r="I315">
        <v>0.112200000000004</v>
      </c>
      <c r="J315">
        <v>9.8200000000003604E-2</v>
      </c>
    </row>
    <row r="316" spans="1:10" x14ac:dyDescent="0.55000000000000004">
      <c r="A316">
        <v>9.1900000000003423E-2</v>
      </c>
      <c r="B316">
        <v>0.11880000000000419</v>
      </c>
      <c r="C316">
        <v>0.10650000000000384</v>
      </c>
      <c r="D316">
        <v>9.1900000000003423E-2</v>
      </c>
      <c r="E316">
        <v>0.11880000000000419</v>
      </c>
      <c r="F316">
        <v>0.10650000000000384</v>
      </c>
      <c r="G316">
        <v>9.1900000000003423E-2</v>
      </c>
      <c r="H316">
        <v>0.10890000000000391</v>
      </c>
      <c r="I316">
        <v>9.840000000000361E-2</v>
      </c>
      <c r="J316">
        <v>8.7700000000003303E-2</v>
      </c>
    </row>
    <row r="317" spans="1:10" x14ac:dyDescent="0.55000000000000004">
      <c r="A317">
        <v>7.9000000000003054E-2</v>
      </c>
      <c r="B317">
        <v>0.13760000000000297</v>
      </c>
      <c r="C317">
        <v>0.10760000000000387</v>
      </c>
      <c r="D317">
        <v>7.9000000000003054E-2</v>
      </c>
      <c r="E317">
        <v>0.13760000000000297</v>
      </c>
      <c r="F317">
        <v>0.10760000000000387</v>
      </c>
      <c r="G317">
        <v>7.9000000000003054E-2</v>
      </c>
      <c r="H317">
        <v>0.11260000000000402</v>
      </c>
      <c r="I317">
        <v>8.1200000000003117E-2</v>
      </c>
      <c r="J317">
        <v>7.9600000000003071E-2</v>
      </c>
    </row>
    <row r="318" spans="1:10" x14ac:dyDescent="0.55000000000000004">
      <c r="A318">
        <v>7.6500000000002982E-2</v>
      </c>
      <c r="B318">
        <v>0.10050000000000367</v>
      </c>
      <c r="C318">
        <v>0.10230000000000372</v>
      </c>
      <c r="D318">
        <v>7.6500000000002982E-2</v>
      </c>
      <c r="E318">
        <v>0.10050000000000367</v>
      </c>
      <c r="F318">
        <v>0.10230000000000372</v>
      </c>
      <c r="G318">
        <v>7.6500000000002982E-2</v>
      </c>
      <c r="H318">
        <v>0.12010000000000423</v>
      </c>
      <c r="I318">
        <v>8.3900000000003194E-2</v>
      </c>
      <c r="J318">
        <v>0.11840000000000418</v>
      </c>
    </row>
    <row r="319" spans="1:10" x14ac:dyDescent="0.55000000000000004">
      <c r="A319">
        <v>4.2400000000002012E-2</v>
      </c>
      <c r="B319">
        <v>0.10100000000000368</v>
      </c>
      <c r="C319">
        <v>9.3300000000003463E-2</v>
      </c>
      <c r="D319">
        <v>4.2400000000002012E-2</v>
      </c>
      <c r="E319">
        <v>0.10100000000000368</v>
      </c>
      <c r="F319">
        <v>9.3300000000003463E-2</v>
      </c>
      <c r="G319">
        <v>4.2400000000002012E-2</v>
      </c>
      <c r="H319">
        <v>0.10290000000000374</v>
      </c>
      <c r="I319">
        <v>9.1500000000003412E-2</v>
      </c>
      <c r="J319">
        <v>8.0400000000003094E-2</v>
      </c>
    </row>
    <row r="320" spans="1:10" x14ac:dyDescent="0.55000000000000004">
      <c r="A320">
        <v>8.7900000000003309E-2</v>
      </c>
      <c r="B320">
        <v>9.6100000000003544E-2</v>
      </c>
      <c r="C320">
        <v>0.10070000000000368</v>
      </c>
      <c r="D320">
        <v>8.7900000000003309E-2</v>
      </c>
      <c r="E320">
        <v>9.6100000000003544E-2</v>
      </c>
      <c r="F320">
        <v>0.10070000000000368</v>
      </c>
      <c r="G320">
        <v>8.7900000000003309E-2</v>
      </c>
      <c r="H320">
        <v>0.10420000000000378</v>
      </c>
      <c r="I320">
        <v>0.10820000000000389</v>
      </c>
      <c r="J320">
        <v>0.10560000000000382</v>
      </c>
    </row>
    <row r="321" spans="1:10" x14ac:dyDescent="0.55000000000000004">
      <c r="A321">
        <v>8.6000000000003254E-2</v>
      </c>
      <c r="B321">
        <v>9.3300000000003463E-2</v>
      </c>
      <c r="C321">
        <v>0.10120000000000369</v>
      </c>
      <c r="D321">
        <v>8.6000000000003254E-2</v>
      </c>
      <c r="E321">
        <v>9.3300000000003463E-2</v>
      </c>
      <c r="F321">
        <v>0.10120000000000369</v>
      </c>
      <c r="G321">
        <v>8.6000000000003254E-2</v>
      </c>
      <c r="H321">
        <v>0.10620000000000383</v>
      </c>
      <c r="I321">
        <v>0.10750000000000387</v>
      </c>
      <c r="J321">
        <v>0.10590000000000382</v>
      </c>
    </row>
    <row r="322" spans="1:10" x14ac:dyDescent="0.55000000000000004">
      <c r="A322">
        <v>8.2500000000003154E-2</v>
      </c>
      <c r="B322">
        <v>0.11410000000000406</v>
      </c>
      <c r="C322">
        <v>0.12220000000000429</v>
      </c>
      <c r="D322">
        <v>8.2500000000003154E-2</v>
      </c>
      <c r="E322">
        <v>0.11410000000000406</v>
      </c>
      <c r="F322">
        <v>0.12220000000000429</v>
      </c>
      <c r="G322">
        <v>8.2500000000003154E-2</v>
      </c>
      <c r="H322">
        <v>0.12710000000000413</v>
      </c>
      <c r="I322">
        <v>0.11580000000000411</v>
      </c>
      <c r="J322">
        <v>0.10000000000000366</v>
      </c>
    </row>
    <row r="323" spans="1:10" x14ac:dyDescent="0.55000000000000004">
      <c r="A323">
        <v>6.1800000000002568E-2</v>
      </c>
      <c r="B323">
        <v>0.10410000000000377</v>
      </c>
      <c r="C323">
        <v>0.1052000000000038</v>
      </c>
      <c r="D323">
        <v>6.1800000000002568E-2</v>
      </c>
      <c r="E323">
        <v>0.10410000000000377</v>
      </c>
      <c r="F323">
        <v>0.1052000000000038</v>
      </c>
      <c r="G323">
        <v>6.1800000000002568E-2</v>
      </c>
      <c r="H323">
        <v>0.12360000000000433</v>
      </c>
      <c r="I323">
        <v>0.112100000000004</v>
      </c>
      <c r="J323">
        <v>0.11520000000000409</v>
      </c>
    </row>
    <row r="324" spans="1:10" x14ac:dyDescent="0.55000000000000004">
      <c r="A324">
        <v>8.550000000000324E-2</v>
      </c>
      <c r="B324">
        <v>0.10640000000000384</v>
      </c>
      <c r="C324">
        <v>0.11150000000000398</v>
      </c>
      <c r="D324">
        <v>8.550000000000324E-2</v>
      </c>
      <c r="E324">
        <v>0.10640000000000384</v>
      </c>
      <c r="F324">
        <v>0.11150000000000398</v>
      </c>
      <c r="G324">
        <v>8.550000000000324E-2</v>
      </c>
      <c r="H324">
        <v>0.20399999999999566</v>
      </c>
      <c r="I324">
        <v>0.12270000000000431</v>
      </c>
      <c r="J324">
        <v>9.4200000000003489E-2</v>
      </c>
    </row>
    <row r="325" spans="1:10" x14ac:dyDescent="0.55000000000000004">
      <c r="A325">
        <v>7.7100000000002999E-2</v>
      </c>
      <c r="B325">
        <v>0.10580000000000382</v>
      </c>
      <c r="C325">
        <v>0.12510000000000435</v>
      </c>
      <c r="D325">
        <v>7.7100000000002999E-2</v>
      </c>
      <c r="E325">
        <v>0.10580000000000382</v>
      </c>
      <c r="F325">
        <v>0.12510000000000435</v>
      </c>
      <c r="G325">
        <v>7.7100000000002999E-2</v>
      </c>
      <c r="H325">
        <v>0.12230000000000429</v>
      </c>
      <c r="I325">
        <v>0.12120000000000426</v>
      </c>
      <c r="J325">
        <v>0.11720000000000415</v>
      </c>
    </row>
    <row r="326" spans="1:10" x14ac:dyDescent="0.55000000000000004">
      <c r="A326">
        <v>0.12010000000000423</v>
      </c>
      <c r="B326">
        <v>0.14260000000000242</v>
      </c>
      <c r="C326">
        <v>0.13310000000000347</v>
      </c>
      <c r="D326">
        <v>0.12010000000000423</v>
      </c>
      <c r="E326">
        <v>0.14260000000000242</v>
      </c>
      <c r="F326">
        <v>0.13310000000000347</v>
      </c>
      <c r="G326">
        <v>0.12010000000000423</v>
      </c>
      <c r="H326">
        <v>0.12790000000000404</v>
      </c>
      <c r="I326">
        <v>0.12400000000000434</v>
      </c>
      <c r="J326">
        <v>0.11000000000000394</v>
      </c>
    </row>
    <row r="327" spans="1:10" x14ac:dyDescent="0.55000000000000004">
      <c r="A327">
        <v>0.10240000000000372</v>
      </c>
      <c r="B327">
        <v>0.11590000000000411</v>
      </c>
      <c r="C327">
        <v>0.12430000000000435</v>
      </c>
      <c r="D327">
        <v>0.10240000000000372</v>
      </c>
      <c r="E327">
        <v>0.11590000000000411</v>
      </c>
      <c r="F327">
        <v>0.12430000000000435</v>
      </c>
      <c r="G327">
        <v>0.10240000000000372</v>
      </c>
      <c r="H327">
        <v>0.12380000000000434</v>
      </c>
      <c r="I327">
        <v>0.12850000000000397</v>
      </c>
      <c r="J327">
        <v>0.13030000000000377</v>
      </c>
    </row>
    <row r="328" spans="1:10" x14ac:dyDescent="0.55000000000000004">
      <c r="A328">
        <v>8.200000000000314E-2</v>
      </c>
      <c r="B328">
        <v>0.12900000000000392</v>
      </c>
      <c r="C328">
        <v>0.12390000000000434</v>
      </c>
      <c r="D328">
        <v>8.200000000000314E-2</v>
      </c>
      <c r="E328">
        <v>0.12900000000000392</v>
      </c>
      <c r="F328">
        <v>0.12390000000000434</v>
      </c>
      <c r="G328">
        <v>8.200000000000314E-2</v>
      </c>
      <c r="H328">
        <v>0.20639999999999539</v>
      </c>
      <c r="I328">
        <v>0.10680000000000385</v>
      </c>
      <c r="J328">
        <v>0.10480000000000379</v>
      </c>
    </row>
    <row r="329" spans="1:10" x14ac:dyDescent="0.55000000000000004">
      <c r="A329">
        <v>7.7600000000003014E-2</v>
      </c>
      <c r="B329">
        <v>9.4700000000003504E-2</v>
      </c>
      <c r="C329">
        <v>0.10610000000000383</v>
      </c>
      <c r="D329">
        <v>7.7600000000003014E-2</v>
      </c>
      <c r="E329">
        <v>9.4700000000003504E-2</v>
      </c>
      <c r="F329">
        <v>0.10610000000000383</v>
      </c>
      <c r="G329">
        <v>7.7600000000003014E-2</v>
      </c>
      <c r="H329">
        <v>0.11230000000000401</v>
      </c>
      <c r="I329">
        <v>0.12010000000000423</v>
      </c>
      <c r="J329">
        <v>8.4500000000003211E-2</v>
      </c>
    </row>
    <row r="330" spans="1:10" x14ac:dyDescent="0.55000000000000004">
      <c r="A330">
        <v>8.3700000000003189E-2</v>
      </c>
      <c r="B330">
        <v>0.10270000000000373</v>
      </c>
      <c r="C330">
        <v>9.5900000000003538E-2</v>
      </c>
      <c r="D330">
        <v>8.3700000000003189E-2</v>
      </c>
      <c r="E330">
        <v>0.10270000000000373</v>
      </c>
      <c r="F330">
        <v>9.5900000000003538E-2</v>
      </c>
      <c r="G330">
        <v>8.3700000000003189E-2</v>
      </c>
      <c r="H330">
        <v>0.12540000000000431</v>
      </c>
      <c r="I330">
        <v>0.12880000000000394</v>
      </c>
      <c r="J330">
        <v>9.7900000000003595E-2</v>
      </c>
    </row>
    <row r="331" spans="1:10" x14ac:dyDescent="0.55000000000000004">
      <c r="A331">
        <v>7.5700000000002959E-2</v>
      </c>
      <c r="B331">
        <v>0.10180000000000371</v>
      </c>
      <c r="C331">
        <v>0.10090000000000368</v>
      </c>
      <c r="D331">
        <v>7.5700000000002959E-2</v>
      </c>
      <c r="E331">
        <v>0.10180000000000371</v>
      </c>
      <c r="F331">
        <v>0.10090000000000368</v>
      </c>
      <c r="G331">
        <v>7.5700000000002959E-2</v>
      </c>
      <c r="H331">
        <v>0.12370000000000433</v>
      </c>
      <c r="I331">
        <v>0.12600000000000425</v>
      </c>
      <c r="J331">
        <v>9.8200000000003604E-2</v>
      </c>
    </row>
    <row r="332" spans="1:10" x14ac:dyDescent="0.55000000000000004">
      <c r="A332">
        <v>5.8500000000002474E-2</v>
      </c>
      <c r="B332">
        <v>0.10890000000000391</v>
      </c>
      <c r="C332">
        <v>0.10790000000000388</v>
      </c>
      <c r="D332">
        <v>5.8500000000002474E-2</v>
      </c>
      <c r="E332">
        <v>0.10890000000000391</v>
      </c>
      <c r="F332">
        <v>0.10790000000000388</v>
      </c>
      <c r="G332">
        <v>5.8500000000002474E-2</v>
      </c>
      <c r="H332">
        <v>0.11610000000000412</v>
      </c>
      <c r="I332">
        <v>0.11610000000000412</v>
      </c>
      <c r="J332">
        <v>8.6600000000003272E-2</v>
      </c>
    </row>
    <row r="333" spans="1:10" x14ac:dyDescent="0.55000000000000004">
      <c r="A333">
        <v>8.4600000000003214E-2</v>
      </c>
      <c r="B333">
        <v>0.10660000000000384</v>
      </c>
      <c r="C333">
        <v>0.10360000000000376</v>
      </c>
      <c r="D333">
        <v>8.4600000000003214E-2</v>
      </c>
      <c r="E333">
        <v>0.10660000000000384</v>
      </c>
      <c r="F333">
        <v>0.10360000000000376</v>
      </c>
      <c r="G333">
        <v>8.4600000000003214E-2</v>
      </c>
      <c r="H333">
        <v>0.2471999999999909</v>
      </c>
      <c r="I333">
        <v>0.10480000000000379</v>
      </c>
      <c r="J333">
        <v>8.2300000000003148E-2</v>
      </c>
    </row>
    <row r="334" spans="1:10" x14ac:dyDescent="0.55000000000000004">
      <c r="A334">
        <v>8.6800000000003277E-2</v>
      </c>
      <c r="B334">
        <v>0.10630000000000384</v>
      </c>
      <c r="C334">
        <v>0.10960000000000393</v>
      </c>
      <c r="D334">
        <v>8.6800000000003277E-2</v>
      </c>
      <c r="E334">
        <v>0.10630000000000384</v>
      </c>
      <c r="F334">
        <v>0.10960000000000393</v>
      </c>
      <c r="G334">
        <v>8.6800000000003277E-2</v>
      </c>
      <c r="H334">
        <v>0.11590000000000411</v>
      </c>
      <c r="I334">
        <v>9.8600000000003615E-2</v>
      </c>
      <c r="J334">
        <v>9.4800000000003506E-2</v>
      </c>
    </row>
    <row r="335" spans="1:10" x14ac:dyDescent="0.55000000000000004">
      <c r="A335">
        <v>9.4100000000003486E-2</v>
      </c>
      <c r="B335">
        <v>0.13610000000000314</v>
      </c>
      <c r="C335">
        <v>0.12980000000000383</v>
      </c>
      <c r="D335">
        <v>9.4100000000003486E-2</v>
      </c>
      <c r="E335">
        <v>0.13610000000000314</v>
      </c>
      <c r="F335">
        <v>0.12980000000000383</v>
      </c>
      <c r="G335">
        <v>9.4100000000003486E-2</v>
      </c>
      <c r="H335">
        <v>0.12190000000000428</v>
      </c>
      <c r="I335">
        <v>0.11300000000000403</v>
      </c>
      <c r="J335">
        <v>0.10080000000000368</v>
      </c>
    </row>
    <row r="336" spans="1:10" x14ac:dyDescent="0.55000000000000004">
      <c r="A336">
        <v>7.4900000000002936E-2</v>
      </c>
      <c r="B336">
        <v>0.11250000000000401</v>
      </c>
      <c r="C336">
        <v>0.112000000000004</v>
      </c>
      <c r="D336">
        <v>7.4900000000002936E-2</v>
      </c>
      <c r="E336">
        <v>0.11250000000000401</v>
      </c>
      <c r="F336">
        <v>0.112000000000004</v>
      </c>
      <c r="G336">
        <v>7.4900000000002936E-2</v>
      </c>
      <c r="H336">
        <v>0.11410000000000406</v>
      </c>
      <c r="I336">
        <v>8.41000000000032E-2</v>
      </c>
      <c r="J336">
        <v>8.1800000000003134E-2</v>
      </c>
    </row>
    <row r="337" spans="1:10" x14ac:dyDescent="0.55000000000000004">
      <c r="A337">
        <v>9.0700000000003389E-2</v>
      </c>
      <c r="B337">
        <v>0.13850000000000287</v>
      </c>
      <c r="C337">
        <v>0.11300000000000403</v>
      </c>
      <c r="D337">
        <v>9.0700000000003389E-2</v>
      </c>
      <c r="E337">
        <v>0.13850000000000287</v>
      </c>
      <c r="F337">
        <v>0.11300000000000403</v>
      </c>
      <c r="G337">
        <v>9.0700000000003389E-2</v>
      </c>
      <c r="H337">
        <v>0.12780000000000405</v>
      </c>
      <c r="I337">
        <v>0.11700000000000414</v>
      </c>
      <c r="J337">
        <v>9.9900000000003653E-2</v>
      </c>
    </row>
    <row r="338" spans="1:10" x14ac:dyDescent="0.55000000000000004">
      <c r="A338">
        <v>8.4500000000003211E-2</v>
      </c>
      <c r="B338">
        <v>0.12180000000000428</v>
      </c>
      <c r="C338">
        <v>0.12450000000000436</v>
      </c>
      <c r="D338">
        <v>8.4500000000003211E-2</v>
      </c>
      <c r="E338">
        <v>0.12180000000000428</v>
      </c>
      <c r="F338">
        <v>0.12450000000000436</v>
      </c>
      <c r="G338">
        <v>8.4500000000003211E-2</v>
      </c>
      <c r="H338">
        <v>0.12540000000000431</v>
      </c>
      <c r="I338">
        <v>0.11990000000000423</v>
      </c>
      <c r="J338">
        <v>0.12280000000000431</v>
      </c>
    </row>
    <row r="339" spans="1:10" x14ac:dyDescent="0.55000000000000004">
      <c r="A339">
        <v>9.8200000000003604E-2</v>
      </c>
      <c r="B339">
        <v>0.10240000000000372</v>
      </c>
      <c r="C339">
        <v>0.10400000000000377</v>
      </c>
      <c r="D339">
        <v>9.8200000000003604E-2</v>
      </c>
      <c r="E339">
        <v>0.10240000000000372</v>
      </c>
      <c r="F339">
        <v>0.10400000000000377</v>
      </c>
      <c r="G339">
        <v>9.8200000000003604E-2</v>
      </c>
      <c r="H339">
        <v>0.10980000000000394</v>
      </c>
      <c r="I339">
        <v>0.10980000000000394</v>
      </c>
      <c r="J339">
        <v>8.5400000000003237E-2</v>
      </c>
    </row>
    <row r="340" spans="1:10" x14ac:dyDescent="0.55000000000000004">
      <c r="A340">
        <v>7.3500000000002896E-2</v>
      </c>
      <c r="B340">
        <v>8.9200000000003346E-2</v>
      </c>
      <c r="C340">
        <v>0.10730000000000386</v>
      </c>
      <c r="D340">
        <v>7.3500000000002896E-2</v>
      </c>
      <c r="E340">
        <v>8.9200000000003346E-2</v>
      </c>
      <c r="F340">
        <v>0.10730000000000386</v>
      </c>
      <c r="G340">
        <v>7.3500000000002896E-2</v>
      </c>
      <c r="H340">
        <v>0.22889999999999291</v>
      </c>
      <c r="I340">
        <v>0.10310000000000374</v>
      </c>
      <c r="J340">
        <v>8.7300000000003292E-2</v>
      </c>
    </row>
    <row r="341" spans="1:10" x14ac:dyDescent="0.55000000000000004">
      <c r="A341">
        <v>9.2700000000003446E-2</v>
      </c>
      <c r="B341">
        <v>0.11850000000000419</v>
      </c>
      <c r="C341">
        <v>0.12270000000000431</v>
      </c>
      <c r="D341">
        <v>9.2700000000003446E-2</v>
      </c>
      <c r="E341">
        <v>0.11850000000000419</v>
      </c>
      <c r="F341">
        <v>0.12270000000000431</v>
      </c>
      <c r="G341">
        <v>9.2700000000003446E-2</v>
      </c>
      <c r="H341">
        <v>0.11300000000000403</v>
      </c>
      <c r="I341">
        <v>0.11330000000000404</v>
      </c>
      <c r="J341">
        <v>0.10250000000000373</v>
      </c>
    </row>
    <row r="342" spans="1:10" x14ac:dyDescent="0.55000000000000004">
      <c r="A342">
        <v>8.1800000000003134E-2</v>
      </c>
      <c r="B342">
        <v>0.10930000000000392</v>
      </c>
      <c r="C342">
        <v>0.10690000000000385</v>
      </c>
      <c r="D342">
        <v>8.1800000000003134E-2</v>
      </c>
      <c r="E342">
        <v>0.10930000000000392</v>
      </c>
      <c r="F342">
        <v>0.10690000000000385</v>
      </c>
      <c r="G342">
        <v>8.1800000000003134E-2</v>
      </c>
      <c r="H342">
        <v>0.12480000000000437</v>
      </c>
      <c r="I342">
        <v>0.12010000000000423</v>
      </c>
      <c r="J342">
        <v>9.4600000000003501E-2</v>
      </c>
    </row>
    <row r="343" spans="1:10" x14ac:dyDescent="0.55000000000000004">
      <c r="A343">
        <v>9.3200000000003461E-2</v>
      </c>
      <c r="B343">
        <v>0.11310000000000403</v>
      </c>
      <c r="C343">
        <v>0.11230000000000401</v>
      </c>
      <c r="D343">
        <v>9.3200000000003461E-2</v>
      </c>
      <c r="E343">
        <v>0.11310000000000403</v>
      </c>
      <c r="F343">
        <v>0.11230000000000401</v>
      </c>
      <c r="G343">
        <v>9.3200000000003461E-2</v>
      </c>
      <c r="H343">
        <v>0.12600000000000425</v>
      </c>
      <c r="I343">
        <v>0.11480000000000408</v>
      </c>
      <c r="J343">
        <v>0.10400000000000377</v>
      </c>
    </row>
    <row r="344" spans="1:10" x14ac:dyDescent="0.55000000000000004">
      <c r="A344">
        <v>7.7200000000003002E-2</v>
      </c>
      <c r="B344">
        <v>0.12070000000000425</v>
      </c>
      <c r="C344">
        <v>0.10630000000000384</v>
      </c>
      <c r="D344">
        <v>7.7200000000003002E-2</v>
      </c>
      <c r="E344">
        <v>0.12070000000000425</v>
      </c>
      <c r="F344">
        <v>0.10630000000000384</v>
      </c>
      <c r="G344">
        <v>7.7200000000003002E-2</v>
      </c>
      <c r="H344">
        <v>0.10060000000000367</v>
      </c>
      <c r="I344">
        <v>0.11450000000000407</v>
      </c>
      <c r="J344">
        <v>0.11250000000000401</v>
      </c>
    </row>
    <row r="345" spans="1:10" x14ac:dyDescent="0.55000000000000004">
      <c r="A345">
        <v>7.5700000000002959E-2</v>
      </c>
      <c r="B345">
        <v>0.11480000000000408</v>
      </c>
      <c r="C345">
        <v>0.11130000000000398</v>
      </c>
      <c r="D345">
        <v>7.5700000000002959E-2</v>
      </c>
      <c r="E345">
        <v>0.11480000000000408</v>
      </c>
      <c r="F345">
        <v>0.11130000000000398</v>
      </c>
      <c r="G345">
        <v>7.5700000000002959E-2</v>
      </c>
      <c r="H345">
        <v>0.11310000000000403</v>
      </c>
      <c r="I345">
        <v>0.11780000000000417</v>
      </c>
      <c r="J345">
        <v>0.11330000000000404</v>
      </c>
    </row>
    <row r="346" spans="1:10" x14ac:dyDescent="0.55000000000000004">
      <c r="A346">
        <v>9.0100000000003372E-2</v>
      </c>
      <c r="B346">
        <v>0.10760000000000387</v>
      </c>
      <c r="C346">
        <v>0.1052000000000038</v>
      </c>
      <c r="D346">
        <v>9.0100000000003372E-2</v>
      </c>
      <c r="E346">
        <v>0.10760000000000387</v>
      </c>
      <c r="F346">
        <v>0.1052000000000038</v>
      </c>
      <c r="G346">
        <v>9.0100000000003372E-2</v>
      </c>
      <c r="H346">
        <v>0.12670000000000417</v>
      </c>
      <c r="I346">
        <v>0.10070000000000368</v>
      </c>
      <c r="J346">
        <v>9.9300000000003635E-2</v>
      </c>
    </row>
    <row r="347" spans="1:10" x14ac:dyDescent="0.55000000000000004">
      <c r="A347">
        <v>9.2200000000003432E-2</v>
      </c>
      <c r="B347">
        <v>0.12000000000000423</v>
      </c>
      <c r="C347">
        <v>0.10610000000000383</v>
      </c>
      <c r="D347">
        <v>9.2200000000003432E-2</v>
      </c>
      <c r="E347">
        <v>0.12000000000000423</v>
      </c>
      <c r="F347">
        <v>0.10610000000000383</v>
      </c>
      <c r="G347">
        <v>9.2200000000003432E-2</v>
      </c>
      <c r="H347">
        <v>0.26229999999998926</v>
      </c>
      <c r="I347">
        <v>0.11600000000000411</v>
      </c>
      <c r="J347">
        <v>0.10410000000000377</v>
      </c>
    </row>
    <row r="348" spans="1:10" x14ac:dyDescent="0.55000000000000004">
      <c r="A348">
        <v>7.7700000000003017E-2</v>
      </c>
      <c r="B348">
        <v>0.12200000000000429</v>
      </c>
      <c r="C348">
        <v>0.10800000000000388</v>
      </c>
      <c r="D348">
        <v>7.7700000000003017E-2</v>
      </c>
      <c r="E348">
        <v>0.12200000000000429</v>
      </c>
      <c r="F348">
        <v>0.10800000000000388</v>
      </c>
      <c r="G348">
        <v>7.7700000000003017E-2</v>
      </c>
      <c r="H348">
        <v>0.12430000000000435</v>
      </c>
      <c r="I348">
        <v>0.1156000000000041</v>
      </c>
      <c r="J348">
        <v>0.11280000000000402</v>
      </c>
    </row>
    <row r="349" spans="1:10" x14ac:dyDescent="0.55000000000000004">
      <c r="A349">
        <v>9.4000000000003484E-2</v>
      </c>
      <c r="B349">
        <v>0.10400000000000377</v>
      </c>
      <c r="C349">
        <v>0.11360000000000404</v>
      </c>
      <c r="D349">
        <v>9.4000000000003484E-2</v>
      </c>
      <c r="E349">
        <v>0.10400000000000377</v>
      </c>
      <c r="F349">
        <v>0.11360000000000404</v>
      </c>
      <c r="G349">
        <v>9.4000000000003484E-2</v>
      </c>
      <c r="H349">
        <v>0.12980000000000383</v>
      </c>
      <c r="I349">
        <v>0.11680000000000414</v>
      </c>
      <c r="J349">
        <v>0.10750000000000387</v>
      </c>
    </row>
    <row r="350" spans="1:10" x14ac:dyDescent="0.55000000000000004">
      <c r="A350">
        <v>7.1700000000002845E-2</v>
      </c>
      <c r="B350">
        <v>0.10960000000000393</v>
      </c>
      <c r="C350">
        <v>0.11850000000000419</v>
      </c>
      <c r="D350">
        <v>7.1700000000002845E-2</v>
      </c>
      <c r="E350">
        <v>0.10960000000000393</v>
      </c>
      <c r="F350">
        <v>0.11850000000000419</v>
      </c>
      <c r="G350">
        <v>7.1700000000002845E-2</v>
      </c>
      <c r="H350">
        <v>0.11630000000000412</v>
      </c>
      <c r="I350">
        <v>0.10960000000000393</v>
      </c>
      <c r="J350">
        <v>9.3000000000003455E-2</v>
      </c>
    </row>
    <row r="351" spans="1:10" x14ac:dyDescent="0.55000000000000004">
      <c r="A351">
        <v>9.5800000000003535E-2</v>
      </c>
      <c r="B351">
        <v>0.13990000000000272</v>
      </c>
      <c r="C351">
        <v>0.10750000000000387</v>
      </c>
      <c r="D351">
        <v>9.5800000000003535E-2</v>
      </c>
      <c r="E351">
        <v>0.13990000000000272</v>
      </c>
      <c r="F351">
        <v>0.10750000000000387</v>
      </c>
      <c r="G351">
        <v>9.5800000000003535E-2</v>
      </c>
      <c r="H351">
        <v>0.12050000000000424</v>
      </c>
      <c r="I351">
        <v>0.12080000000000425</v>
      </c>
      <c r="J351">
        <v>0.1051000000000038</v>
      </c>
    </row>
    <row r="352" spans="1:10" x14ac:dyDescent="0.55000000000000004">
      <c r="A352">
        <v>8.1800000000003134E-2</v>
      </c>
      <c r="B352">
        <v>0.12720000000000412</v>
      </c>
      <c r="C352">
        <v>0.12080000000000425</v>
      </c>
      <c r="D352">
        <v>8.1800000000003134E-2</v>
      </c>
      <c r="E352">
        <v>0.12720000000000412</v>
      </c>
      <c r="F352">
        <v>0.12080000000000425</v>
      </c>
      <c r="G352">
        <v>8.1800000000003134E-2</v>
      </c>
      <c r="H352">
        <v>0.11710000000000415</v>
      </c>
      <c r="I352">
        <v>0.10960000000000393</v>
      </c>
      <c r="J352">
        <v>0.1155000000000041</v>
      </c>
    </row>
    <row r="353" spans="1:10" x14ac:dyDescent="0.55000000000000004">
      <c r="A353">
        <v>8.270000000000316E-2</v>
      </c>
      <c r="B353">
        <v>0.10320000000000375</v>
      </c>
      <c r="C353">
        <v>0.10960000000000393</v>
      </c>
      <c r="D353">
        <v>8.270000000000316E-2</v>
      </c>
      <c r="E353">
        <v>0.10320000000000375</v>
      </c>
      <c r="F353">
        <v>0.10960000000000393</v>
      </c>
      <c r="G353">
        <v>8.270000000000316E-2</v>
      </c>
      <c r="H353">
        <v>0.12950000000000386</v>
      </c>
      <c r="I353">
        <v>0.11800000000000417</v>
      </c>
      <c r="J353">
        <v>0.10320000000000375</v>
      </c>
    </row>
    <row r="354" spans="1:10" x14ac:dyDescent="0.55000000000000004">
      <c r="A354">
        <v>8.7100000000003286E-2</v>
      </c>
      <c r="B354">
        <v>9.5700000000003532E-2</v>
      </c>
      <c r="C354">
        <v>0.112100000000004</v>
      </c>
      <c r="D354">
        <v>8.7100000000003286E-2</v>
      </c>
      <c r="E354">
        <v>9.5700000000003532E-2</v>
      </c>
      <c r="F354">
        <v>0.112100000000004</v>
      </c>
      <c r="G354">
        <v>8.7100000000003286E-2</v>
      </c>
      <c r="H354">
        <v>0.29479999999998568</v>
      </c>
      <c r="I354">
        <v>0.11140000000000398</v>
      </c>
      <c r="J354">
        <v>9.1000000000003398E-2</v>
      </c>
    </row>
    <row r="355" spans="1:10" x14ac:dyDescent="0.55000000000000004">
      <c r="A355">
        <v>7.9100000000003057E-2</v>
      </c>
      <c r="B355">
        <v>9.6900000000003567E-2</v>
      </c>
      <c r="C355">
        <v>0.1084000000000039</v>
      </c>
      <c r="D355">
        <v>7.9100000000003057E-2</v>
      </c>
      <c r="E355">
        <v>9.6900000000003567E-2</v>
      </c>
      <c r="F355">
        <v>0.1084000000000039</v>
      </c>
      <c r="G355">
        <v>7.9100000000003057E-2</v>
      </c>
      <c r="H355">
        <v>0.11090000000000397</v>
      </c>
      <c r="I355">
        <v>8.2500000000003154E-2</v>
      </c>
      <c r="J355">
        <v>7.4900000000002936E-2</v>
      </c>
    </row>
    <row r="356" spans="1:10" x14ac:dyDescent="0.55000000000000004">
      <c r="A356">
        <v>9.0600000000003386E-2</v>
      </c>
      <c r="B356">
        <v>9.7200000000003575E-2</v>
      </c>
      <c r="C356">
        <v>0.10010000000000366</v>
      </c>
      <c r="D356">
        <v>9.0600000000003386E-2</v>
      </c>
      <c r="E356">
        <v>9.7200000000003575E-2</v>
      </c>
      <c r="F356">
        <v>0.10010000000000366</v>
      </c>
      <c r="G356">
        <v>9.0600000000003386E-2</v>
      </c>
      <c r="H356">
        <v>0.23409999999999234</v>
      </c>
      <c r="I356">
        <v>0.12100000000000426</v>
      </c>
      <c r="J356">
        <v>9.7900000000003595E-2</v>
      </c>
    </row>
    <row r="357" spans="1:10" x14ac:dyDescent="0.55000000000000004">
      <c r="A357">
        <v>6.8300000000002747E-2</v>
      </c>
      <c r="B357">
        <v>0.11920000000000421</v>
      </c>
      <c r="C357">
        <v>0.11810000000000417</v>
      </c>
      <c r="D357">
        <v>6.8300000000002747E-2</v>
      </c>
      <c r="E357">
        <v>0.11920000000000421</v>
      </c>
      <c r="F357">
        <v>0.11810000000000417</v>
      </c>
      <c r="G357">
        <v>6.8300000000002747E-2</v>
      </c>
      <c r="H357">
        <v>0.12360000000000433</v>
      </c>
      <c r="I357">
        <v>0.10730000000000386</v>
      </c>
      <c r="J357">
        <v>0.10210000000000372</v>
      </c>
    </row>
    <row r="358" spans="1:10" x14ac:dyDescent="0.55000000000000004">
      <c r="A358">
        <v>6.9200000000002773E-2</v>
      </c>
      <c r="B358">
        <v>0.13510000000000325</v>
      </c>
      <c r="C358">
        <v>8.5300000000003234E-2</v>
      </c>
      <c r="D358">
        <v>6.9200000000002773E-2</v>
      </c>
      <c r="E358">
        <v>0.13510000000000325</v>
      </c>
      <c r="F358">
        <v>8.5300000000003234E-2</v>
      </c>
      <c r="G358">
        <v>6.9200000000002773E-2</v>
      </c>
      <c r="H358">
        <v>0.11570000000000411</v>
      </c>
      <c r="I358">
        <v>0.10880000000000391</v>
      </c>
      <c r="J358">
        <v>8.9200000000003346E-2</v>
      </c>
    </row>
    <row r="359" spans="1:10" x14ac:dyDescent="0.55000000000000004">
      <c r="A359">
        <v>6.6600000000002699E-2</v>
      </c>
      <c r="B359">
        <v>0.11630000000000412</v>
      </c>
      <c r="C359">
        <v>0.10360000000000376</v>
      </c>
      <c r="D359">
        <v>6.6600000000002699E-2</v>
      </c>
      <c r="E359">
        <v>0.11630000000000412</v>
      </c>
      <c r="F359">
        <v>0.10360000000000376</v>
      </c>
      <c r="G359">
        <v>6.6600000000002699E-2</v>
      </c>
      <c r="H359">
        <v>0.11370000000000405</v>
      </c>
      <c r="I359">
        <v>9.6100000000003544E-2</v>
      </c>
      <c r="J359">
        <v>9.0000000000003369E-2</v>
      </c>
    </row>
    <row r="360" spans="1:10" x14ac:dyDescent="0.55000000000000004">
      <c r="A360">
        <v>7.8800000000003048E-2</v>
      </c>
      <c r="B360">
        <v>0.12440000000000435</v>
      </c>
      <c r="C360">
        <v>0.10020000000000366</v>
      </c>
      <c r="D360">
        <v>7.8800000000003048E-2</v>
      </c>
      <c r="E360">
        <v>0.12440000000000435</v>
      </c>
      <c r="F360">
        <v>0.10020000000000366</v>
      </c>
      <c r="G360">
        <v>7.8800000000003048E-2</v>
      </c>
      <c r="H360">
        <v>0.10780000000000388</v>
      </c>
      <c r="I360">
        <v>0.10230000000000372</v>
      </c>
      <c r="J360">
        <v>0.10430000000000378</v>
      </c>
    </row>
    <row r="361" spans="1:10" x14ac:dyDescent="0.55000000000000004">
      <c r="A361">
        <v>7.5200000000002945E-2</v>
      </c>
      <c r="B361">
        <v>0.11070000000000396</v>
      </c>
      <c r="C361">
        <v>0.11000000000000394</v>
      </c>
      <c r="D361">
        <v>7.5200000000002945E-2</v>
      </c>
      <c r="E361">
        <v>0.11070000000000396</v>
      </c>
      <c r="F361">
        <v>0.11000000000000394</v>
      </c>
      <c r="G361">
        <v>7.5200000000002945E-2</v>
      </c>
      <c r="H361">
        <v>0.12060000000000425</v>
      </c>
      <c r="I361">
        <v>0.11090000000000397</v>
      </c>
      <c r="J361">
        <v>9.6900000000003567E-2</v>
      </c>
    </row>
    <row r="362" spans="1:10" x14ac:dyDescent="0.55000000000000004">
      <c r="A362">
        <v>7.050000000000281E-2</v>
      </c>
      <c r="B362">
        <v>8.690000000000328E-2</v>
      </c>
      <c r="C362">
        <v>9.7600000000003587E-2</v>
      </c>
      <c r="D362">
        <v>7.050000000000281E-2</v>
      </c>
      <c r="E362">
        <v>8.690000000000328E-2</v>
      </c>
      <c r="F362">
        <v>9.7600000000003587E-2</v>
      </c>
      <c r="G362">
        <v>7.050000000000281E-2</v>
      </c>
      <c r="H362">
        <v>0.23699999999999202</v>
      </c>
      <c r="I362">
        <v>0.10990000000000394</v>
      </c>
      <c r="J362">
        <v>0.10910000000000392</v>
      </c>
    </row>
    <row r="363" spans="1:10" x14ac:dyDescent="0.55000000000000004">
      <c r="A363">
        <v>0.11020000000000395</v>
      </c>
      <c r="B363">
        <v>0.13330000000000344</v>
      </c>
      <c r="C363">
        <v>0.1346000000000033</v>
      </c>
      <c r="D363">
        <v>0.11020000000000395</v>
      </c>
      <c r="E363">
        <v>0.13330000000000344</v>
      </c>
      <c r="F363">
        <v>0.1346000000000033</v>
      </c>
      <c r="G363">
        <v>0.11020000000000395</v>
      </c>
      <c r="H363">
        <v>0.11170000000000399</v>
      </c>
      <c r="I363">
        <v>0.10180000000000371</v>
      </c>
      <c r="J363">
        <v>0.11640000000000413</v>
      </c>
    </row>
    <row r="364" spans="1:10" x14ac:dyDescent="0.55000000000000004">
      <c r="A364">
        <v>0.11710000000000415</v>
      </c>
      <c r="B364">
        <v>0.12700000000000414</v>
      </c>
      <c r="C364">
        <v>0.13700000000000304</v>
      </c>
      <c r="D364">
        <v>0.11710000000000415</v>
      </c>
      <c r="E364">
        <v>0.12700000000000414</v>
      </c>
      <c r="F364">
        <v>0.13700000000000304</v>
      </c>
      <c r="G364">
        <v>0.11710000000000415</v>
      </c>
      <c r="H364">
        <v>0.12770000000000406</v>
      </c>
      <c r="I364">
        <v>0.12760000000000407</v>
      </c>
      <c r="J364">
        <v>0.11630000000000412</v>
      </c>
    </row>
    <row r="365" spans="1:10" x14ac:dyDescent="0.55000000000000004">
      <c r="A365">
        <v>7.6200000000002974E-2</v>
      </c>
      <c r="B365">
        <v>0.10460000000000379</v>
      </c>
      <c r="C365">
        <v>0.10650000000000384</v>
      </c>
      <c r="D365">
        <v>7.6200000000002974E-2</v>
      </c>
      <c r="E365">
        <v>0.10460000000000379</v>
      </c>
      <c r="F365">
        <v>0.10650000000000384</v>
      </c>
      <c r="G365">
        <v>7.6200000000002974E-2</v>
      </c>
      <c r="H365">
        <v>0.12090000000000425</v>
      </c>
      <c r="I365">
        <v>0.12700000000000414</v>
      </c>
      <c r="J365">
        <v>9.8100000000003601E-2</v>
      </c>
    </row>
    <row r="366" spans="1:10" x14ac:dyDescent="0.55000000000000004">
      <c r="A366">
        <v>7.2900000000002879E-2</v>
      </c>
      <c r="B366">
        <v>9.7600000000003587E-2</v>
      </c>
      <c r="C366">
        <v>0.10570000000000382</v>
      </c>
      <c r="D366">
        <v>7.2900000000002879E-2</v>
      </c>
      <c r="E366">
        <v>9.7600000000003587E-2</v>
      </c>
      <c r="F366">
        <v>0.10570000000000382</v>
      </c>
      <c r="G366">
        <v>7.2900000000002879E-2</v>
      </c>
      <c r="H366">
        <v>0.11080000000000396</v>
      </c>
      <c r="I366">
        <v>0.11780000000000417</v>
      </c>
      <c r="J366">
        <v>0.11700000000000414</v>
      </c>
    </row>
    <row r="367" spans="1:10" x14ac:dyDescent="0.55000000000000004">
      <c r="A367">
        <v>9.2200000000003432E-2</v>
      </c>
      <c r="B367">
        <v>0.10350000000000376</v>
      </c>
      <c r="C367">
        <v>0.12120000000000426</v>
      </c>
      <c r="D367">
        <v>9.2200000000003432E-2</v>
      </c>
      <c r="E367">
        <v>0.10350000000000376</v>
      </c>
      <c r="F367">
        <v>0.12120000000000426</v>
      </c>
      <c r="G367">
        <v>9.2200000000003432E-2</v>
      </c>
      <c r="H367">
        <v>0.10610000000000383</v>
      </c>
      <c r="I367">
        <v>8.6600000000003272E-2</v>
      </c>
      <c r="J367">
        <v>8.2100000000003143E-2</v>
      </c>
    </row>
    <row r="368" spans="1:10" x14ac:dyDescent="0.55000000000000004">
      <c r="A368">
        <v>6.9900000000002793E-2</v>
      </c>
      <c r="B368">
        <v>0.10960000000000393</v>
      </c>
      <c r="C368">
        <v>0.10390000000000377</v>
      </c>
      <c r="D368">
        <v>6.9900000000002793E-2</v>
      </c>
      <c r="E368">
        <v>0.10960000000000393</v>
      </c>
      <c r="F368">
        <v>0.10390000000000377</v>
      </c>
      <c r="G368">
        <v>6.9900000000002793E-2</v>
      </c>
      <c r="H368">
        <v>0.24009999999999168</v>
      </c>
      <c r="I368">
        <v>9.9200000000003632E-2</v>
      </c>
      <c r="J368">
        <v>0.10540000000000381</v>
      </c>
    </row>
    <row r="369" spans="1:10" x14ac:dyDescent="0.55000000000000004">
      <c r="A369">
        <v>6.7200000000002716E-2</v>
      </c>
      <c r="B369">
        <v>9.3100000000003458E-2</v>
      </c>
      <c r="C369">
        <v>9.6200000000003547E-2</v>
      </c>
      <c r="D369">
        <v>6.7200000000002716E-2</v>
      </c>
      <c r="E369">
        <v>9.3100000000003458E-2</v>
      </c>
      <c r="F369">
        <v>9.6200000000003547E-2</v>
      </c>
      <c r="G369">
        <v>6.7200000000002716E-2</v>
      </c>
      <c r="H369">
        <v>0.13560000000000319</v>
      </c>
      <c r="I369">
        <v>0.12510000000000435</v>
      </c>
      <c r="J369">
        <v>8.8800000000003335E-2</v>
      </c>
    </row>
    <row r="370" spans="1:10" x14ac:dyDescent="0.55000000000000004">
      <c r="A370">
        <v>7.3500000000002896E-2</v>
      </c>
      <c r="B370">
        <v>0.13650000000000309</v>
      </c>
      <c r="C370">
        <v>0.12660000000000418</v>
      </c>
      <c r="D370">
        <v>7.3500000000002896E-2</v>
      </c>
      <c r="E370">
        <v>0.13650000000000309</v>
      </c>
      <c r="F370">
        <v>0.12660000000000418</v>
      </c>
      <c r="G370">
        <v>7.3500000000002896E-2</v>
      </c>
      <c r="H370">
        <v>0.12720000000000412</v>
      </c>
      <c r="I370">
        <v>9.4200000000003489E-2</v>
      </c>
      <c r="J370">
        <v>9.040000000000338E-2</v>
      </c>
    </row>
    <row r="371" spans="1:10" x14ac:dyDescent="0.55000000000000004">
      <c r="A371">
        <v>0.11110000000000397</v>
      </c>
      <c r="B371">
        <v>0.10600000000000383</v>
      </c>
      <c r="C371">
        <v>0.11460000000000407</v>
      </c>
      <c r="D371">
        <v>0.11110000000000397</v>
      </c>
      <c r="E371">
        <v>0.10600000000000383</v>
      </c>
      <c r="F371">
        <v>0.11460000000000407</v>
      </c>
      <c r="G371">
        <v>0.11110000000000397</v>
      </c>
      <c r="H371">
        <v>0.12200000000000429</v>
      </c>
      <c r="I371">
        <v>0.13670000000000307</v>
      </c>
      <c r="J371">
        <v>0.10410000000000377</v>
      </c>
    </row>
    <row r="372" spans="1:10" x14ac:dyDescent="0.55000000000000004">
      <c r="A372">
        <v>8.8400000000003323E-2</v>
      </c>
      <c r="B372">
        <v>0.10270000000000373</v>
      </c>
      <c r="C372">
        <v>0.10580000000000382</v>
      </c>
      <c r="D372">
        <v>8.8400000000003323E-2</v>
      </c>
      <c r="E372">
        <v>0.10270000000000373</v>
      </c>
      <c r="F372">
        <v>0.10580000000000382</v>
      </c>
      <c r="G372">
        <v>8.8400000000003323E-2</v>
      </c>
      <c r="H372">
        <v>0.12510000000000435</v>
      </c>
      <c r="I372">
        <v>0.11240000000000401</v>
      </c>
      <c r="J372">
        <v>0.1084000000000039</v>
      </c>
    </row>
    <row r="373" spans="1:10" x14ac:dyDescent="0.55000000000000004">
      <c r="A373">
        <v>6.9700000000002788E-2</v>
      </c>
      <c r="B373">
        <v>0.14310000000000236</v>
      </c>
      <c r="C373">
        <v>0.10210000000000372</v>
      </c>
      <c r="D373">
        <v>6.9700000000002788E-2</v>
      </c>
      <c r="E373">
        <v>0.14310000000000236</v>
      </c>
      <c r="F373">
        <v>0.10210000000000372</v>
      </c>
      <c r="G373">
        <v>6.9700000000002788E-2</v>
      </c>
      <c r="H373">
        <v>0.11970000000000422</v>
      </c>
      <c r="I373">
        <v>0.1017000000000037</v>
      </c>
      <c r="J373">
        <v>9.1500000000003412E-2</v>
      </c>
    </row>
    <row r="374" spans="1:10" x14ac:dyDescent="0.55000000000000004">
      <c r="A374">
        <v>8.1700000000003131E-2</v>
      </c>
      <c r="B374">
        <v>0.12500000000000436</v>
      </c>
      <c r="C374">
        <v>0.11020000000000395</v>
      </c>
      <c r="D374">
        <v>8.1700000000003131E-2</v>
      </c>
      <c r="E374">
        <v>0.12500000000000436</v>
      </c>
      <c r="F374">
        <v>0.11020000000000395</v>
      </c>
      <c r="G374">
        <v>8.1700000000003131E-2</v>
      </c>
      <c r="H374">
        <v>0.11080000000000396</v>
      </c>
      <c r="I374">
        <v>9.5600000000003529E-2</v>
      </c>
      <c r="J374">
        <v>8.8100000000003315E-2</v>
      </c>
    </row>
    <row r="375" spans="1:10" x14ac:dyDescent="0.55000000000000004">
      <c r="A375">
        <v>9.0000000000003369E-2</v>
      </c>
      <c r="B375">
        <v>0.1190000000000042</v>
      </c>
      <c r="C375">
        <v>0.1225000000000043</v>
      </c>
      <c r="D375">
        <v>9.0000000000003369E-2</v>
      </c>
      <c r="E375">
        <v>0.1190000000000042</v>
      </c>
      <c r="F375">
        <v>0.1225000000000043</v>
      </c>
      <c r="G375">
        <v>9.0000000000003369E-2</v>
      </c>
      <c r="H375">
        <v>0.12390000000000434</v>
      </c>
      <c r="I375">
        <v>0.11090000000000397</v>
      </c>
      <c r="J375">
        <v>0.10940000000000392</v>
      </c>
    </row>
    <row r="376" spans="1:10" x14ac:dyDescent="0.55000000000000004">
      <c r="A376">
        <v>9.8300000000003607E-2</v>
      </c>
      <c r="B376">
        <v>0.10660000000000384</v>
      </c>
      <c r="C376">
        <v>0.10770000000000388</v>
      </c>
      <c r="D376">
        <v>9.8300000000003607E-2</v>
      </c>
      <c r="E376">
        <v>0.10660000000000384</v>
      </c>
      <c r="F376">
        <v>0.10770000000000388</v>
      </c>
      <c r="G376">
        <v>9.8300000000003607E-2</v>
      </c>
      <c r="H376">
        <v>0.12810000000000402</v>
      </c>
      <c r="I376">
        <v>9.7400000000003581E-2</v>
      </c>
      <c r="J376">
        <v>9.0100000000003372E-2</v>
      </c>
    </row>
    <row r="377" spans="1:10" x14ac:dyDescent="0.55000000000000004">
      <c r="A377">
        <v>8.3600000000003186E-2</v>
      </c>
      <c r="B377">
        <v>0.10390000000000377</v>
      </c>
      <c r="C377">
        <v>0.10230000000000372</v>
      </c>
      <c r="D377">
        <v>8.3600000000003186E-2</v>
      </c>
      <c r="E377">
        <v>0.10390000000000377</v>
      </c>
      <c r="F377">
        <v>0.10230000000000372</v>
      </c>
      <c r="G377">
        <v>8.3600000000003186E-2</v>
      </c>
      <c r="H377">
        <v>5.0300000000002239E-2</v>
      </c>
      <c r="I377">
        <v>9.9000000000003627E-2</v>
      </c>
      <c r="J377">
        <v>8.9500000000003355E-2</v>
      </c>
    </row>
    <row r="378" spans="1:10" x14ac:dyDescent="0.55000000000000004">
      <c r="A378">
        <v>0.10250000000000373</v>
      </c>
      <c r="B378">
        <v>0.14770000000000186</v>
      </c>
      <c r="C378">
        <v>0.11660000000000413</v>
      </c>
      <c r="D378">
        <v>0.10250000000000373</v>
      </c>
      <c r="E378">
        <v>0.14770000000000186</v>
      </c>
      <c r="F378">
        <v>0.11660000000000413</v>
      </c>
      <c r="G378">
        <v>0.10250000000000373</v>
      </c>
      <c r="H378">
        <v>0.13790000000000294</v>
      </c>
      <c r="I378">
        <v>0.11980000000000422</v>
      </c>
      <c r="J378">
        <v>0.10310000000000374</v>
      </c>
    </row>
    <row r="379" spans="1:10" x14ac:dyDescent="0.55000000000000004">
      <c r="A379">
        <v>8.6300000000003263E-2</v>
      </c>
      <c r="B379">
        <v>0.10460000000000379</v>
      </c>
      <c r="C379">
        <v>0.10680000000000385</v>
      </c>
      <c r="D379">
        <v>8.6300000000003263E-2</v>
      </c>
      <c r="E379">
        <v>0.10460000000000379</v>
      </c>
      <c r="F379">
        <v>0.10680000000000385</v>
      </c>
      <c r="G379">
        <v>8.6300000000003263E-2</v>
      </c>
      <c r="H379">
        <v>0.12650000000000419</v>
      </c>
      <c r="I379">
        <v>0.12130000000000427</v>
      </c>
      <c r="J379">
        <v>0.11280000000000402</v>
      </c>
    </row>
    <row r="380" spans="1:10" x14ac:dyDescent="0.55000000000000004">
      <c r="A380">
        <v>8.4500000000003211E-2</v>
      </c>
      <c r="B380">
        <v>9.1300000000003406E-2</v>
      </c>
      <c r="C380">
        <v>9.11000000000034E-2</v>
      </c>
      <c r="D380">
        <v>8.4500000000003211E-2</v>
      </c>
      <c r="E380">
        <v>9.1300000000003406E-2</v>
      </c>
      <c r="F380">
        <v>9.11000000000034E-2</v>
      </c>
      <c r="G380">
        <v>8.4500000000003211E-2</v>
      </c>
      <c r="H380">
        <v>0.10330000000000375</v>
      </c>
      <c r="I380">
        <v>9.1900000000003423E-2</v>
      </c>
      <c r="J380">
        <v>8.8800000000003335E-2</v>
      </c>
    </row>
    <row r="381" spans="1:10" x14ac:dyDescent="0.55000000000000004">
      <c r="A381">
        <v>8.0900000000003108E-2</v>
      </c>
      <c r="B381">
        <v>9.7300000000003578E-2</v>
      </c>
      <c r="C381">
        <v>0.10940000000000392</v>
      </c>
      <c r="D381">
        <v>8.0900000000003108E-2</v>
      </c>
      <c r="E381">
        <v>9.7300000000003578E-2</v>
      </c>
      <c r="F381">
        <v>0.10940000000000392</v>
      </c>
      <c r="G381">
        <v>8.0900000000003108E-2</v>
      </c>
      <c r="H381">
        <v>0.12770000000000406</v>
      </c>
      <c r="I381">
        <v>0.12000000000000423</v>
      </c>
      <c r="J381">
        <v>9.8500000000003612E-2</v>
      </c>
    </row>
    <row r="382" spans="1:10" x14ac:dyDescent="0.55000000000000004">
      <c r="A382">
        <v>7.2500000000002868E-2</v>
      </c>
      <c r="B382">
        <v>9.4800000000003506E-2</v>
      </c>
      <c r="C382">
        <v>8.6800000000003277E-2</v>
      </c>
      <c r="D382">
        <v>7.2500000000002868E-2</v>
      </c>
      <c r="E382">
        <v>9.4800000000003506E-2</v>
      </c>
      <c r="F382">
        <v>8.6800000000003277E-2</v>
      </c>
      <c r="G382">
        <v>7.2500000000002868E-2</v>
      </c>
      <c r="H382">
        <v>0.10530000000000381</v>
      </c>
      <c r="I382">
        <v>0.11380000000000405</v>
      </c>
      <c r="J382">
        <v>8.6400000000003266E-2</v>
      </c>
    </row>
    <row r="383" spans="1:10" x14ac:dyDescent="0.55000000000000004">
      <c r="A383">
        <v>9.1800000000003421E-2</v>
      </c>
      <c r="B383">
        <v>0.10610000000000383</v>
      </c>
      <c r="C383">
        <v>0.11160000000000399</v>
      </c>
      <c r="D383">
        <v>9.1800000000003421E-2</v>
      </c>
      <c r="E383">
        <v>0.10610000000000383</v>
      </c>
      <c r="F383">
        <v>0.11160000000000399</v>
      </c>
      <c r="G383">
        <v>9.1800000000003421E-2</v>
      </c>
      <c r="H383">
        <v>0.11110000000000397</v>
      </c>
      <c r="I383">
        <v>0.11300000000000403</v>
      </c>
      <c r="J383">
        <v>8.8700000000003332E-2</v>
      </c>
    </row>
    <row r="384" spans="1:10" x14ac:dyDescent="0.55000000000000004">
      <c r="A384">
        <v>8.1000000000003111E-2</v>
      </c>
      <c r="B384">
        <v>0.1189000000000042</v>
      </c>
      <c r="C384">
        <v>9.8700000000003618E-2</v>
      </c>
      <c r="D384">
        <v>8.1000000000003111E-2</v>
      </c>
      <c r="E384">
        <v>0.1189000000000042</v>
      </c>
      <c r="F384">
        <v>9.8700000000003618E-2</v>
      </c>
      <c r="G384">
        <v>8.1000000000003111E-2</v>
      </c>
      <c r="H384">
        <v>0.11070000000000396</v>
      </c>
      <c r="I384">
        <v>0.10040000000000367</v>
      </c>
      <c r="J384">
        <v>9.1200000000003403E-2</v>
      </c>
    </row>
    <row r="385" spans="1:10" x14ac:dyDescent="0.55000000000000004">
      <c r="A385">
        <v>7.0600000000002813E-2</v>
      </c>
      <c r="B385">
        <v>0.12190000000000428</v>
      </c>
      <c r="C385">
        <v>0.1015000000000037</v>
      </c>
      <c r="D385">
        <v>7.0600000000002813E-2</v>
      </c>
      <c r="E385">
        <v>0.12190000000000428</v>
      </c>
      <c r="F385">
        <v>0.1015000000000037</v>
      </c>
      <c r="G385">
        <v>7.0600000000002813E-2</v>
      </c>
      <c r="H385">
        <v>0.112100000000004</v>
      </c>
      <c r="I385">
        <v>9.5500000000003527E-2</v>
      </c>
      <c r="J385">
        <v>8.8000000000003312E-2</v>
      </c>
    </row>
    <row r="386" spans="1:10" x14ac:dyDescent="0.55000000000000004">
      <c r="A386">
        <v>8.2100000000003143E-2</v>
      </c>
      <c r="B386">
        <v>9.0700000000003389E-2</v>
      </c>
      <c r="C386">
        <v>9.3000000000003455E-2</v>
      </c>
      <c r="D386">
        <v>8.2100000000003143E-2</v>
      </c>
      <c r="E386">
        <v>9.0700000000003389E-2</v>
      </c>
      <c r="F386">
        <v>9.3000000000003455E-2</v>
      </c>
      <c r="G386">
        <v>8.2100000000003143E-2</v>
      </c>
      <c r="H386">
        <v>0.11040000000000395</v>
      </c>
      <c r="I386">
        <v>8.8600000000003329E-2</v>
      </c>
      <c r="J386">
        <v>8.5000000000003226E-2</v>
      </c>
    </row>
    <row r="387" spans="1:10" x14ac:dyDescent="0.55000000000000004">
      <c r="A387">
        <v>8.1200000000003117E-2</v>
      </c>
      <c r="B387">
        <v>0.13320000000000345</v>
      </c>
      <c r="C387">
        <v>0.11050000000000396</v>
      </c>
      <c r="D387">
        <v>8.1200000000003117E-2</v>
      </c>
      <c r="E387">
        <v>0.13320000000000345</v>
      </c>
      <c r="F387">
        <v>0.11050000000000396</v>
      </c>
      <c r="G387">
        <v>8.1200000000003117E-2</v>
      </c>
      <c r="H387">
        <v>0.12610000000000424</v>
      </c>
      <c r="I387">
        <v>0.10810000000000389</v>
      </c>
      <c r="J387">
        <v>0.10540000000000381</v>
      </c>
    </row>
    <row r="388" spans="1:10" x14ac:dyDescent="0.55000000000000004">
      <c r="A388">
        <v>7.8200000000003031E-2</v>
      </c>
      <c r="B388">
        <v>0.12040000000000424</v>
      </c>
      <c r="C388">
        <v>0.10590000000000382</v>
      </c>
      <c r="D388">
        <v>7.8200000000003031E-2</v>
      </c>
      <c r="E388">
        <v>0.12040000000000424</v>
      </c>
      <c r="F388">
        <v>0.10590000000000382</v>
      </c>
      <c r="G388">
        <v>7.8200000000003031E-2</v>
      </c>
      <c r="H388">
        <v>0.12690000000000415</v>
      </c>
      <c r="I388">
        <v>0.12210000000000429</v>
      </c>
      <c r="J388">
        <v>8.690000000000328E-2</v>
      </c>
    </row>
    <row r="389" spans="1:10" x14ac:dyDescent="0.55000000000000004">
      <c r="A389">
        <v>7.9700000000003074E-2</v>
      </c>
      <c r="B389">
        <v>0.13300000000000348</v>
      </c>
      <c r="C389">
        <v>0.10090000000000368</v>
      </c>
      <c r="D389">
        <v>7.9700000000003074E-2</v>
      </c>
      <c r="E389">
        <v>0.13300000000000348</v>
      </c>
      <c r="F389">
        <v>0.10090000000000368</v>
      </c>
      <c r="G389">
        <v>7.9700000000003074E-2</v>
      </c>
      <c r="H389">
        <v>0.11590000000000411</v>
      </c>
      <c r="I389">
        <v>9.3200000000003461E-2</v>
      </c>
      <c r="J389">
        <v>9.8500000000003612E-2</v>
      </c>
    </row>
    <row r="390" spans="1:10" x14ac:dyDescent="0.55000000000000004">
      <c r="A390">
        <v>7.9800000000003077E-2</v>
      </c>
      <c r="B390">
        <v>0.13120000000000367</v>
      </c>
      <c r="C390">
        <v>9.910000000000363E-2</v>
      </c>
      <c r="D390">
        <v>7.9800000000003077E-2</v>
      </c>
      <c r="E390">
        <v>0.13120000000000367</v>
      </c>
      <c r="F390">
        <v>9.910000000000363E-2</v>
      </c>
      <c r="G390">
        <v>7.9800000000003077E-2</v>
      </c>
      <c r="H390">
        <v>0.11480000000000408</v>
      </c>
      <c r="I390">
        <v>9.3100000000003458E-2</v>
      </c>
      <c r="J390">
        <v>8.7100000000003286E-2</v>
      </c>
    </row>
    <row r="391" spans="1:10" x14ac:dyDescent="0.55000000000000004">
      <c r="A391">
        <v>0.10120000000000369</v>
      </c>
      <c r="B391">
        <v>9.7400000000003581E-2</v>
      </c>
      <c r="C391">
        <v>8.8500000000003326E-2</v>
      </c>
      <c r="D391">
        <v>0.10120000000000369</v>
      </c>
      <c r="E391">
        <v>9.7400000000003581E-2</v>
      </c>
      <c r="F391">
        <v>8.8500000000003326E-2</v>
      </c>
      <c r="G391">
        <v>0.10120000000000369</v>
      </c>
      <c r="H391">
        <v>0.12180000000000428</v>
      </c>
      <c r="I391">
        <v>0.12390000000000434</v>
      </c>
      <c r="J391">
        <v>9.1500000000003412E-2</v>
      </c>
    </row>
    <row r="392" spans="1:10" x14ac:dyDescent="0.55000000000000004">
      <c r="A392">
        <v>7.5400000000002951E-2</v>
      </c>
      <c r="B392">
        <v>9.8700000000003618E-2</v>
      </c>
      <c r="C392">
        <v>9.6500000000003555E-2</v>
      </c>
      <c r="D392">
        <v>7.5400000000002951E-2</v>
      </c>
      <c r="E392">
        <v>9.8700000000003618E-2</v>
      </c>
      <c r="F392">
        <v>9.6500000000003555E-2</v>
      </c>
      <c r="G392">
        <v>7.5400000000002951E-2</v>
      </c>
      <c r="H392">
        <v>0.11130000000000398</v>
      </c>
      <c r="I392">
        <v>0.10400000000000377</v>
      </c>
      <c r="J392">
        <v>8.4300000000003206E-2</v>
      </c>
    </row>
    <row r="393" spans="1:10" x14ac:dyDescent="0.55000000000000004">
      <c r="A393">
        <v>8.970000000000336E-2</v>
      </c>
      <c r="B393">
        <v>0.10080000000000368</v>
      </c>
      <c r="C393">
        <v>0.10220000000000372</v>
      </c>
      <c r="D393">
        <v>8.970000000000336E-2</v>
      </c>
      <c r="E393">
        <v>0.10080000000000368</v>
      </c>
      <c r="F393">
        <v>0.10220000000000372</v>
      </c>
      <c r="G393">
        <v>8.970000000000336E-2</v>
      </c>
      <c r="H393">
        <v>0.11860000000000419</v>
      </c>
      <c r="I393">
        <v>0.12010000000000423</v>
      </c>
      <c r="J393">
        <v>8.7700000000003303E-2</v>
      </c>
    </row>
    <row r="394" spans="1:10" x14ac:dyDescent="0.55000000000000004">
      <c r="A394">
        <v>0.10630000000000384</v>
      </c>
      <c r="B394">
        <v>0.10060000000000367</v>
      </c>
      <c r="C394">
        <v>9.3000000000003455E-2</v>
      </c>
      <c r="D394">
        <v>0.10630000000000384</v>
      </c>
      <c r="E394">
        <v>0.10060000000000367</v>
      </c>
      <c r="F394">
        <v>9.3000000000003455E-2</v>
      </c>
      <c r="G394">
        <v>0.10630000000000384</v>
      </c>
      <c r="H394">
        <v>0.12320000000000432</v>
      </c>
      <c r="I394">
        <v>0.12800000000000403</v>
      </c>
      <c r="J394">
        <v>9.910000000000363E-2</v>
      </c>
    </row>
    <row r="395" spans="1:10" x14ac:dyDescent="0.55000000000000004">
      <c r="A395">
        <v>7.6500000000002982E-2</v>
      </c>
      <c r="B395">
        <v>0.13170000000000362</v>
      </c>
      <c r="C395">
        <v>0.13130000000000366</v>
      </c>
      <c r="D395">
        <v>7.6500000000002982E-2</v>
      </c>
      <c r="E395">
        <v>0.13170000000000362</v>
      </c>
      <c r="F395">
        <v>0.13130000000000366</v>
      </c>
      <c r="G395">
        <v>7.6500000000002982E-2</v>
      </c>
      <c r="H395">
        <v>0.12960000000000385</v>
      </c>
      <c r="I395">
        <v>0.13090000000000371</v>
      </c>
      <c r="J395">
        <v>9.8300000000003607E-2</v>
      </c>
    </row>
    <row r="396" spans="1:10" x14ac:dyDescent="0.55000000000000004">
      <c r="A396">
        <v>8.970000000000336E-2</v>
      </c>
      <c r="B396">
        <v>0.13210000000000358</v>
      </c>
      <c r="C396">
        <v>0.12390000000000434</v>
      </c>
      <c r="D396">
        <v>8.970000000000336E-2</v>
      </c>
      <c r="E396">
        <v>0.13210000000000358</v>
      </c>
      <c r="F396">
        <v>0.12390000000000434</v>
      </c>
      <c r="G396">
        <v>8.970000000000336E-2</v>
      </c>
      <c r="H396">
        <v>0.10940000000000392</v>
      </c>
      <c r="I396">
        <v>8.5000000000003226E-2</v>
      </c>
      <c r="J396">
        <v>8.270000000000316E-2</v>
      </c>
    </row>
    <row r="397" spans="1:10" x14ac:dyDescent="0.55000000000000004">
      <c r="A397">
        <v>7.1100000000002828E-2</v>
      </c>
      <c r="B397">
        <v>0.12140000000000427</v>
      </c>
      <c r="C397">
        <v>0.10590000000000382</v>
      </c>
      <c r="D397">
        <v>7.1100000000002828E-2</v>
      </c>
      <c r="E397">
        <v>0.12140000000000427</v>
      </c>
      <c r="F397">
        <v>0.10590000000000382</v>
      </c>
      <c r="G397">
        <v>7.1100000000002828E-2</v>
      </c>
      <c r="H397">
        <v>0.11710000000000415</v>
      </c>
      <c r="I397">
        <v>0.10460000000000379</v>
      </c>
      <c r="J397">
        <v>8.9800000000003363E-2</v>
      </c>
    </row>
    <row r="398" spans="1:10" x14ac:dyDescent="0.55000000000000004">
      <c r="A398">
        <v>7.9100000000003057E-2</v>
      </c>
      <c r="B398">
        <v>0.10000000000000366</v>
      </c>
      <c r="C398">
        <v>9.9600000000003644E-2</v>
      </c>
      <c r="D398">
        <v>7.9100000000003057E-2</v>
      </c>
      <c r="E398">
        <v>0.10000000000000366</v>
      </c>
      <c r="F398">
        <v>9.9600000000003644E-2</v>
      </c>
      <c r="G398">
        <v>7.9100000000003057E-2</v>
      </c>
      <c r="H398">
        <v>0.10780000000000388</v>
      </c>
      <c r="I398">
        <v>9.2400000000003438E-2</v>
      </c>
      <c r="J398">
        <v>8.550000000000324E-2</v>
      </c>
    </row>
    <row r="399" spans="1:10" x14ac:dyDescent="0.55000000000000004">
      <c r="A399">
        <v>8.9300000000003349E-2</v>
      </c>
      <c r="B399">
        <v>0.13300000000000348</v>
      </c>
      <c r="C399">
        <v>0.10020000000000366</v>
      </c>
      <c r="D399">
        <v>8.9300000000003349E-2</v>
      </c>
      <c r="E399">
        <v>0.13300000000000348</v>
      </c>
      <c r="F399">
        <v>0.10020000000000366</v>
      </c>
      <c r="G399">
        <v>8.9300000000003349E-2</v>
      </c>
      <c r="H399">
        <v>0.12200000000000429</v>
      </c>
      <c r="I399">
        <v>0.10890000000000391</v>
      </c>
      <c r="J399">
        <v>0.10190000000000371</v>
      </c>
    </row>
    <row r="400" spans="1:10" x14ac:dyDescent="0.55000000000000004">
      <c r="A400">
        <v>0.11240000000000401</v>
      </c>
      <c r="B400">
        <v>0.13290000000000349</v>
      </c>
      <c r="C400">
        <v>0.13420000000000334</v>
      </c>
      <c r="D400">
        <v>0.11240000000000401</v>
      </c>
      <c r="E400">
        <v>0.13290000000000349</v>
      </c>
      <c r="F400">
        <v>0.13420000000000334</v>
      </c>
      <c r="G400">
        <v>0.11240000000000401</v>
      </c>
      <c r="H400">
        <v>0.14000000000000271</v>
      </c>
      <c r="I400">
        <v>0.12680000000000416</v>
      </c>
      <c r="J400">
        <v>0.1050000000000038</v>
      </c>
    </row>
    <row r="401" spans="1:10" x14ac:dyDescent="0.55000000000000004">
      <c r="A401">
        <v>0.10020000000000366</v>
      </c>
      <c r="B401">
        <v>0.10750000000000387</v>
      </c>
      <c r="C401">
        <v>0.12230000000000429</v>
      </c>
      <c r="D401">
        <v>0.10020000000000366</v>
      </c>
      <c r="E401">
        <v>0.10750000000000387</v>
      </c>
      <c r="F401">
        <v>0.12230000000000429</v>
      </c>
      <c r="G401">
        <v>0.10020000000000366</v>
      </c>
      <c r="H401">
        <v>0.14220000000000246</v>
      </c>
      <c r="I401">
        <v>0.14060000000000264</v>
      </c>
      <c r="J401">
        <v>0.10380000000000376</v>
      </c>
    </row>
    <row r="402" spans="1:10" x14ac:dyDescent="0.55000000000000004">
      <c r="A402">
        <v>7.0200000000002802E-2</v>
      </c>
      <c r="B402">
        <v>0.10630000000000384</v>
      </c>
      <c r="C402">
        <v>0.12790000000000404</v>
      </c>
      <c r="D402">
        <v>7.0200000000002802E-2</v>
      </c>
      <c r="E402">
        <v>0.10630000000000384</v>
      </c>
      <c r="F402">
        <v>0.12790000000000404</v>
      </c>
      <c r="G402">
        <v>7.0200000000002802E-2</v>
      </c>
      <c r="H402">
        <v>0.12090000000000425</v>
      </c>
      <c r="I402">
        <v>0.13180000000000361</v>
      </c>
      <c r="J402">
        <v>9.9200000000003632E-2</v>
      </c>
    </row>
    <row r="403" spans="1:10" x14ac:dyDescent="0.55000000000000004">
      <c r="A403">
        <v>8.0900000000003108E-2</v>
      </c>
      <c r="B403">
        <v>0.12370000000000433</v>
      </c>
      <c r="C403">
        <v>0.11570000000000411</v>
      </c>
      <c r="D403">
        <v>8.0900000000003108E-2</v>
      </c>
      <c r="E403">
        <v>0.12370000000000433</v>
      </c>
      <c r="F403">
        <v>0.11570000000000411</v>
      </c>
      <c r="G403">
        <v>8.0900000000003108E-2</v>
      </c>
      <c r="H403">
        <v>0.11680000000000414</v>
      </c>
      <c r="I403">
        <v>0.10890000000000391</v>
      </c>
      <c r="J403">
        <v>0.1050000000000038</v>
      </c>
    </row>
    <row r="404" spans="1:10" x14ac:dyDescent="0.55000000000000004">
      <c r="A404">
        <v>8.4300000000003206E-2</v>
      </c>
      <c r="B404">
        <v>0.10410000000000377</v>
      </c>
      <c r="C404">
        <v>0.11620000000000412</v>
      </c>
      <c r="D404">
        <v>8.4300000000003206E-2</v>
      </c>
      <c r="E404">
        <v>0.10410000000000377</v>
      </c>
      <c r="F404">
        <v>0.11620000000000412</v>
      </c>
      <c r="G404">
        <v>8.4300000000003206E-2</v>
      </c>
      <c r="H404">
        <v>0.12510000000000435</v>
      </c>
      <c r="I404">
        <v>0.10800000000000388</v>
      </c>
      <c r="J404">
        <v>9.4700000000003504E-2</v>
      </c>
    </row>
    <row r="405" spans="1:10" x14ac:dyDescent="0.55000000000000004">
      <c r="A405">
        <v>0.10930000000000392</v>
      </c>
      <c r="B405">
        <v>9.910000000000363E-2</v>
      </c>
      <c r="C405">
        <v>9.0900000000003395E-2</v>
      </c>
      <c r="D405">
        <v>0.10930000000000392</v>
      </c>
      <c r="E405">
        <v>9.910000000000363E-2</v>
      </c>
      <c r="F405">
        <v>9.0900000000003395E-2</v>
      </c>
      <c r="G405">
        <v>0.10930000000000392</v>
      </c>
      <c r="H405">
        <v>0.11430000000000407</v>
      </c>
      <c r="I405">
        <v>0.12380000000000434</v>
      </c>
      <c r="J405">
        <v>9.9400000000003638E-2</v>
      </c>
    </row>
    <row r="406" spans="1:10" x14ac:dyDescent="0.55000000000000004">
      <c r="A406">
        <v>7.1400000000002836E-2</v>
      </c>
      <c r="B406">
        <v>0.10440000000000378</v>
      </c>
      <c r="C406">
        <v>0.10470000000000379</v>
      </c>
      <c r="D406">
        <v>7.1400000000002836E-2</v>
      </c>
      <c r="E406">
        <v>0.10440000000000378</v>
      </c>
      <c r="F406">
        <v>0.10470000000000379</v>
      </c>
      <c r="G406">
        <v>7.1400000000002836E-2</v>
      </c>
      <c r="H406">
        <v>0.11920000000000421</v>
      </c>
      <c r="I406">
        <v>9.840000000000361E-2</v>
      </c>
      <c r="J406">
        <v>9.4300000000003492E-2</v>
      </c>
    </row>
    <row r="407" spans="1:10" x14ac:dyDescent="0.55000000000000004">
      <c r="A407">
        <v>7.3800000000002905E-2</v>
      </c>
      <c r="B407">
        <v>0.12880000000000394</v>
      </c>
      <c r="C407">
        <v>0.11020000000000395</v>
      </c>
      <c r="D407">
        <v>7.3800000000002905E-2</v>
      </c>
      <c r="E407">
        <v>0.12880000000000394</v>
      </c>
      <c r="F407">
        <v>0.11020000000000395</v>
      </c>
      <c r="G407">
        <v>7.3800000000002905E-2</v>
      </c>
      <c r="H407">
        <v>0.1364000000000031</v>
      </c>
      <c r="I407">
        <v>0.12090000000000425</v>
      </c>
      <c r="J407">
        <v>9.0900000000003395E-2</v>
      </c>
    </row>
    <row r="408" spans="1:10" x14ac:dyDescent="0.55000000000000004">
      <c r="A408">
        <v>0.10100000000000368</v>
      </c>
      <c r="B408">
        <v>0.11140000000000398</v>
      </c>
      <c r="C408">
        <v>0.12310000000000432</v>
      </c>
      <c r="D408">
        <v>0.10100000000000368</v>
      </c>
      <c r="E408">
        <v>0.11140000000000398</v>
      </c>
      <c r="F408">
        <v>0.12310000000000432</v>
      </c>
      <c r="G408">
        <v>0.10100000000000368</v>
      </c>
      <c r="H408">
        <v>0.13580000000000317</v>
      </c>
      <c r="I408">
        <v>0.13130000000000366</v>
      </c>
      <c r="J408">
        <v>0.10900000000000391</v>
      </c>
    </row>
    <row r="409" spans="1:10" x14ac:dyDescent="0.55000000000000004">
      <c r="A409">
        <v>7.2400000000002865E-2</v>
      </c>
      <c r="B409">
        <v>0.14070000000000263</v>
      </c>
      <c r="C409">
        <v>0.13890000000000283</v>
      </c>
      <c r="D409">
        <v>7.2400000000002865E-2</v>
      </c>
      <c r="E409">
        <v>0.14070000000000263</v>
      </c>
      <c r="F409">
        <v>0.13890000000000283</v>
      </c>
      <c r="G409">
        <v>7.2400000000002865E-2</v>
      </c>
      <c r="H409">
        <v>0.13390000000000338</v>
      </c>
      <c r="I409">
        <v>9.7000000000003569E-2</v>
      </c>
      <c r="J409">
        <v>0.11470000000000408</v>
      </c>
    </row>
    <row r="410" spans="1:10" x14ac:dyDescent="0.55000000000000004">
      <c r="A410">
        <v>8.6300000000003263E-2</v>
      </c>
      <c r="B410">
        <v>0.11010000000000394</v>
      </c>
      <c r="C410">
        <v>0.12230000000000429</v>
      </c>
      <c r="D410">
        <v>8.6300000000003263E-2</v>
      </c>
      <c r="E410">
        <v>0.11010000000000394</v>
      </c>
      <c r="F410">
        <v>0.12230000000000429</v>
      </c>
      <c r="G410">
        <v>8.6300000000003263E-2</v>
      </c>
      <c r="H410">
        <v>0.11730000000000415</v>
      </c>
      <c r="I410">
        <v>0.1224000000000043</v>
      </c>
      <c r="J410">
        <v>0.10290000000000374</v>
      </c>
    </row>
    <row r="411" spans="1:10" x14ac:dyDescent="0.55000000000000004">
      <c r="A411">
        <v>6.6100000000002684E-2</v>
      </c>
      <c r="B411">
        <v>9.7800000000003592E-2</v>
      </c>
      <c r="C411">
        <v>0.11990000000000423</v>
      </c>
      <c r="D411">
        <v>6.6100000000002684E-2</v>
      </c>
      <c r="E411">
        <v>9.7800000000003592E-2</v>
      </c>
      <c r="F411">
        <v>0.11990000000000423</v>
      </c>
      <c r="G411">
        <v>6.6100000000002684E-2</v>
      </c>
      <c r="H411">
        <v>0.12540000000000431</v>
      </c>
      <c r="I411">
        <v>0.1191000000000042</v>
      </c>
      <c r="J411">
        <v>0.10290000000000374</v>
      </c>
    </row>
    <row r="412" spans="1:10" x14ac:dyDescent="0.55000000000000004">
      <c r="A412">
        <v>9.8800000000003621E-2</v>
      </c>
      <c r="B412">
        <v>0.11620000000000412</v>
      </c>
      <c r="C412">
        <v>0.11930000000000421</v>
      </c>
      <c r="D412">
        <v>9.8800000000003621E-2</v>
      </c>
      <c r="E412">
        <v>0.11620000000000412</v>
      </c>
      <c r="F412">
        <v>0.11930000000000421</v>
      </c>
      <c r="G412">
        <v>9.8800000000003621E-2</v>
      </c>
      <c r="H412">
        <v>0.13070000000000373</v>
      </c>
      <c r="I412">
        <v>0.11850000000000419</v>
      </c>
      <c r="J412">
        <v>0.10550000000000381</v>
      </c>
    </row>
    <row r="413" spans="1:10" x14ac:dyDescent="0.55000000000000004">
      <c r="A413">
        <v>7.8400000000003037E-2</v>
      </c>
      <c r="B413">
        <v>0.10290000000000374</v>
      </c>
      <c r="C413">
        <v>0.11960000000000422</v>
      </c>
      <c r="D413">
        <v>7.8400000000003037E-2</v>
      </c>
      <c r="E413">
        <v>0.10290000000000374</v>
      </c>
      <c r="F413">
        <v>0.11960000000000422</v>
      </c>
      <c r="G413">
        <v>7.8400000000003037E-2</v>
      </c>
      <c r="H413">
        <v>0.12840000000000398</v>
      </c>
      <c r="I413">
        <v>0.10280000000000374</v>
      </c>
      <c r="J413">
        <v>0.10640000000000384</v>
      </c>
    </row>
    <row r="414" spans="1:10" x14ac:dyDescent="0.55000000000000004">
      <c r="A414">
        <v>6.980000000000279E-2</v>
      </c>
      <c r="B414">
        <v>0.12660000000000418</v>
      </c>
      <c r="C414">
        <v>0.12580000000000427</v>
      </c>
      <c r="D414">
        <v>6.980000000000279E-2</v>
      </c>
      <c r="E414">
        <v>0.12660000000000418</v>
      </c>
      <c r="F414">
        <v>0.12580000000000427</v>
      </c>
      <c r="G414">
        <v>6.980000000000279E-2</v>
      </c>
      <c r="H414">
        <v>0.12300000000000431</v>
      </c>
      <c r="I414">
        <v>0.10080000000000368</v>
      </c>
      <c r="J414">
        <v>9.4000000000003484E-2</v>
      </c>
    </row>
    <row r="415" spans="1:10" x14ac:dyDescent="0.55000000000000004">
      <c r="A415">
        <v>6.350000000000261E-2</v>
      </c>
      <c r="B415">
        <v>0.13530000000000322</v>
      </c>
      <c r="C415">
        <v>0.11130000000000398</v>
      </c>
      <c r="D415">
        <v>6.350000000000261E-2</v>
      </c>
      <c r="E415">
        <v>0.13530000000000322</v>
      </c>
      <c r="F415">
        <v>0.11130000000000398</v>
      </c>
      <c r="G415">
        <v>6.350000000000261E-2</v>
      </c>
      <c r="H415">
        <v>0.12120000000000426</v>
      </c>
      <c r="I415">
        <v>0.12980000000000383</v>
      </c>
      <c r="J415">
        <v>9.6900000000003567E-2</v>
      </c>
    </row>
    <row r="416" spans="1:10" x14ac:dyDescent="0.55000000000000004">
      <c r="A416">
        <v>7.120000000000283E-2</v>
      </c>
      <c r="B416">
        <v>0.1017000000000037</v>
      </c>
      <c r="C416">
        <v>0.12190000000000428</v>
      </c>
      <c r="D416">
        <v>7.120000000000283E-2</v>
      </c>
      <c r="E416">
        <v>0.1017000000000037</v>
      </c>
      <c r="F416">
        <v>0.12190000000000428</v>
      </c>
      <c r="G416">
        <v>7.120000000000283E-2</v>
      </c>
      <c r="H416">
        <v>0.1346000000000033</v>
      </c>
      <c r="I416">
        <v>0.13740000000000299</v>
      </c>
      <c r="J416">
        <v>0.10340000000000375</v>
      </c>
    </row>
    <row r="417" spans="1:10" x14ac:dyDescent="0.55000000000000004">
      <c r="A417">
        <v>7.1300000000002833E-2</v>
      </c>
      <c r="B417">
        <v>0.12820000000000401</v>
      </c>
      <c r="C417">
        <v>0.10580000000000382</v>
      </c>
      <c r="D417">
        <v>7.1300000000002833E-2</v>
      </c>
      <c r="E417">
        <v>0.12820000000000401</v>
      </c>
      <c r="F417">
        <v>0.10580000000000382</v>
      </c>
      <c r="G417">
        <v>7.1300000000002833E-2</v>
      </c>
      <c r="H417">
        <v>0.12200000000000429</v>
      </c>
      <c r="I417">
        <v>0.1225000000000043</v>
      </c>
      <c r="J417">
        <v>9.4200000000003489E-2</v>
      </c>
    </row>
    <row r="418" spans="1:10" x14ac:dyDescent="0.55000000000000004">
      <c r="A418">
        <v>7.0300000000002805E-2</v>
      </c>
      <c r="B418">
        <v>0.11990000000000423</v>
      </c>
      <c r="C418">
        <v>0.1016000000000037</v>
      </c>
      <c r="D418">
        <v>7.0300000000002805E-2</v>
      </c>
      <c r="E418">
        <v>0.11990000000000423</v>
      </c>
      <c r="F418">
        <v>0.1016000000000037</v>
      </c>
      <c r="G418">
        <v>7.0300000000002805E-2</v>
      </c>
      <c r="H418">
        <v>0.23649999999999208</v>
      </c>
      <c r="I418">
        <v>7.8900000000003051E-2</v>
      </c>
      <c r="J418">
        <v>7.7100000000002999E-2</v>
      </c>
    </row>
    <row r="419" spans="1:10" x14ac:dyDescent="0.55000000000000004">
      <c r="A419">
        <v>6.9200000000002773E-2</v>
      </c>
      <c r="B419">
        <v>0.12430000000000435</v>
      </c>
      <c r="C419">
        <v>0.11630000000000412</v>
      </c>
      <c r="D419">
        <v>6.9200000000002773E-2</v>
      </c>
      <c r="E419">
        <v>0.12430000000000435</v>
      </c>
      <c r="F419">
        <v>0.11630000000000412</v>
      </c>
      <c r="G419">
        <v>6.9200000000002773E-2</v>
      </c>
      <c r="H419">
        <v>0.30229999999998486</v>
      </c>
      <c r="I419">
        <v>0.11820000000000418</v>
      </c>
      <c r="J419">
        <v>9.2100000000003429E-2</v>
      </c>
    </row>
    <row r="420" spans="1:10" x14ac:dyDescent="0.55000000000000004">
      <c r="A420">
        <v>6.8900000000002765E-2</v>
      </c>
      <c r="B420">
        <v>0.12000000000000423</v>
      </c>
      <c r="C420">
        <v>0.11130000000000398</v>
      </c>
      <c r="D420">
        <v>6.8900000000002765E-2</v>
      </c>
      <c r="E420">
        <v>0.12000000000000423</v>
      </c>
      <c r="F420">
        <v>0.11130000000000398</v>
      </c>
      <c r="G420">
        <v>6.8900000000002765E-2</v>
      </c>
      <c r="H420">
        <v>0.11710000000000415</v>
      </c>
      <c r="I420">
        <v>9.980000000000365E-2</v>
      </c>
      <c r="J420">
        <v>7.6800000000002991E-2</v>
      </c>
    </row>
    <row r="421" spans="1:10" x14ac:dyDescent="0.55000000000000004">
      <c r="A421">
        <v>6.4300000000002633E-2</v>
      </c>
      <c r="B421">
        <v>0.1226000000000043</v>
      </c>
      <c r="C421">
        <v>9.840000000000361E-2</v>
      </c>
      <c r="D421">
        <v>6.4300000000002633E-2</v>
      </c>
      <c r="E421">
        <v>0.1226000000000043</v>
      </c>
      <c r="F421">
        <v>9.840000000000361E-2</v>
      </c>
      <c r="G421">
        <v>6.4300000000002633E-2</v>
      </c>
      <c r="H421">
        <v>0.23729999999999199</v>
      </c>
      <c r="I421">
        <v>9.2300000000003435E-2</v>
      </c>
      <c r="J421">
        <v>8.8900000000003337E-2</v>
      </c>
    </row>
    <row r="422" spans="1:10" x14ac:dyDescent="0.55000000000000004">
      <c r="A422">
        <v>9.6500000000003555E-2</v>
      </c>
      <c r="B422">
        <v>0.10100000000000368</v>
      </c>
      <c r="C422">
        <v>0.11530000000000409</v>
      </c>
      <c r="D422">
        <v>9.6500000000003555E-2</v>
      </c>
      <c r="E422">
        <v>0.10100000000000368</v>
      </c>
      <c r="F422">
        <v>0.11530000000000409</v>
      </c>
      <c r="G422">
        <v>9.6500000000003555E-2</v>
      </c>
      <c r="H422">
        <v>0.12410000000000435</v>
      </c>
      <c r="I422">
        <v>0.11670000000000413</v>
      </c>
      <c r="J422">
        <v>9.840000000000361E-2</v>
      </c>
    </row>
    <row r="423" spans="1:10" x14ac:dyDescent="0.55000000000000004">
      <c r="A423">
        <v>9.7000000000003569E-2</v>
      </c>
      <c r="B423">
        <v>0.4762999999999657</v>
      </c>
      <c r="C423">
        <v>0.11410000000000406</v>
      </c>
      <c r="D423">
        <v>9.7000000000003569E-2</v>
      </c>
      <c r="E423">
        <v>0.4762999999999657</v>
      </c>
      <c r="F423">
        <v>0.11410000000000406</v>
      </c>
      <c r="G423">
        <v>9.7000000000003569E-2</v>
      </c>
      <c r="H423">
        <v>0.1255000000000043</v>
      </c>
      <c r="I423">
        <v>0.12110000000000426</v>
      </c>
      <c r="J423">
        <v>0.11480000000000408</v>
      </c>
    </row>
    <row r="424" spans="1:10" x14ac:dyDescent="0.55000000000000004">
      <c r="A424">
        <v>7.0300000000002805E-2</v>
      </c>
      <c r="B424">
        <v>0.1224000000000043</v>
      </c>
      <c r="C424">
        <v>0.11070000000000396</v>
      </c>
      <c r="D424">
        <v>7.0300000000002805E-2</v>
      </c>
      <c r="E424">
        <v>0.1224000000000043</v>
      </c>
      <c r="F424">
        <v>0.11070000000000396</v>
      </c>
      <c r="G424">
        <v>7.0300000000002805E-2</v>
      </c>
      <c r="H424">
        <v>0.12010000000000423</v>
      </c>
      <c r="I424">
        <v>0.11180000000000399</v>
      </c>
      <c r="J424">
        <v>8.3100000000003171E-2</v>
      </c>
    </row>
    <row r="425" spans="1:10" x14ac:dyDescent="0.55000000000000004">
      <c r="A425">
        <v>8.3600000000003186E-2</v>
      </c>
      <c r="B425">
        <v>0.11160000000000399</v>
      </c>
      <c r="C425">
        <v>9.8900000000003624E-2</v>
      </c>
      <c r="D425">
        <v>8.3600000000003186E-2</v>
      </c>
      <c r="E425">
        <v>0.11160000000000399</v>
      </c>
      <c r="F425">
        <v>9.8900000000003624E-2</v>
      </c>
      <c r="G425">
        <v>8.3600000000003186E-2</v>
      </c>
      <c r="H425">
        <v>0.11520000000000409</v>
      </c>
      <c r="I425">
        <v>9.5300000000003521E-2</v>
      </c>
      <c r="J425">
        <v>8.1000000000003111E-2</v>
      </c>
    </row>
    <row r="426" spans="1:10" x14ac:dyDescent="0.55000000000000004">
      <c r="A426">
        <v>7.1300000000002833E-2</v>
      </c>
      <c r="B426">
        <v>0.10210000000000372</v>
      </c>
      <c r="C426">
        <v>0.10300000000000374</v>
      </c>
      <c r="D426">
        <v>7.1300000000002833E-2</v>
      </c>
      <c r="E426">
        <v>0.10210000000000372</v>
      </c>
      <c r="F426">
        <v>0.10300000000000374</v>
      </c>
      <c r="G426">
        <v>7.1300000000002833E-2</v>
      </c>
      <c r="H426">
        <v>0.11160000000000399</v>
      </c>
      <c r="I426">
        <v>9.7000000000003569E-2</v>
      </c>
      <c r="J426">
        <v>9.5800000000003535E-2</v>
      </c>
    </row>
    <row r="427" spans="1:10" x14ac:dyDescent="0.55000000000000004">
      <c r="A427">
        <v>0.10180000000000371</v>
      </c>
      <c r="B427">
        <v>0.12960000000000385</v>
      </c>
      <c r="C427">
        <v>0.12530000000000432</v>
      </c>
      <c r="D427">
        <v>0.10180000000000371</v>
      </c>
      <c r="E427">
        <v>0.12960000000000385</v>
      </c>
      <c r="F427">
        <v>0.12530000000000432</v>
      </c>
      <c r="G427">
        <v>0.10180000000000371</v>
      </c>
      <c r="H427">
        <v>0.13490000000000327</v>
      </c>
      <c r="I427">
        <v>0.14090000000000261</v>
      </c>
      <c r="J427">
        <v>0.11090000000000397</v>
      </c>
    </row>
    <row r="428" spans="1:10" x14ac:dyDescent="0.55000000000000004">
      <c r="A428">
        <v>6.980000000000279E-2</v>
      </c>
      <c r="B428">
        <v>0.11410000000000406</v>
      </c>
      <c r="C428">
        <v>0.10300000000000374</v>
      </c>
      <c r="D428">
        <v>6.980000000000279E-2</v>
      </c>
      <c r="E428">
        <v>0.11410000000000406</v>
      </c>
      <c r="F428">
        <v>0.10300000000000374</v>
      </c>
      <c r="G428">
        <v>6.980000000000279E-2</v>
      </c>
      <c r="H428">
        <v>0.26139999999998936</v>
      </c>
      <c r="I428">
        <v>8.76000000000033E-2</v>
      </c>
      <c r="J428">
        <v>8.9900000000003366E-2</v>
      </c>
    </row>
    <row r="429" spans="1:10" x14ac:dyDescent="0.55000000000000004">
      <c r="A429">
        <v>7.2800000000002876E-2</v>
      </c>
      <c r="B429">
        <v>0.11120000000000398</v>
      </c>
      <c r="C429">
        <v>0.10660000000000384</v>
      </c>
      <c r="D429">
        <v>7.2800000000002876E-2</v>
      </c>
      <c r="E429">
        <v>0.11120000000000398</v>
      </c>
      <c r="F429">
        <v>0.10660000000000384</v>
      </c>
      <c r="G429">
        <v>7.2800000000002876E-2</v>
      </c>
      <c r="H429">
        <v>0.11740000000000415</v>
      </c>
      <c r="I429">
        <v>8.8600000000003329E-2</v>
      </c>
      <c r="J429">
        <v>9.0200000000003375E-2</v>
      </c>
    </row>
    <row r="430" spans="1:10" x14ac:dyDescent="0.55000000000000004">
      <c r="A430">
        <v>7.6900000000002994E-2</v>
      </c>
      <c r="B430">
        <v>8.3500000000003183E-2</v>
      </c>
      <c r="C430">
        <v>0.11350000000000404</v>
      </c>
      <c r="D430">
        <v>7.6900000000002994E-2</v>
      </c>
      <c r="E430">
        <v>8.3500000000003183E-2</v>
      </c>
      <c r="F430">
        <v>0.11350000000000404</v>
      </c>
      <c r="G430">
        <v>7.6900000000002994E-2</v>
      </c>
      <c r="H430">
        <v>0.12280000000000431</v>
      </c>
      <c r="I430">
        <v>0.1154000000000041</v>
      </c>
      <c r="J430">
        <v>0.10200000000000371</v>
      </c>
    </row>
    <row r="431" spans="1:10" x14ac:dyDescent="0.55000000000000004">
      <c r="A431">
        <v>7.050000000000281E-2</v>
      </c>
      <c r="B431">
        <v>9.6700000000003561E-2</v>
      </c>
      <c r="C431">
        <v>0.10820000000000389</v>
      </c>
      <c r="D431">
        <v>7.050000000000281E-2</v>
      </c>
      <c r="E431">
        <v>9.6700000000003561E-2</v>
      </c>
      <c r="F431">
        <v>0.10820000000000389</v>
      </c>
      <c r="G431">
        <v>7.050000000000281E-2</v>
      </c>
      <c r="H431">
        <v>0.10570000000000382</v>
      </c>
      <c r="I431">
        <v>0.11450000000000407</v>
      </c>
      <c r="J431">
        <v>9.5200000000003518E-2</v>
      </c>
    </row>
    <row r="432" spans="1:10" x14ac:dyDescent="0.55000000000000004">
      <c r="A432">
        <v>8.4400000000003209E-2</v>
      </c>
      <c r="B432">
        <v>9.9000000000003627E-2</v>
      </c>
      <c r="C432">
        <v>9.5900000000003538E-2</v>
      </c>
      <c r="D432">
        <v>8.4400000000003209E-2</v>
      </c>
      <c r="E432">
        <v>9.9000000000003627E-2</v>
      </c>
      <c r="F432">
        <v>9.5900000000003538E-2</v>
      </c>
      <c r="G432">
        <v>8.4400000000003209E-2</v>
      </c>
      <c r="H432">
        <v>0.12000000000000423</v>
      </c>
      <c r="I432">
        <v>8.7500000000003297E-2</v>
      </c>
      <c r="J432">
        <v>9.0800000000003392E-2</v>
      </c>
    </row>
    <row r="433" spans="1:10" x14ac:dyDescent="0.55000000000000004">
      <c r="A433">
        <v>7.9700000000003074E-2</v>
      </c>
      <c r="B433">
        <v>0.10050000000000367</v>
      </c>
      <c r="C433">
        <v>0.1014000000000037</v>
      </c>
      <c r="D433">
        <v>7.9700000000003074E-2</v>
      </c>
      <c r="E433">
        <v>0.10050000000000367</v>
      </c>
      <c r="F433">
        <v>0.1014000000000037</v>
      </c>
      <c r="G433">
        <v>7.9700000000003074E-2</v>
      </c>
      <c r="H433">
        <v>0.12470000000000436</v>
      </c>
      <c r="I433">
        <v>0.12800000000000403</v>
      </c>
      <c r="J433">
        <v>0.10070000000000368</v>
      </c>
    </row>
    <row r="434" spans="1:10" x14ac:dyDescent="0.55000000000000004">
      <c r="A434">
        <v>7.990000000000308E-2</v>
      </c>
      <c r="B434">
        <v>9.1400000000003409E-2</v>
      </c>
      <c r="C434">
        <v>0.112000000000004</v>
      </c>
      <c r="D434">
        <v>7.990000000000308E-2</v>
      </c>
      <c r="E434">
        <v>9.1400000000003409E-2</v>
      </c>
      <c r="F434">
        <v>0.112000000000004</v>
      </c>
      <c r="G434">
        <v>7.990000000000308E-2</v>
      </c>
      <c r="H434">
        <v>0.12010000000000423</v>
      </c>
      <c r="I434">
        <v>8.6300000000003263E-2</v>
      </c>
      <c r="J434">
        <v>7.780000000000302E-2</v>
      </c>
    </row>
    <row r="435" spans="1:10" x14ac:dyDescent="0.55000000000000004">
      <c r="A435">
        <v>9.840000000000361E-2</v>
      </c>
      <c r="B435">
        <v>0.12820000000000401</v>
      </c>
      <c r="C435">
        <v>0.12020000000000423</v>
      </c>
      <c r="D435">
        <v>9.840000000000361E-2</v>
      </c>
      <c r="E435">
        <v>0.12820000000000401</v>
      </c>
      <c r="F435">
        <v>0.12020000000000423</v>
      </c>
      <c r="G435">
        <v>9.840000000000361E-2</v>
      </c>
      <c r="H435">
        <v>0.12710000000000413</v>
      </c>
      <c r="I435">
        <v>9.5300000000003521E-2</v>
      </c>
      <c r="J435">
        <v>9.4700000000003504E-2</v>
      </c>
    </row>
    <row r="436" spans="1:10" x14ac:dyDescent="0.55000000000000004">
      <c r="A436">
        <v>8.9200000000003346E-2</v>
      </c>
      <c r="B436">
        <v>9.2900000000003452E-2</v>
      </c>
      <c r="C436">
        <v>9.6000000000003541E-2</v>
      </c>
      <c r="D436">
        <v>8.9200000000003346E-2</v>
      </c>
      <c r="E436">
        <v>9.2900000000003452E-2</v>
      </c>
      <c r="F436">
        <v>9.6000000000003541E-2</v>
      </c>
      <c r="G436">
        <v>8.9200000000003346E-2</v>
      </c>
      <c r="H436">
        <v>0.10770000000000388</v>
      </c>
      <c r="I436">
        <v>0.11090000000000397</v>
      </c>
      <c r="J436">
        <v>8.0300000000003091E-2</v>
      </c>
    </row>
    <row r="437" spans="1:10" x14ac:dyDescent="0.55000000000000004">
      <c r="A437">
        <v>6.6800000000002704E-2</v>
      </c>
      <c r="B437">
        <v>9.7100000000003572E-2</v>
      </c>
      <c r="C437">
        <v>0.10260000000000373</v>
      </c>
      <c r="D437">
        <v>6.6800000000002704E-2</v>
      </c>
      <c r="E437">
        <v>9.7100000000003572E-2</v>
      </c>
      <c r="F437">
        <v>0.10260000000000373</v>
      </c>
      <c r="G437">
        <v>6.6800000000002704E-2</v>
      </c>
      <c r="H437">
        <v>0.11070000000000396</v>
      </c>
      <c r="I437">
        <v>0.11250000000000401</v>
      </c>
      <c r="J437">
        <v>9.4400000000003495E-2</v>
      </c>
    </row>
    <row r="438" spans="1:10" x14ac:dyDescent="0.55000000000000004">
      <c r="A438">
        <v>7.5500000000002954E-2</v>
      </c>
      <c r="B438">
        <v>0.10460000000000379</v>
      </c>
      <c r="C438">
        <v>0.11400000000000406</v>
      </c>
      <c r="D438">
        <v>7.5500000000002954E-2</v>
      </c>
      <c r="E438">
        <v>0.10460000000000379</v>
      </c>
      <c r="F438">
        <v>0.11400000000000406</v>
      </c>
      <c r="G438">
        <v>7.5500000000002954E-2</v>
      </c>
      <c r="H438">
        <v>0.12160000000000427</v>
      </c>
      <c r="I438">
        <v>9.2700000000003446E-2</v>
      </c>
      <c r="J438">
        <v>9.9200000000003632E-2</v>
      </c>
    </row>
    <row r="439" spans="1:10" x14ac:dyDescent="0.55000000000000004">
      <c r="A439">
        <v>8.2800000000003163E-2</v>
      </c>
      <c r="B439">
        <v>0.10090000000000368</v>
      </c>
      <c r="C439">
        <v>0.10600000000000383</v>
      </c>
      <c r="D439">
        <v>8.2800000000003163E-2</v>
      </c>
      <c r="E439">
        <v>0.10090000000000368</v>
      </c>
      <c r="F439">
        <v>0.10600000000000383</v>
      </c>
      <c r="G439">
        <v>8.2800000000003163E-2</v>
      </c>
      <c r="H439">
        <v>0.12100000000000426</v>
      </c>
      <c r="I439">
        <v>0.10950000000000393</v>
      </c>
      <c r="J439">
        <v>0.10570000000000382</v>
      </c>
    </row>
    <row r="440" spans="1:10" x14ac:dyDescent="0.55000000000000004">
      <c r="A440">
        <v>8.9600000000003358E-2</v>
      </c>
      <c r="B440">
        <v>0.11990000000000423</v>
      </c>
      <c r="C440">
        <v>9.8100000000003601E-2</v>
      </c>
      <c r="D440">
        <v>8.9600000000003358E-2</v>
      </c>
      <c r="E440">
        <v>0.11990000000000423</v>
      </c>
      <c r="F440">
        <v>9.8100000000003601E-2</v>
      </c>
      <c r="G440">
        <v>8.9600000000003358E-2</v>
      </c>
      <c r="H440">
        <v>0.11050000000000396</v>
      </c>
      <c r="I440">
        <v>0.10180000000000371</v>
      </c>
      <c r="J440">
        <v>8.6000000000003254E-2</v>
      </c>
    </row>
    <row r="441" spans="1:10" x14ac:dyDescent="0.55000000000000004">
      <c r="A441">
        <v>8.900000000000334E-2</v>
      </c>
      <c r="B441">
        <v>9.840000000000361E-2</v>
      </c>
      <c r="C441">
        <v>0.10230000000000372</v>
      </c>
      <c r="D441">
        <v>8.900000000000334E-2</v>
      </c>
      <c r="E441">
        <v>9.840000000000361E-2</v>
      </c>
      <c r="F441">
        <v>0.10230000000000372</v>
      </c>
      <c r="G441">
        <v>8.900000000000334E-2</v>
      </c>
      <c r="H441">
        <v>0.11240000000000401</v>
      </c>
      <c r="I441">
        <v>0.11870000000000419</v>
      </c>
      <c r="J441">
        <v>8.5200000000003231E-2</v>
      </c>
    </row>
    <row r="442" spans="1:10" x14ac:dyDescent="0.55000000000000004">
      <c r="A442">
        <v>9.11000000000034E-2</v>
      </c>
      <c r="B442">
        <v>0.10090000000000368</v>
      </c>
      <c r="C442">
        <v>0.11140000000000398</v>
      </c>
      <c r="D442">
        <v>9.11000000000034E-2</v>
      </c>
      <c r="E442">
        <v>0.10090000000000368</v>
      </c>
      <c r="F442">
        <v>0.11140000000000398</v>
      </c>
      <c r="G442">
        <v>9.11000000000034E-2</v>
      </c>
      <c r="H442">
        <v>0.11690000000000414</v>
      </c>
      <c r="I442">
        <v>9.9000000000003627E-2</v>
      </c>
      <c r="J442">
        <v>8.8500000000003326E-2</v>
      </c>
    </row>
    <row r="443" spans="1:10" x14ac:dyDescent="0.55000000000000004">
      <c r="A443">
        <v>0.10780000000000388</v>
      </c>
      <c r="B443">
        <v>0.10240000000000372</v>
      </c>
      <c r="C443">
        <v>0.11420000000000406</v>
      </c>
      <c r="D443">
        <v>0.10780000000000388</v>
      </c>
      <c r="E443">
        <v>0.10240000000000372</v>
      </c>
      <c r="F443">
        <v>0.11420000000000406</v>
      </c>
      <c r="G443">
        <v>0.10780000000000388</v>
      </c>
      <c r="H443">
        <v>0.24049999999999164</v>
      </c>
      <c r="I443">
        <v>8.550000000000324E-2</v>
      </c>
      <c r="J443">
        <v>9.5500000000003527E-2</v>
      </c>
    </row>
    <row r="444" spans="1:10" x14ac:dyDescent="0.55000000000000004">
      <c r="A444">
        <v>9.980000000000365E-2</v>
      </c>
      <c r="B444">
        <v>9.3500000000003469E-2</v>
      </c>
      <c r="C444">
        <v>9.0200000000003375E-2</v>
      </c>
      <c r="D444">
        <v>9.980000000000365E-2</v>
      </c>
      <c r="E444">
        <v>9.3500000000003469E-2</v>
      </c>
      <c r="F444">
        <v>9.0200000000003375E-2</v>
      </c>
      <c r="G444">
        <v>9.980000000000365E-2</v>
      </c>
      <c r="H444">
        <v>0.12580000000000427</v>
      </c>
      <c r="I444">
        <v>9.7500000000003584E-2</v>
      </c>
      <c r="J444">
        <v>0.10660000000000384</v>
      </c>
    </row>
    <row r="445" spans="1:10" x14ac:dyDescent="0.55000000000000004">
      <c r="A445">
        <v>5.8700000000002479E-2</v>
      </c>
      <c r="B445">
        <v>0.11440000000000407</v>
      </c>
      <c r="C445">
        <v>0.11960000000000422</v>
      </c>
      <c r="D445">
        <v>5.8700000000002479E-2</v>
      </c>
      <c r="E445">
        <v>0.11440000000000407</v>
      </c>
      <c r="F445">
        <v>0.11960000000000422</v>
      </c>
      <c r="G445">
        <v>5.8700000000002479E-2</v>
      </c>
      <c r="H445">
        <v>0.11780000000000417</v>
      </c>
      <c r="I445">
        <v>0.10930000000000392</v>
      </c>
      <c r="J445">
        <v>9.8700000000003618E-2</v>
      </c>
    </row>
    <row r="446" spans="1:10" x14ac:dyDescent="0.55000000000000004">
      <c r="A446">
        <v>8.2600000000003157E-2</v>
      </c>
      <c r="B446">
        <v>0.12270000000000431</v>
      </c>
      <c r="C446">
        <v>0.11050000000000396</v>
      </c>
      <c r="D446">
        <v>8.2600000000003157E-2</v>
      </c>
      <c r="E446">
        <v>0.12270000000000431</v>
      </c>
      <c r="F446">
        <v>0.11050000000000396</v>
      </c>
      <c r="G446">
        <v>8.2600000000003157E-2</v>
      </c>
      <c r="H446">
        <v>0.12150000000000427</v>
      </c>
      <c r="I446">
        <v>0.12520000000000434</v>
      </c>
      <c r="J446">
        <v>0.10890000000000391</v>
      </c>
    </row>
    <row r="447" spans="1:10" x14ac:dyDescent="0.55000000000000004">
      <c r="A447">
        <v>9.8300000000003607E-2</v>
      </c>
      <c r="B447">
        <v>0.1016000000000037</v>
      </c>
      <c r="C447">
        <v>9.0200000000003375E-2</v>
      </c>
      <c r="D447">
        <v>9.8300000000003607E-2</v>
      </c>
      <c r="E447">
        <v>0.1016000000000037</v>
      </c>
      <c r="F447">
        <v>9.0200000000003375E-2</v>
      </c>
      <c r="G447">
        <v>9.8300000000003607E-2</v>
      </c>
      <c r="H447">
        <v>0.11950000000000421</v>
      </c>
      <c r="I447">
        <v>0.12150000000000427</v>
      </c>
      <c r="J447">
        <v>8.900000000000334E-2</v>
      </c>
    </row>
    <row r="448" spans="1:10" x14ac:dyDescent="0.55000000000000004">
      <c r="A448">
        <v>9.4400000000003495E-2</v>
      </c>
      <c r="B448">
        <v>0.1016000000000037</v>
      </c>
      <c r="C448">
        <v>0.11390000000000405</v>
      </c>
      <c r="D448">
        <v>9.4400000000003495E-2</v>
      </c>
      <c r="E448">
        <v>0.1016000000000037</v>
      </c>
      <c r="F448">
        <v>0.11390000000000405</v>
      </c>
      <c r="G448">
        <v>9.4400000000003495E-2</v>
      </c>
      <c r="H448">
        <v>0.11010000000000394</v>
      </c>
      <c r="I448">
        <v>9.3600000000003472E-2</v>
      </c>
      <c r="J448">
        <v>9.2400000000003438E-2</v>
      </c>
    </row>
    <row r="449" spans="1:10" x14ac:dyDescent="0.55000000000000004">
      <c r="A449">
        <v>8.4500000000003211E-2</v>
      </c>
      <c r="B449">
        <v>0.12530000000000432</v>
      </c>
      <c r="C449">
        <v>0.12620000000000423</v>
      </c>
      <c r="D449">
        <v>8.4500000000003211E-2</v>
      </c>
      <c r="E449">
        <v>0.12530000000000432</v>
      </c>
      <c r="F449">
        <v>0.12620000000000423</v>
      </c>
      <c r="G449">
        <v>8.4500000000003211E-2</v>
      </c>
      <c r="H449">
        <v>0.13260000000000352</v>
      </c>
      <c r="I449">
        <v>0.10350000000000376</v>
      </c>
      <c r="J449">
        <v>9.7300000000003578E-2</v>
      </c>
    </row>
    <row r="450" spans="1:10" x14ac:dyDescent="0.55000000000000004">
      <c r="A450">
        <v>9.2100000000003429E-2</v>
      </c>
      <c r="B450">
        <v>0.11690000000000414</v>
      </c>
      <c r="C450">
        <v>0.11700000000000414</v>
      </c>
      <c r="D450">
        <v>9.2100000000003429E-2</v>
      </c>
      <c r="E450">
        <v>0.11690000000000414</v>
      </c>
      <c r="F450">
        <v>0.11700000000000414</v>
      </c>
      <c r="G450">
        <v>9.2100000000003429E-2</v>
      </c>
      <c r="H450">
        <v>9.8600000000003615E-2</v>
      </c>
      <c r="I450">
        <v>8.0000000000003083E-2</v>
      </c>
      <c r="J450">
        <v>9.9900000000003653E-2</v>
      </c>
    </row>
    <row r="451" spans="1:10" x14ac:dyDescent="0.55000000000000004">
      <c r="A451">
        <v>8.5900000000003252E-2</v>
      </c>
      <c r="B451">
        <v>0.11990000000000423</v>
      </c>
      <c r="C451">
        <v>0.10330000000000375</v>
      </c>
      <c r="D451">
        <v>8.5900000000003252E-2</v>
      </c>
      <c r="E451">
        <v>0.11990000000000423</v>
      </c>
      <c r="F451">
        <v>0.10330000000000375</v>
      </c>
      <c r="G451">
        <v>8.5900000000003252E-2</v>
      </c>
      <c r="H451">
        <v>0.11990000000000423</v>
      </c>
      <c r="I451">
        <v>0.10590000000000382</v>
      </c>
      <c r="J451">
        <v>9.4300000000003492E-2</v>
      </c>
    </row>
    <row r="452" spans="1:10" x14ac:dyDescent="0.55000000000000004">
      <c r="A452">
        <v>8.7400000000003294E-2</v>
      </c>
      <c r="B452">
        <v>0.11980000000000422</v>
      </c>
      <c r="C452">
        <v>9.5200000000003518E-2</v>
      </c>
      <c r="D452">
        <v>8.7400000000003294E-2</v>
      </c>
      <c r="E452">
        <v>0.11980000000000422</v>
      </c>
      <c r="F452">
        <v>9.5200000000003518E-2</v>
      </c>
      <c r="G452">
        <v>8.7400000000003294E-2</v>
      </c>
      <c r="H452">
        <v>0.11290000000000402</v>
      </c>
      <c r="I452">
        <v>9.5100000000003515E-2</v>
      </c>
      <c r="J452">
        <v>9.3900000000003481E-2</v>
      </c>
    </row>
    <row r="453" spans="1:10" x14ac:dyDescent="0.55000000000000004">
      <c r="A453">
        <v>9.4700000000003504E-2</v>
      </c>
      <c r="B453">
        <v>0.10240000000000372</v>
      </c>
      <c r="C453">
        <v>0.10360000000000376</v>
      </c>
      <c r="D453">
        <v>9.4700000000003504E-2</v>
      </c>
      <c r="E453">
        <v>0.10240000000000372</v>
      </c>
      <c r="F453">
        <v>0.10360000000000376</v>
      </c>
      <c r="G453">
        <v>9.4700000000003504E-2</v>
      </c>
      <c r="H453">
        <v>0.21879999999999403</v>
      </c>
      <c r="I453">
        <v>0.10220000000000372</v>
      </c>
      <c r="J453">
        <v>0.10030000000000366</v>
      </c>
    </row>
    <row r="454" spans="1:10" x14ac:dyDescent="0.55000000000000004">
      <c r="A454">
        <v>7.7300000000003005E-2</v>
      </c>
      <c r="B454">
        <v>0.10570000000000382</v>
      </c>
      <c r="C454">
        <v>0.10800000000000388</v>
      </c>
      <c r="D454">
        <v>7.7300000000003005E-2</v>
      </c>
      <c r="E454">
        <v>0.10570000000000382</v>
      </c>
      <c r="F454">
        <v>0.10800000000000388</v>
      </c>
      <c r="G454">
        <v>7.7300000000003005E-2</v>
      </c>
      <c r="H454">
        <v>0.11240000000000401</v>
      </c>
      <c r="I454">
        <v>9.2100000000003429E-2</v>
      </c>
      <c r="J454">
        <v>8.5000000000003226E-2</v>
      </c>
    </row>
    <row r="455" spans="1:10" x14ac:dyDescent="0.55000000000000004">
      <c r="A455">
        <v>9.910000000000363E-2</v>
      </c>
      <c r="B455">
        <v>9.7300000000003578E-2</v>
      </c>
      <c r="C455">
        <v>0.10800000000000388</v>
      </c>
      <c r="D455">
        <v>9.910000000000363E-2</v>
      </c>
      <c r="E455">
        <v>9.7300000000003578E-2</v>
      </c>
      <c r="F455">
        <v>0.10800000000000388</v>
      </c>
      <c r="G455">
        <v>9.910000000000363E-2</v>
      </c>
      <c r="H455">
        <v>0.111900000000004</v>
      </c>
      <c r="I455">
        <v>0.10070000000000368</v>
      </c>
      <c r="J455">
        <v>9.6800000000003564E-2</v>
      </c>
    </row>
    <row r="456" spans="1:10" x14ac:dyDescent="0.55000000000000004">
      <c r="A456">
        <v>9.5200000000003518E-2</v>
      </c>
      <c r="B456">
        <v>0.11740000000000415</v>
      </c>
      <c r="C456">
        <v>0.12130000000000427</v>
      </c>
      <c r="D456">
        <v>9.5200000000003518E-2</v>
      </c>
      <c r="E456">
        <v>0.11740000000000415</v>
      </c>
      <c r="F456">
        <v>0.12130000000000427</v>
      </c>
      <c r="G456">
        <v>9.5200000000003518E-2</v>
      </c>
      <c r="H456">
        <v>0.13830000000000289</v>
      </c>
      <c r="I456">
        <v>0.12400000000000434</v>
      </c>
      <c r="J456">
        <v>0.10460000000000379</v>
      </c>
    </row>
    <row r="457" spans="1:10" x14ac:dyDescent="0.55000000000000004">
      <c r="A457">
        <v>8.2800000000003163E-2</v>
      </c>
      <c r="B457">
        <v>0.10780000000000388</v>
      </c>
      <c r="C457">
        <v>0.11320000000000403</v>
      </c>
      <c r="D457">
        <v>8.2800000000003163E-2</v>
      </c>
      <c r="E457">
        <v>0.10780000000000388</v>
      </c>
      <c r="F457">
        <v>0.11320000000000403</v>
      </c>
      <c r="G457">
        <v>8.2800000000003163E-2</v>
      </c>
      <c r="H457">
        <v>0.11050000000000396</v>
      </c>
      <c r="I457">
        <v>0.11500000000000409</v>
      </c>
      <c r="J457">
        <v>8.8700000000003332E-2</v>
      </c>
    </row>
    <row r="458" spans="1:10" x14ac:dyDescent="0.55000000000000004">
      <c r="A458">
        <v>8.5000000000003226E-2</v>
      </c>
      <c r="B458">
        <v>9.910000000000363E-2</v>
      </c>
      <c r="C458">
        <v>0.11160000000000399</v>
      </c>
      <c r="D458">
        <v>8.5000000000003226E-2</v>
      </c>
      <c r="E458">
        <v>9.910000000000363E-2</v>
      </c>
      <c r="F458">
        <v>0.11160000000000399</v>
      </c>
      <c r="G458">
        <v>8.5000000000003226E-2</v>
      </c>
      <c r="H458">
        <v>0.12430000000000435</v>
      </c>
      <c r="I458">
        <v>0.12880000000000394</v>
      </c>
      <c r="J458">
        <v>9.4600000000003501E-2</v>
      </c>
    </row>
    <row r="459" spans="1:10" x14ac:dyDescent="0.55000000000000004">
      <c r="A459">
        <v>9.8500000000003612E-2</v>
      </c>
      <c r="B459">
        <v>0.10370000000000376</v>
      </c>
      <c r="C459">
        <v>0.111900000000004</v>
      </c>
      <c r="D459">
        <v>9.8500000000003612E-2</v>
      </c>
      <c r="E459">
        <v>0.10370000000000376</v>
      </c>
      <c r="F459">
        <v>0.111900000000004</v>
      </c>
      <c r="G459">
        <v>9.8500000000003612E-2</v>
      </c>
      <c r="H459">
        <v>0.13140000000000365</v>
      </c>
      <c r="I459">
        <v>0.12990000000000382</v>
      </c>
      <c r="J459">
        <v>0.10460000000000379</v>
      </c>
    </row>
    <row r="460" spans="1:10" x14ac:dyDescent="0.55000000000000004">
      <c r="A460">
        <v>8.7700000000003303E-2</v>
      </c>
      <c r="B460">
        <v>9.8200000000003604E-2</v>
      </c>
      <c r="C460">
        <v>0.10250000000000373</v>
      </c>
      <c r="D460">
        <v>8.7700000000003303E-2</v>
      </c>
      <c r="E460">
        <v>9.8200000000003604E-2</v>
      </c>
      <c r="F460">
        <v>0.10250000000000373</v>
      </c>
      <c r="G460">
        <v>8.7700000000003303E-2</v>
      </c>
      <c r="H460">
        <v>0.12380000000000434</v>
      </c>
      <c r="I460">
        <v>9.2400000000003438E-2</v>
      </c>
      <c r="J460">
        <v>9.9000000000003627E-2</v>
      </c>
    </row>
    <row r="461" spans="1:10" x14ac:dyDescent="0.55000000000000004">
      <c r="A461">
        <v>7.7500000000003011E-2</v>
      </c>
      <c r="B461">
        <v>0.10570000000000382</v>
      </c>
      <c r="C461">
        <v>0.11600000000000411</v>
      </c>
      <c r="D461">
        <v>7.7500000000003011E-2</v>
      </c>
      <c r="E461">
        <v>0.10570000000000382</v>
      </c>
      <c r="F461">
        <v>0.11600000000000411</v>
      </c>
      <c r="G461">
        <v>7.7500000000003011E-2</v>
      </c>
      <c r="H461">
        <v>0.12330000000000432</v>
      </c>
      <c r="I461">
        <v>0.11060000000000396</v>
      </c>
      <c r="J461">
        <v>8.6800000000003277E-2</v>
      </c>
    </row>
    <row r="462" spans="1:10" x14ac:dyDescent="0.55000000000000004">
      <c r="A462">
        <v>9.7900000000003595E-2</v>
      </c>
      <c r="B462">
        <v>9.5500000000003527E-2</v>
      </c>
      <c r="C462">
        <v>9.2600000000003443E-2</v>
      </c>
      <c r="D462">
        <v>9.7900000000003595E-2</v>
      </c>
      <c r="E462">
        <v>9.5500000000003527E-2</v>
      </c>
      <c r="F462">
        <v>9.2600000000003443E-2</v>
      </c>
      <c r="G462">
        <v>9.7900000000003595E-2</v>
      </c>
      <c r="H462">
        <v>0.13090000000000371</v>
      </c>
      <c r="I462">
        <v>0.12130000000000427</v>
      </c>
      <c r="J462">
        <v>0.11490000000000408</v>
      </c>
    </row>
    <row r="463" spans="1:10" x14ac:dyDescent="0.55000000000000004">
      <c r="A463">
        <v>8.0400000000003094E-2</v>
      </c>
      <c r="B463">
        <v>0.10740000000000387</v>
      </c>
      <c r="C463">
        <v>0.13110000000000369</v>
      </c>
      <c r="D463">
        <v>8.0400000000003094E-2</v>
      </c>
      <c r="E463">
        <v>0.10740000000000387</v>
      </c>
      <c r="F463">
        <v>0.13110000000000369</v>
      </c>
      <c r="G463">
        <v>8.0400000000003094E-2</v>
      </c>
      <c r="H463">
        <v>0.22929999999999287</v>
      </c>
      <c r="I463">
        <v>0.12500000000000436</v>
      </c>
      <c r="J463">
        <v>0.11820000000000418</v>
      </c>
    </row>
    <row r="464" spans="1:10" x14ac:dyDescent="0.55000000000000004">
      <c r="A464">
        <v>7.6900000000002994E-2</v>
      </c>
      <c r="B464">
        <v>0.10240000000000372</v>
      </c>
      <c r="C464">
        <v>0.10670000000000385</v>
      </c>
      <c r="D464">
        <v>7.6900000000002994E-2</v>
      </c>
      <c r="E464">
        <v>0.10240000000000372</v>
      </c>
      <c r="F464">
        <v>0.10670000000000385</v>
      </c>
      <c r="G464">
        <v>7.6900000000002994E-2</v>
      </c>
      <c r="H464">
        <v>0.11010000000000394</v>
      </c>
      <c r="I464">
        <v>9.5500000000003527E-2</v>
      </c>
      <c r="J464">
        <v>9.0700000000003389E-2</v>
      </c>
    </row>
    <row r="465" spans="1:10" x14ac:dyDescent="0.55000000000000004">
      <c r="A465">
        <v>9.5700000000003532E-2</v>
      </c>
      <c r="B465">
        <v>9.7000000000003569E-2</v>
      </c>
      <c r="C465">
        <v>0.10400000000000377</v>
      </c>
      <c r="D465">
        <v>9.5700000000003532E-2</v>
      </c>
      <c r="E465">
        <v>9.7000000000003569E-2</v>
      </c>
      <c r="F465">
        <v>0.10400000000000377</v>
      </c>
      <c r="G465">
        <v>9.5700000000003532E-2</v>
      </c>
      <c r="H465">
        <v>0.12560000000000429</v>
      </c>
      <c r="I465">
        <v>0.11180000000000399</v>
      </c>
      <c r="J465">
        <v>9.770000000000359E-2</v>
      </c>
    </row>
    <row r="466" spans="1:10" x14ac:dyDescent="0.55000000000000004">
      <c r="A466">
        <v>7.8100000000003028E-2</v>
      </c>
      <c r="B466">
        <v>0.13380000000000339</v>
      </c>
      <c r="C466">
        <v>9.9000000000003627E-2</v>
      </c>
      <c r="D466">
        <v>7.8100000000003028E-2</v>
      </c>
      <c r="E466">
        <v>0.13380000000000339</v>
      </c>
      <c r="F466">
        <v>9.9000000000003627E-2</v>
      </c>
      <c r="G466">
        <v>7.8100000000003028E-2</v>
      </c>
      <c r="H466">
        <v>0.11830000000000418</v>
      </c>
      <c r="I466">
        <v>0.10060000000000367</v>
      </c>
      <c r="J466">
        <v>9.0600000000003386E-2</v>
      </c>
    </row>
    <row r="467" spans="1:10" x14ac:dyDescent="0.55000000000000004">
      <c r="A467">
        <v>8.6300000000003263E-2</v>
      </c>
      <c r="B467">
        <v>0.10790000000000388</v>
      </c>
      <c r="C467">
        <v>0.10700000000000386</v>
      </c>
      <c r="D467">
        <v>8.6300000000003263E-2</v>
      </c>
      <c r="E467">
        <v>0.10790000000000388</v>
      </c>
      <c r="F467">
        <v>0.10700000000000386</v>
      </c>
      <c r="G467">
        <v>8.6300000000003263E-2</v>
      </c>
      <c r="H467">
        <v>0.13310000000000347</v>
      </c>
      <c r="I467">
        <v>0.11280000000000402</v>
      </c>
      <c r="J467">
        <v>0.11030000000000395</v>
      </c>
    </row>
    <row r="468" spans="1:10" x14ac:dyDescent="0.55000000000000004">
      <c r="A468">
        <v>8.9600000000003358E-2</v>
      </c>
      <c r="B468">
        <v>0.10830000000000389</v>
      </c>
      <c r="C468">
        <v>0.1084000000000039</v>
      </c>
      <c r="D468">
        <v>8.9600000000003358E-2</v>
      </c>
      <c r="E468">
        <v>0.10830000000000389</v>
      </c>
      <c r="F468">
        <v>0.1084000000000039</v>
      </c>
      <c r="G468">
        <v>8.9600000000003358E-2</v>
      </c>
      <c r="H468">
        <v>0.13210000000000358</v>
      </c>
      <c r="I468">
        <v>0.14310000000000236</v>
      </c>
      <c r="J468">
        <v>0.11330000000000404</v>
      </c>
    </row>
    <row r="469" spans="1:10" x14ac:dyDescent="0.55000000000000004">
      <c r="A469">
        <v>8.41000000000032E-2</v>
      </c>
      <c r="B469">
        <v>0.10100000000000368</v>
      </c>
      <c r="C469">
        <v>0.10590000000000382</v>
      </c>
      <c r="D469">
        <v>8.41000000000032E-2</v>
      </c>
      <c r="E469">
        <v>0.10100000000000368</v>
      </c>
      <c r="F469">
        <v>0.10590000000000382</v>
      </c>
      <c r="G469">
        <v>8.41000000000032E-2</v>
      </c>
      <c r="H469">
        <v>0.11250000000000401</v>
      </c>
      <c r="I469">
        <v>8.9100000000003343E-2</v>
      </c>
      <c r="J469">
        <v>8.76000000000033E-2</v>
      </c>
    </row>
    <row r="470" spans="1:10" x14ac:dyDescent="0.55000000000000004">
      <c r="A470">
        <v>7.3700000000002902E-2</v>
      </c>
      <c r="B470">
        <v>0.12980000000000383</v>
      </c>
      <c r="C470">
        <v>0.12310000000000432</v>
      </c>
      <c r="D470">
        <v>7.3700000000002902E-2</v>
      </c>
      <c r="E470">
        <v>0.12980000000000383</v>
      </c>
      <c r="F470">
        <v>0.12310000000000432</v>
      </c>
      <c r="G470">
        <v>7.3700000000002902E-2</v>
      </c>
      <c r="H470">
        <v>0.12610000000000424</v>
      </c>
      <c r="I470">
        <v>0.10010000000000366</v>
      </c>
      <c r="J470">
        <v>9.4800000000003506E-2</v>
      </c>
    </row>
    <row r="471" spans="1:10" x14ac:dyDescent="0.55000000000000004">
      <c r="A471">
        <v>7.3000000000002882E-2</v>
      </c>
      <c r="B471">
        <v>0.12850000000000397</v>
      </c>
      <c r="C471">
        <v>0.11740000000000415</v>
      </c>
      <c r="D471">
        <v>7.3000000000002882E-2</v>
      </c>
      <c r="E471">
        <v>0.12850000000000397</v>
      </c>
      <c r="F471">
        <v>0.11740000000000415</v>
      </c>
      <c r="G471">
        <v>7.3000000000002882E-2</v>
      </c>
      <c r="H471">
        <v>0.11000000000000394</v>
      </c>
      <c r="I471">
        <v>9.910000000000363E-2</v>
      </c>
      <c r="J471">
        <v>5.9400000000002499E-2</v>
      </c>
    </row>
    <row r="472" spans="1:10" x14ac:dyDescent="0.55000000000000004">
      <c r="A472">
        <v>0.1017000000000037</v>
      </c>
      <c r="B472">
        <v>0.13260000000000352</v>
      </c>
      <c r="C472">
        <v>0.11160000000000399</v>
      </c>
      <c r="D472">
        <v>0.1017000000000037</v>
      </c>
      <c r="E472">
        <v>0.13260000000000352</v>
      </c>
      <c r="F472">
        <v>0.11160000000000399</v>
      </c>
      <c r="G472">
        <v>0.1017000000000037</v>
      </c>
      <c r="H472">
        <v>0.12450000000000436</v>
      </c>
      <c r="I472">
        <v>0.11850000000000419</v>
      </c>
      <c r="J472">
        <v>9.1500000000003412E-2</v>
      </c>
    </row>
    <row r="473" spans="1:10" x14ac:dyDescent="0.55000000000000004">
      <c r="A473">
        <v>8.200000000000314E-2</v>
      </c>
      <c r="B473">
        <v>9.9900000000003653E-2</v>
      </c>
      <c r="C473">
        <v>9.8700000000003618E-2</v>
      </c>
      <c r="D473">
        <v>8.200000000000314E-2</v>
      </c>
      <c r="E473">
        <v>9.9900000000003653E-2</v>
      </c>
      <c r="F473">
        <v>9.8700000000003618E-2</v>
      </c>
      <c r="G473">
        <v>8.200000000000314E-2</v>
      </c>
      <c r="H473">
        <v>0.11700000000000414</v>
      </c>
      <c r="I473">
        <v>0.10040000000000367</v>
      </c>
      <c r="J473">
        <v>9.1300000000003406E-2</v>
      </c>
    </row>
    <row r="474" spans="1:10" x14ac:dyDescent="0.55000000000000004">
      <c r="A474">
        <v>0.10710000000000386</v>
      </c>
      <c r="B474">
        <v>0.10790000000000388</v>
      </c>
      <c r="C474">
        <v>0.11700000000000414</v>
      </c>
      <c r="D474">
        <v>0.10710000000000386</v>
      </c>
      <c r="E474">
        <v>0.10790000000000388</v>
      </c>
      <c r="F474">
        <v>0.11700000000000414</v>
      </c>
      <c r="G474">
        <v>0.10710000000000386</v>
      </c>
      <c r="H474">
        <v>0.13290000000000349</v>
      </c>
      <c r="I474">
        <v>0.13590000000000316</v>
      </c>
      <c r="J474">
        <v>0.10220000000000372</v>
      </c>
    </row>
    <row r="475" spans="1:10" x14ac:dyDescent="0.55000000000000004">
      <c r="A475">
        <v>7.050000000000281E-2</v>
      </c>
      <c r="B475">
        <v>0.10690000000000385</v>
      </c>
      <c r="C475">
        <v>0.10980000000000394</v>
      </c>
      <c r="D475">
        <v>7.050000000000281E-2</v>
      </c>
      <c r="E475">
        <v>0.10690000000000385</v>
      </c>
      <c r="F475">
        <v>0.10980000000000394</v>
      </c>
      <c r="G475">
        <v>7.050000000000281E-2</v>
      </c>
      <c r="H475">
        <v>0.11680000000000414</v>
      </c>
      <c r="I475">
        <v>9.4100000000003486E-2</v>
      </c>
      <c r="J475">
        <v>9.0800000000003392E-2</v>
      </c>
    </row>
    <row r="476" spans="1:10" x14ac:dyDescent="0.55000000000000004">
      <c r="A476">
        <v>8.2900000000003166E-2</v>
      </c>
      <c r="B476">
        <v>0.10050000000000367</v>
      </c>
      <c r="C476">
        <v>0.12200000000000429</v>
      </c>
      <c r="D476">
        <v>8.2900000000003166E-2</v>
      </c>
      <c r="E476">
        <v>0.10050000000000367</v>
      </c>
      <c r="F476">
        <v>0.12200000000000429</v>
      </c>
      <c r="G476">
        <v>8.2900000000003166E-2</v>
      </c>
      <c r="H476">
        <v>0.12600000000000425</v>
      </c>
      <c r="I476">
        <v>9.8900000000003624E-2</v>
      </c>
      <c r="J476">
        <v>9.4100000000003486E-2</v>
      </c>
    </row>
    <row r="477" spans="1:10" x14ac:dyDescent="0.55000000000000004">
      <c r="A477">
        <v>0.11350000000000404</v>
      </c>
      <c r="B477">
        <v>0.11480000000000408</v>
      </c>
      <c r="C477">
        <v>0.1086000000000039</v>
      </c>
      <c r="D477">
        <v>0.11350000000000404</v>
      </c>
      <c r="E477">
        <v>0.11480000000000408</v>
      </c>
      <c r="F477">
        <v>0.1086000000000039</v>
      </c>
      <c r="G477">
        <v>0.11350000000000404</v>
      </c>
      <c r="H477">
        <v>0.13360000000000341</v>
      </c>
      <c r="I477">
        <v>0.13130000000000366</v>
      </c>
      <c r="J477">
        <v>0.11170000000000399</v>
      </c>
    </row>
    <row r="478" spans="1:10" x14ac:dyDescent="0.55000000000000004">
      <c r="A478">
        <v>0.12450000000000436</v>
      </c>
      <c r="B478">
        <v>0.13170000000000362</v>
      </c>
      <c r="C478">
        <v>0.12580000000000427</v>
      </c>
      <c r="D478">
        <v>0.12450000000000436</v>
      </c>
      <c r="E478">
        <v>0.13170000000000362</v>
      </c>
      <c r="F478">
        <v>0.12580000000000427</v>
      </c>
      <c r="G478">
        <v>0.12450000000000436</v>
      </c>
      <c r="H478">
        <v>0.13970000000000274</v>
      </c>
      <c r="I478">
        <v>0.13050000000000375</v>
      </c>
      <c r="J478">
        <v>0.12770000000000406</v>
      </c>
    </row>
    <row r="479" spans="1:10" x14ac:dyDescent="0.55000000000000004">
      <c r="A479">
        <v>8.0200000000003088E-2</v>
      </c>
      <c r="B479">
        <v>0.1086000000000039</v>
      </c>
      <c r="C479">
        <v>0.10110000000000369</v>
      </c>
      <c r="D479">
        <v>8.0200000000003088E-2</v>
      </c>
      <c r="E479">
        <v>0.1086000000000039</v>
      </c>
      <c r="F479">
        <v>0.10110000000000369</v>
      </c>
      <c r="G479">
        <v>8.0200000000003088E-2</v>
      </c>
      <c r="H479">
        <v>0.11780000000000417</v>
      </c>
      <c r="I479">
        <v>0.10970000000000393</v>
      </c>
      <c r="J479">
        <v>0.10240000000000372</v>
      </c>
    </row>
    <row r="480" spans="1:10" x14ac:dyDescent="0.55000000000000004">
      <c r="A480">
        <v>8.1500000000003125E-2</v>
      </c>
      <c r="B480">
        <v>0.13090000000000371</v>
      </c>
      <c r="C480">
        <v>0.11400000000000406</v>
      </c>
      <c r="D480">
        <v>8.1500000000003125E-2</v>
      </c>
      <c r="E480">
        <v>0.13090000000000371</v>
      </c>
      <c r="F480">
        <v>0.11400000000000406</v>
      </c>
      <c r="G480">
        <v>8.1500000000003125E-2</v>
      </c>
      <c r="H480">
        <v>0.13360000000000341</v>
      </c>
      <c r="I480">
        <v>0.12140000000000427</v>
      </c>
      <c r="J480">
        <v>8.5800000000003249E-2</v>
      </c>
    </row>
    <row r="481" spans="1:10" x14ac:dyDescent="0.55000000000000004">
      <c r="A481">
        <v>9.3900000000003481E-2</v>
      </c>
      <c r="B481">
        <v>0.1086000000000039</v>
      </c>
      <c r="C481">
        <v>0.10080000000000368</v>
      </c>
      <c r="D481">
        <v>9.3900000000003481E-2</v>
      </c>
      <c r="E481">
        <v>0.1086000000000039</v>
      </c>
      <c r="F481">
        <v>0.10080000000000368</v>
      </c>
      <c r="G481">
        <v>9.3900000000003481E-2</v>
      </c>
      <c r="H481">
        <v>0.12440000000000435</v>
      </c>
      <c r="I481">
        <v>8.4400000000003209E-2</v>
      </c>
      <c r="J481">
        <v>8.1200000000003117E-2</v>
      </c>
    </row>
    <row r="482" spans="1:10" x14ac:dyDescent="0.55000000000000004">
      <c r="A482">
        <v>7.3900000000002908E-2</v>
      </c>
      <c r="B482">
        <v>0.11120000000000398</v>
      </c>
      <c r="C482">
        <v>0.112000000000004</v>
      </c>
      <c r="D482">
        <v>7.3900000000002908E-2</v>
      </c>
      <c r="E482">
        <v>0.11120000000000398</v>
      </c>
      <c r="F482">
        <v>0.112000000000004</v>
      </c>
      <c r="G482">
        <v>7.3900000000002908E-2</v>
      </c>
      <c r="H482">
        <v>0.11480000000000408</v>
      </c>
      <c r="I482">
        <v>0.10650000000000384</v>
      </c>
      <c r="J482">
        <v>7.7000000000002997E-2</v>
      </c>
    </row>
    <row r="483" spans="1:10" x14ac:dyDescent="0.55000000000000004">
      <c r="A483">
        <v>8.6800000000003277E-2</v>
      </c>
      <c r="B483">
        <v>9.9200000000003632E-2</v>
      </c>
      <c r="C483">
        <v>9.9900000000003653E-2</v>
      </c>
      <c r="D483">
        <v>8.6800000000003277E-2</v>
      </c>
      <c r="E483">
        <v>9.9200000000003632E-2</v>
      </c>
      <c r="F483">
        <v>9.9900000000003653E-2</v>
      </c>
      <c r="G483">
        <v>8.6800000000003277E-2</v>
      </c>
      <c r="H483">
        <v>0.12400000000000434</v>
      </c>
      <c r="I483">
        <v>8.830000000000332E-2</v>
      </c>
      <c r="J483">
        <v>8.5300000000003234E-2</v>
      </c>
    </row>
    <row r="484" spans="1:10" x14ac:dyDescent="0.55000000000000004">
      <c r="A484">
        <v>7.920000000000306E-2</v>
      </c>
      <c r="B484">
        <v>9.5200000000003518E-2</v>
      </c>
      <c r="C484">
        <v>0.10080000000000368</v>
      </c>
      <c r="D484">
        <v>7.920000000000306E-2</v>
      </c>
      <c r="E484">
        <v>9.5200000000003518E-2</v>
      </c>
      <c r="F484">
        <v>0.10080000000000368</v>
      </c>
      <c r="G484">
        <v>7.920000000000306E-2</v>
      </c>
      <c r="H484">
        <v>0.11820000000000418</v>
      </c>
      <c r="I484">
        <v>0.10930000000000392</v>
      </c>
      <c r="J484">
        <v>7.5500000000002954E-2</v>
      </c>
    </row>
    <row r="485" spans="1:10" x14ac:dyDescent="0.55000000000000004">
      <c r="A485">
        <v>7.9700000000003074E-2</v>
      </c>
      <c r="B485">
        <v>9.3800000000003478E-2</v>
      </c>
      <c r="C485">
        <v>8.8900000000003337E-2</v>
      </c>
      <c r="D485">
        <v>7.9700000000003074E-2</v>
      </c>
      <c r="E485">
        <v>9.3800000000003478E-2</v>
      </c>
      <c r="F485">
        <v>8.8900000000003337E-2</v>
      </c>
      <c r="G485">
        <v>7.9700000000003074E-2</v>
      </c>
      <c r="H485">
        <v>0.10760000000000387</v>
      </c>
      <c r="I485">
        <v>0.10220000000000372</v>
      </c>
      <c r="J485">
        <v>9.1000000000003398E-2</v>
      </c>
    </row>
    <row r="486" spans="1:10" x14ac:dyDescent="0.55000000000000004">
      <c r="A486">
        <v>7.1700000000002845E-2</v>
      </c>
      <c r="B486">
        <v>0.10990000000000394</v>
      </c>
      <c r="C486">
        <v>0.10400000000000377</v>
      </c>
      <c r="D486">
        <v>7.1700000000002845E-2</v>
      </c>
      <c r="E486">
        <v>0.10990000000000394</v>
      </c>
      <c r="F486">
        <v>0.10400000000000377</v>
      </c>
      <c r="G486">
        <v>7.1700000000002845E-2</v>
      </c>
      <c r="H486">
        <v>0.10110000000000369</v>
      </c>
      <c r="I486">
        <v>8.9400000000003352E-2</v>
      </c>
      <c r="J486">
        <v>8.8500000000003326E-2</v>
      </c>
    </row>
    <row r="487" spans="1:10" x14ac:dyDescent="0.55000000000000004">
      <c r="A487">
        <v>8.3500000000003183E-2</v>
      </c>
      <c r="B487">
        <v>9.7900000000003595E-2</v>
      </c>
      <c r="C487">
        <v>0.11010000000000394</v>
      </c>
      <c r="D487">
        <v>8.3500000000003183E-2</v>
      </c>
      <c r="E487">
        <v>9.7900000000003595E-2</v>
      </c>
      <c r="F487">
        <v>0.11010000000000394</v>
      </c>
      <c r="G487">
        <v>8.3500000000003183E-2</v>
      </c>
      <c r="H487">
        <v>0.12100000000000426</v>
      </c>
      <c r="I487">
        <v>0.12960000000000385</v>
      </c>
      <c r="J487">
        <v>0.10130000000000369</v>
      </c>
    </row>
    <row r="488" spans="1:10" x14ac:dyDescent="0.55000000000000004">
      <c r="A488">
        <v>7.5600000000002957E-2</v>
      </c>
      <c r="B488">
        <v>0.12740000000000409</v>
      </c>
      <c r="C488">
        <v>0.11760000000000416</v>
      </c>
      <c r="D488">
        <v>7.5600000000002957E-2</v>
      </c>
      <c r="E488">
        <v>0.12740000000000409</v>
      </c>
      <c r="F488">
        <v>0.11760000000000416</v>
      </c>
      <c r="G488">
        <v>7.5600000000002957E-2</v>
      </c>
      <c r="H488">
        <v>0.12990000000000382</v>
      </c>
      <c r="I488">
        <v>0.10750000000000387</v>
      </c>
      <c r="J488">
        <v>9.6700000000003561E-2</v>
      </c>
    </row>
    <row r="489" spans="1:10" x14ac:dyDescent="0.55000000000000004">
      <c r="A489">
        <v>6.5000000000002653E-2</v>
      </c>
      <c r="B489">
        <v>0.11690000000000414</v>
      </c>
      <c r="C489">
        <v>0.10830000000000389</v>
      </c>
      <c r="D489">
        <v>6.5000000000002653E-2</v>
      </c>
      <c r="E489">
        <v>0.11690000000000414</v>
      </c>
      <c r="F489">
        <v>0.10830000000000389</v>
      </c>
      <c r="G489">
        <v>6.5000000000002653E-2</v>
      </c>
      <c r="H489">
        <v>0.12070000000000425</v>
      </c>
      <c r="I489">
        <v>0.10790000000000388</v>
      </c>
      <c r="J489">
        <v>9.2000000000003426E-2</v>
      </c>
    </row>
    <row r="490" spans="1:10" x14ac:dyDescent="0.55000000000000004">
      <c r="A490">
        <v>8.8700000000003332E-2</v>
      </c>
      <c r="B490">
        <v>0.11710000000000415</v>
      </c>
      <c r="C490">
        <v>0.1084000000000039</v>
      </c>
      <c r="D490">
        <v>8.8700000000003332E-2</v>
      </c>
      <c r="E490">
        <v>0.11710000000000415</v>
      </c>
      <c r="F490">
        <v>0.1084000000000039</v>
      </c>
      <c r="G490">
        <v>8.8700000000003332E-2</v>
      </c>
      <c r="H490">
        <v>0.11720000000000415</v>
      </c>
      <c r="I490">
        <v>9.2500000000003441E-2</v>
      </c>
      <c r="J490">
        <v>8.8500000000003326E-2</v>
      </c>
    </row>
    <row r="491" spans="1:10" x14ac:dyDescent="0.55000000000000004">
      <c r="A491">
        <v>8.6000000000003254E-2</v>
      </c>
      <c r="B491">
        <v>0.11090000000000397</v>
      </c>
      <c r="C491">
        <v>0.11570000000000411</v>
      </c>
      <c r="D491">
        <v>8.6000000000003254E-2</v>
      </c>
      <c r="E491">
        <v>0.11090000000000397</v>
      </c>
      <c r="F491">
        <v>0.11570000000000411</v>
      </c>
      <c r="G491">
        <v>8.6000000000003254E-2</v>
      </c>
      <c r="H491">
        <v>0.12190000000000428</v>
      </c>
      <c r="I491">
        <v>0.11980000000000422</v>
      </c>
      <c r="J491">
        <v>0.10450000000000378</v>
      </c>
    </row>
    <row r="492" spans="1:10" x14ac:dyDescent="0.55000000000000004">
      <c r="A492">
        <v>0.10010000000000366</v>
      </c>
      <c r="B492">
        <v>0.11270000000000402</v>
      </c>
      <c r="C492">
        <v>0.10480000000000379</v>
      </c>
      <c r="D492">
        <v>0.10010000000000366</v>
      </c>
      <c r="E492">
        <v>0.11270000000000402</v>
      </c>
      <c r="F492">
        <v>0.10480000000000379</v>
      </c>
      <c r="G492">
        <v>0.10010000000000366</v>
      </c>
      <c r="H492">
        <v>0.12180000000000428</v>
      </c>
      <c r="I492">
        <v>0.11330000000000404</v>
      </c>
      <c r="J492">
        <v>0.10320000000000375</v>
      </c>
    </row>
    <row r="493" spans="1:10" x14ac:dyDescent="0.55000000000000004">
      <c r="A493">
        <v>8.6400000000003266E-2</v>
      </c>
      <c r="B493">
        <v>9.2200000000003432E-2</v>
      </c>
      <c r="C493">
        <v>0.11740000000000415</v>
      </c>
      <c r="D493">
        <v>8.6400000000003266E-2</v>
      </c>
      <c r="E493">
        <v>9.2200000000003432E-2</v>
      </c>
      <c r="F493">
        <v>0.11740000000000415</v>
      </c>
      <c r="G493">
        <v>8.6400000000003266E-2</v>
      </c>
      <c r="H493">
        <v>0.12150000000000427</v>
      </c>
      <c r="I493">
        <v>0.10030000000000366</v>
      </c>
      <c r="J493">
        <v>7.3800000000002905E-2</v>
      </c>
    </row>
    <row r="494" spans="1:10" x14ac:dyDescent="0.55000000000000004">
      <c r="A494">
        <v>7.7900000000003022E-2</v>
      </c>
      <c r="B494">
        <v>0.12070000000000425</v>
      </c>
      <c r="C494">
        <v>0.10570000000000382</v>
      </c>
      <c r="D494">
        <v>7.7900000000003022E-2</v>
      </c>
      <c r="E494">
        <v>0.12070000000000425</v>
      </c>
      <c r="F494">
        <v>0.10570000000000382</v>
      </c>
      <c r="G494">
        <v>7.7900000000003022E-2</v>
      </c>
      <c r="H494">
        <v>0.1087000000000039</v>
      </c>
      <c r="I494">
        <v>0.12100000000000426</v>
      </c>
      <c r="J494">
        <v>7.9400000000003065E-2</v>
      </c>
    </row>
    <row r="495" spans="1:10" x14ac:dyDescent="0.55000000000000004">
      <c r="A495">
        <v>7.6100000000002971E-2</v>
      </c>
      <c r="B495">
        <v>0.10060000000000367</v>
      </c>
      <c r="C495">
        <v>0.10040000000000367</v>
      </c>
      <c r="D495">
        <v>7.6100000000002971E-2</v>
      </c>
      <c r="E495">
        <v>0.10060000000000367</v>
      </c>
      <c r="F495">
        <v>0.10040000000000367</v>
      </c>
      <c r="G495">
        <v>7.6100000000002971E-2</v>
      </c>
      <c r="H495">
        <v>0.12610000000000424</v>
      </c>
      <c r="I495">
        <v>9.7200000000003575E-2</v>
      </c>
      <c r="J495">
        <v>9.4200000000003489E-2</v>
      </c>
    </row>
    <row r="496" spans="1:10" x14ac:dyDescent="0.55000000000000004">
      <c r="A496">
        <v>8.2600000000001728E-2</v>
      </c>
      <c r="B496">
        <v>0.10000000000000223</v>
      </c>
      <c r="C496">
        <v>0.10530000000000238</v>
      </c>
    </row>
    <row r="497" spans="1:3" x14ac:dyDescent="0.55000000000000004">
      <c r="A497">
        <v>8.1400000000001693E-2</v>
      </c>
      <c r="B497">
        <v>0.10300000000000231</v>
      </c>
      <c r="C497">
        <v>0.10350000000000233</v>
      </c>
    </row>
    <row r="498" spans="1:3" x14ac:dyDescent="0.55000000000000004">
      <c r="A498">
        <v>8.6400000000001836E-2</v>
      </c>
      <c r="B498">
        <v>0.10010000000000223</v>
      </c>
      <c r="C498">
        <v>0.10110000000000226</v>
      </c>
    </row>
    <row r="499" spans="1:3" x14ac:dyDescent="0.55000000000000004">
      <c r="A499">
        <v>7.9100000000001627E-2</v>
      </c>
      <c r="B499">
        <v>0.10770000000000245</v>
      </c>
      <c r="C499">
        <v>0.10530000000000238</v>
      </c>
    </row>
    <row r="500" spans="1:3" x14ac:dyDescent="0.55000000000000004">
      <c r="A500">
        <v>7.7600000000001584E-2</v>
      </c>
      <c r="B500">
        <v>0.11180000000000256</v>
      </c>
      <c r="C500">
        <v>0.10640000000000241</v>
      </c>
    </row>
    <row r="501" spans="1:3" x14ac:dyDescent="0.55000000000000004">
      <c r="A501">
        <v>9.0400000000001951E-2</v>
      </c>
      <c r="B501">
        <v>0.10830000000000246</v>
      </c>
      <c r="C501">
        <v>0.11050000000000253</v>
      </c>
    </row>
    <row r="502" spans="1:3" x14ac:dyDescent="0.55000000000000004">
      <c r="A502">
        <v>9.8100000000002172E-2</v>
      </c>
      <c r="B502">
        <v>0.10690000000000242</v>
      </c>
      <c r="C502">
        <v>0.11810000000000274</v>
      </c>
    </row>
    <row r="503" spans="1:3" x14ac:dyDescent="0.55000000000000004">
      <c r="A503">
        <v>7.6700000000001559E-2</v>
      </c>
      <c r="B503">
        <v>0.10490000000000237</v>
      </c>
      <c r="C503">
        <v>9.6800000000002134E-2</v>
      </c>
    </row>
    <row r="504" spans="1:3" x14ac:dyDescent="0.55000000000000004">
      <c r="A504">
        <v>7.9300000000001633E-2</v>
      </c>
      <c r="B504">
        <v>9.8700000000002189E-2</v>
      </c>
      <c r="C504">
        <v>0.11150000000000256</v>
      </c>
    </row>
    <row r="505" spans="1:3" x14ac:dyDescent="0.55000000000000004">
      <c r="A505">
        <v>5.7800000000001024E-2</v>
      </c>
      <c r="B505">
        <v>9.5200000000002089E-2</v>
      </c>
      <c r="C505">
        <v>9.1900000000001994E-2</v>
      </c>
    </row>
    <row r="506" spans="1:3" x14ac:dyDescent="0.55000000000000004">
      <c r="A506">
        <v>9.5500000000002097E-2</v>
      </c>
      <c r="B506">
        <v>9.280000000000202E-2</v>
      </c>
      <c r="C506">
        <v>9.9400000000002209E-2</v>
      </c>
    </row>
    <row r="507" spans="1:3" x14ac:dyDescent="0.55000000000000004">
      <c r="A507">
        <v>8.8600000000001899E-2</v>
      </c>
      <c r="B507">
        <v>0.23859999999999043</v>
      </c>
      <c r="C507">
        <v>0.10170000000000227</v>
      </c>
    </row>
    <row r="508" spans="1:3" x14ac:dyDescent="0.55000000000000004">
      <c r="A508">
        <v>9.1800000000001991E-2</v>
      </c>
      <c r="B508">
        <v>0.10010000000000223</v>
      </c>
      <c r="C508">
        <v>9.8200000000002174E-2</v>
      </c>
    </row>
    <row r="509" spans="1:3" x14ac:dyDescent="0.55000000000000004">
      <c r="A509">
        <v>7.8300000000001604E-2</v>
      </c>
      <c r="B509">
        <v>9.8800000000002192E-2</v>
      </c>
      <c r="C509">
        <v>9.5100000000002086E-2</v>
      </c>
    </row>
    <row r="510" spans="1:3" x14ac:dyDescent="0.55000000000000004">
      <c r="A510">
        <v>9.6500000000002126E-2</v>
      </c>
      <c r="B510">
        <v>9.9900000000002223E-2</v>
      </c>
      <c r="C510">
        <v>0.10670000000000242</v>
      </c>
    </row>
    <row r="511" spans="1:3" x14ac:dyDescent="0.55000000000000004">
      <c r="A511">
        <v>7.150000000000141E-2</v>
      </c>
      <c r="B511">
        <v>0.10500000000000237</v>
      </c>
      <c r="C511">
        <v>0.1025000000000023</v>
      </c>
    </row>
    <row r="512" spans="1:3" x14ac:dyDescent="0.55000000000000004">
      <c r="A512">
        <v>8.8200000000001888E-2</v>
      </c>
      <c r="B512">
        <v>0.10680000000000242</v>
      </c>
      <c r="C512">
        <v>9.91000000000022E-2</v>
      </c>
    </row>
    <row r="513" spans="1:3" x14ac:dyDescent="0.55000000000000004">
      <c r="A513">
        <v>6.6600000000001269E-2</v>
      </c>
      <c r="B513">
        <v>0.10320000000000232</v>
      </c>
      <c r="C513">
        <v>0.11090000000000254</v>
      </c>
    </row>
    <row r="514" spans="1:3" x14ac:dyDescent="0.55000000000000004">
      <c r="A514">
        <v>8.7600000000001871E-2</v>
      </c>
      <c r="B514">
        <v>9.9000000000002197E-2</v>
      </c>
      <c r="C514">
        <v>0.11010000000000252</v>
      </c>
    </row>
    <row r="515" spans="1:3" x14ac:dyDescent="0.55000000000000004">
      <c r="A515">
        <v>7.8600000000001613E-2</v>
      </c>
      <c r="B515">
        <v>0.11730000000000272</v>
      </c>
      <c r="C515">
        <v>9.7900000000002166E-2</v>
      </c>
    </row>
    <row r="516" spans="1:3" x14ac:dyDescent="0.55000000000000004">
      <c r="A516">
        <v>7.9300000000001633E-2</v>
      </c>
      <c r="B516">
        <v>0.10180000000000228</v>
      </c>
      <c r="C516">
        <v>0.10590000000000239</v>
      </c>
    </row>
    <row r="517" spans="1:3" x14ac:dyDescent="0.55000000000000004">
      <c r="A517">
        <v>6.7600000000001298E-2</v>
      </c>
      <c r="B517">
        <v>0.10220000000000229</v>
      </c>
      <c r="C517">
        <v>0.11730000000000272</v>
      </c>
    </row>
    <row r="518" spans="1:3" x14ac:dyDescent="0.55000000000000004">
      <c r="A518">
        <v>7.3100000000001455E-2</v>
      </c>
      <c r="B518">
        <v>9.7500000000002154E-2</v>
      </c>
      <c r="C518">
        <v>0.10980000000000251</v>
      </c>
    </row>
    <row r="519" spans="1:3" x14ac:dyDescent="0.55000000000000004">
      <c r="A519">
        <v>7.080000000000139E-2</v>
      </c>
      <c r="B519">
        <v>9.5800000000002106E-2</v>
      </c>
      <c r="C519">
        <v>0.10310000000000231</v>
      </c>
    </row>
    <row r="520" spans="1:3" x14ac:dyDescent="0.55000000000000004">
      <c r="A520">
        <v>6.9300000000001347E-2</v>
      </c>
      <c r="B520">
        <v>8.8700000000001902E-2</v>
      </c>
      <c r="C520">
        <v>0.10840000000000247</v>
      </c>
    </row>
    <row r="521" spans="1:3" x14ac:dyDescent="0.55000000000000004">
      <c r="A521">
        <v>0.13530000000000181</v>
      </c>
      <c r="B521">
        <v>9.8000000000002169E-2</v>
      </c>
      <c r="C521">
        <v>0.10040000000000224</v>
      </c>
    </row>
    <row r="522" spans="1:3" x14ac:dyDescent="0.55000000000000004">
      <c r="A522">
        <v>6.9000000000001338E-2</v>
      </c>
      <c r="B522">
        <v>0.1025000000000023</v>
      </c>
      <c r="C522">
        <v>9.7500000000002154E-2</v>
      </c>
    </row>
    <row r="523" spans="1:3" x14ac:dyDescent="0.55000000000000004">
      <c r="A523">
        <v>7.6300000000002977E-2</v>
      </c>
      <c r="B523">
        <v>0.10420000000000378</v>
      </c>
      <c r="C523">
        <v>9.0600000000003386E-2</v>
      </c>
    </row>
    <row r="524" spans="1:3" x14ac:dyDescent="0.55000000000000004">
      <c r="A524">
        <v>7.6100000000002971E-2</v>
      </c>
      <c r="B524">
        <v>0.10440000000000378</v>
      </c>
      <c r="C524">
        <v>8.9200000000003346E-2</v>
      </c>
    </row>
    <row r="525" spans="1:3" x14ac:dyDescent="0.55000000000000004">
      <c r="A525">
        <v>7.6899999962946539E-2</v>
      </c>
      <c r="B525">
        <v>9.859999996294716E-2</v>
      </c>
      <c r="C525">
        <v>0.11489999996294763</v>
      </c>
    </row>
    <row r="526" spans="1:3" x14ac:dyDescent="0.55000000000000004">
      <c r="A526">
        <v>6.4499999962946183E-2</v>
      </c>
      <c r="B526">
        <v>0.11249999996294756</v>
      </c>
      <c r="C526">
        <v>0.11239999996294756</v>
      </c>
    </row>
    <row r="527" spans="1:3" x14ac:dyDescent="0.55000000000000004">
      <c r="A527">
        <v>0.10030000000000368</v>
      </c>
      <c r="B527">
        <v>9.9600000000003658E-2</v>
      </c>
      <c r="C527">
        <v>0.1082000000000039</v>
      </c>
    </row>
    <row r="528" spans="1:3" x14ac:dyDescent="0.55000000000000004">
      <c r="A528">
        <v>6.3600000000001544E-2</v>
      </c>
      <c r="B528">
        <v>9.9100000000002561E-2</v>
      </c>
      <c r="C528">
        <v>8.6400000000002197E-2</v>
      </c>
    </row>
    <row r="529" spans="1:3" x14ac:dyDescent="0.55000000000000004">
      <c r="A529">
        <v>8.6700000000001581E-2</v>
      </c>
      <c r="B529">
        <v>0.10360000000000207</v>
      </c>
      <c r="C529">
        <v>9.6000000000001848E-2</v>
      </c>
    </row>
    <row r="530" spans="1:3" x14ac:dyDescent="0.55000000000000004">
      <c r="A530">
        <v>6.7900000000000807E-2</v>
      </c>
      <c r="B530">
        <v>9.8200000000001675E-2</v>
      </c>
      <c r="C530">
        <v>9.8800000000001692E-2</v>
      </c>
    </row>
    <row r="531" spans="1:3" x14ac:dyDescent="0.55000000000000004">
      <c r="A531">
        <v>9.3900000000002135E-2</v>
      </c>
      <c r="B531">
        <v>8.5300000000001888E-2</v>
      </c>
      <c r="C531">
        <v>8.6200000000001914E-2</v>
      </c>
    </row>
    <row r="532" spans="1:3" x14ac:dyDescent="0.55000000000000004">
      <c r="A532">
        <v>8.7100000000002231E-2</v>
      </c>
      <c r="B532">
        <v>0.11650000000000307</v>
      </c>
      <c r="C532">
        <v>0.10160000000000265</v>
      </c>
    </row>
    <row r="533" spans="1:3" x14ac:dyDescent="0.55000000000000004">
      <c r="A533">
        <v>7.3200000000001542E-2</v>
      </c>
      <c r="B533">
        <v>0.10740000000000252</v>
      </c>
      <c r="C533">
        <v>0.10640000000000249</v>
      </c>
    </row>
    <row r="534" spans="1:3" x14ac:dyDescent="0.55000000000000004">
      <c r="A534">
        <v>7.8500000000002582E-2</v>
      </c>
      <c r="B534">
        <v>0.10090000000000322</v>
      </c>
      <c r="C534">
        <v>0.10460000000000333</v>
      </c>
    </row>
    <row r="535" spans="1:3" x14ac:dyDescent="0.55000000000000004">
      <c r="A535">
        <v>8.2599999999973736E-2</v>
      </c>
      <c r="B535">
        <v>0.10299999999997432</v>
      </c>
      <c r="C535">
        <v>9.4299999999974071E-2</v>
      </c>
    </row>
    <row r="536" spans="1:3" x14ac:dyDescent="0.55000000000000004">
      <c r="A536">
        <v>7.4500000000001496E-2</v>
      </c>
      <c r="B536">
        <v>0.10580000000000239</v>
      </c>
      <c r="C536">
        <v>9.7500000000002154E-2</v>
      </c>
    </row>
    <row r="537" spans="1:3" x14ac:dyDescent="0.55000000000000004">
      <c r="A537">
        <v>8.6000000000001908E-2</v>
      </c>
      <c r="B537">
        <v>0.10950000000000258</v>
      </c>
      <c r="C537">
        <v>0.10830000000000255</v>
      </c>
    </row>
    <row r="538" spans="1:3" x14ac:dyDescent="0.55000000000000004">
      <c r="A538">
        <v>9.9800000000001748E-2</v>
      </c>
      <c r="B538">
        <v>0.11510000000000219</v>
      </c>
      <c r="C538">
        <v>9.9200000000001731E-2</v>
      </c>
    </row>
    <row r="539" spans="1:3" x14ac:dyDescent="0.55000000000000004">
      <c r="A539">
        <v>7.9300000000001161E-2</v>
      </c>
      <c r="B539">
        <v>9.4000000000001582E-2</v>
      </c>
      <c r="C539">
        <v>0.11180000000000209</v>
      </c>
    </row>
    <row r="540" spans="1:3" x14ac:dyDescent="0.55000000000000004">
      <c r="A540">
        <v>8.230000000000269E-2</v>
      </c>
      <c r="B540">
        <v>0.28709999999998609</v>
      </c>
      <c r="C540">
        <v>0.1070000000000034</v>
      </c>
    </row>
    <row r="541" spans="1:3" x14ac:dyDescent="0.55000000000000004">
      <c r="A541">
        <v>8.3200000000003327E-2</v>
      </c>
      <c r="B541">
        <v>0.10960000000000408</v>
      </c>
      <c r="C541">
        <v>0.11150000000000414</v>
      </c>
    </row>
    <row r="542" spans="1:3" x14ac:dyDescent="0.55000000000000004">
      <c r="A542">
        <v>8.7100000000002828E-2</v>
      </c>
      <c r="B542">
        <v>9.9300000000003177E-2</v>
      </c>
      <c r="C542">
        <v>0.1035000000000033</v>
      </c>
    </row>
    <row r="543" spans="1:3" x14ac:dyDescent="0.55000000000000004">
      <c r="A543">
        <v>7.3800000000001559E-2</v>
      </c>
      <c r="B543">
        <v>0.22119999999999243</v>
      </c>
      <c r="C543">
        <v>9.6000000000002195E-2</v>
      </c>
    </row>
    <row r="544" spans="1:3" x14ac:dyDescent="0.55000000000000004">
      <c r="A544">
        <v>8.1700000000001702E-2</v>
      </c>
      <c r="B544">
        <v>9.7300000000002149E-2</v>
      </c>
      <c r="C544">
        <v>9.1600000000001985E-2</v>
      </c>
    </row>
    <row r="545" spans="1:3" x14ac:dyDescent="0.55000000000000004">
      <c r="A545">
        <v>8.1000000000001682E-2</v>
      </c>
      <c r="B545">
        <v>0.12790000000000262</v>
      </c>
      <c r="C545">
        <v>0.10500000000000237</v>
      </c>
    </row>
    <row r="546" spans="1:3" x14ac:dyDescent="0.55000000000000004">
      <c r="A546">
        <v>8.4000000000001851E-2</v>
      </c>
      <c r="B546">
        <v>8.5400000000001891E-2</v>
      </c>
      <c r="C546">
        <v>8.2900000000001819E-2</v>
      </c>
    </row>
    <row r="547" spans="1:3" x14ac:dyDescent="0.55000000000000004">
      <c r="A547">
        <v>8.5600000000001814E-2</v>
      </c>
      <c r="B547">
        <v>0.17769999999999714</v>
      </c>
      <c r="C547">
        <v>8.7300000000001862E-2</v>
      </c>
    </row>
    <row r="548" spans="1:3" x14ac:dyDescent="0.55000000000000004">
      <c r="A548">
        <v>4.9300000000000781E-2</v>
      </c>
      <c r="B548">
        <v>8.4800000000001791E-2</v>
      </c>
      <c r="C548">
        <v>9.6900000000002137E-2</v>
      </c>
    </row>
    <row r="549" spans="1:3" x14ac:dyDescent="0.55000000000000004">
      <c r="A549">
        <v>7.6200000000001544E-2</v>
      </c>
      <c r="B549">
        <v>0.10440000000000235</v>
      </c>
      <c r="C549">
        <v>0.1026000000000023</v>
      </c>
    </row>
    <row r="550" spans="1:3" x14ac:dyDescent="0.55000000000000004">
      <c r="A550">
        <v>6.7500000000001295E-2</v>
      </c>
      <c r="B550">
        <v>9.490000000000208E-2</v>
      </c>
      <c r="C550">
        <v>9.3700000000002046E-2</v>
      </c>
    </row>
    <row r="551" spans="1:3" x14ac:dyDescent="0.55000000000000004">
      <c r="A551">
        <v>8.9700000000001931E-2</v>
      </c>
      <c r="B551">
        <v>0.26019999999998805</v>
      </c>
      <c r="C551">
        <v>0.1095000000000025</v>
      </c>
    </row>
    <row r="552" spans="1:3" x14ac:dyDescent="0.55000000000000004">
      <c r="A552">
        <v>7.5500000000001524E-2</v>
      </c>
      <c r="B552">
        <v>0.1026000000000023</v>
      </c>
      <c r="C552">
        <v>0.10150000000000227</v>
      </c>
    </row>
    <row r="553" spans="1:3" x14ac:dyDescent="0.55000000000000004">
      <c r="A553">
        <v>7.9100000000001627E-2</v>
      </c>
      <c r="B553">
        <v>0.10740000000000244</v>
      </c>
      <c r="C553">
        <v>0.11460000000000264</v>
      </c>
    </row>
    <row r="554" spans="1:3" x14ac:dyDescent="0.55000000000000004">
      <c r="A554">
        <v>9.1000000000001968E-2</v>
      </c>
      <c r="B554">
        <v>0.12270000000000288</v>
      </c>
      <c r="C554">
        <v>0.12330000000000289</v>
      </c>
    </row>
    <row r="555" spans="1:3" x14ac:dyDescent="0.55000000000000004">
      <c r="A555">
        <v>9.2500000000002011E-2</v>
      </c>
      <c r="B555">
        <v>0.11810000000000274</v>
      </c>
      <c r="C555">
        <v>0.10440000000000235</v>
      </c>
    </row>
    <row r="556" spans="1:3" x14ac:dyDescent="0.55000000000000004">
      <c r="A556">
        <v>7.990000000000165E-2</v>
      </c>
      <c r="B556">
        <v>9.3800000000002048E-2</v>
      </c>
      <c r="C556">
        <v>0.10680000000000242</v>
      </c>
    </row>
    <row r="557" spans="1:3" x14ac:dyDescent="0.55000000000000004">
      <c r="A557">
        <v>8.5500000000001811E-2</v>
      </c>
      <c r="B557">
        <v>0.10630000000000241</v>
      </c>
      <c r="C557">
        <v>0.10030000000000223</v>
      </c>
    </row>
    <row r="558" spans="1:3" x14ac:dyDescent="0.55000000000000004">
      <c r="A558">
        <v>2.6000000000000297E-2</v>
      </c>
      <c r="B558">
        <v>0.12050000000000281</v>
      </c>
      <c r="C558">
        <v>0.11930000000000278</v>
      </c>
    </row>
    <row r="559" spans="1:3" x14ac:dyDescent="0.55000000000000004">
      <c r="A559">
        <v>8.3100000000001742E-2</v>
      </c>
      <c r="B559">
        <v>0.10460000000000236</v>
      </c>
      <c r="C559">
        <v>9.7900000000002166E-2</v>
      </c>
    </row>
    <row r="560" spans="1:3" x14ac:dyDescent="0.55000000000000004">
      <c r="A560">
        <v>8.6100000000001828E-2</v>
      </c>
      <c r="B560">
        <v>0.10580000000000239</v>
      </c>
      <c r="C560">
        <v>0.11590000000000268</v>
      </c>
    </row>
    <row r="561" spans="1:3" x14ac:dyDescent="0.55000000000000004">
      <c r="A561">
        <v>6.9500000000001352E-2</v>
      </c>
      <c r="B561">
        <v>0.10400000000000234</v>
      </c>
      <c r="C561">
        <v>0.12180000000000285</v>
      </c>
    </row>
    <row r="562" spans="1:3" x14ac:dyDescent="0.55000000000000004">
      <c r="A562">
        <v>9.6800000000002134E-2</v>
      </c>
      <c r="B562">
        <v>0.25879999999998821</v>
      </c>
      <c r="C562">
        <v>0.1060000000000024</v>
      </c>
    </row>
    <row r="563" spans="1:3" x14ac:dyDescent="0.55000000000000004">
      <c r="A563">
        <v>9.3400000000002037E-2</v>
      </c>
      <c r="B563">
        <v>0.10040000000000224</v>
      </c>
      <c r="C563">
        <v>0.10010000000000223</v>
      </c>
    </row>
    <row r="564" spans="1:3" x14ac:dyDescent="0.55000000000000004">
      <c r="A564">
        <v>8.6500000000001839E-2</v>
      </c>
      <c r="B564">
        <v>0.23819999999999047</v>
      </c>
      <c r="C564">
        <v>0.1061000000000024</v>
      </c>
    </row>
    <row r="565" spans="1:3" x14ac:dyDescent="0.55000000000000004">
      <c r="A565">
        <v>8.060000000000167E-2</v>
      </c>
      <c r="B565">
        <v>0.13120000000000226</v>
      </c>
      <c r="C565">
        <v>0.10460000000000236</v>
      </c>
    </row>
  </sheetData>
  <hyperlinks>
    <hyperlink ref="Q57" r:id="rId1" xr:uid="{2FEC5A5E-C07D-4C05-B56C-F050800C90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Timing &amp; Accel Data</vt:lpstr>
      <vt:lpstr>a Timing Stats - by 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Holzbauer</dc:creator>
  <cp:lastModifiedBy>Debbie Holzbauer</cp:lastModifiedBy>
  <dcterms:created xsi:type="dcterms:W3CDTF">2026-02-01T05:20:05Z</dcterms:created>
  <dcterms:modified xsi:type="dcterms:W3CDTF">2026-09-03T04:26:30Z</dcterms:modified>
</cp:coreProperties>
</file>